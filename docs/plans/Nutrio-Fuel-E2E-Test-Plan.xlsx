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hamis\Documents\nutrio-fuel-new\docs\plans\"/>
    </mc:Choice>
  </mc:AlternateContent>
  <xr:revisionPtr revIDLastSave="0" documentId="13_ncr:1_{4698C108-140E-4214-AD50-F36CD48A3FE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Partner Tests" sheetId="2" r:id="rId2"/>
    <sheet name="Customer Tests" sheetId="3" r:id="rId3"/>
    <sheet name="Admin Tests" sheetId="4" r:id="rId4"/>
    <sheet name="Driver Tests" sheetId="5" r:id="rId5"/>
    <sheet name="System Tests" sheetId="6" r:id="rId6"/>
    <sheet name="Summary by Portal" sheetId="7" r:id="rId7"/>
    <sheet name="Test Cas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7" l="1"/>
  <c r="I6" i="7"/>
  <c r="H6" i="7"/>
  <c r="G6" i="7"/>
  <c r="E6" i="7"/>
  <c r="D6" i="7"/>
  <c r="C6" i="7"/>
  <c r="B6" i="7"/>
  <c r="F6" i="7" s="1"/>
  <c r="J5" i="7"/>
  <c r="I5" i="7"/>
  <c r="H5" i="7"/>
  <c r="G5" i="7"/>
  <c r="E5" i="7"/>
  <c r="D5" i="7"/>
  <c r="C5" i="7"/>
  <c r="B5" i="7"/>
  <c r="F5" i="7" s="1"/>
  <c r="J4" i="7"/>
  <c r="I4" i="7"/>
  <c r="H4" i="7"/>
  <c r="G4" i="7"/>
  <c r="E4" i="7"/>
  <c r="D4" i="7"/>
  <c r="C4" i="7"/>
  <c r="B4" i="7"/>
  <c r="F4" i="7" s="1"/>
  <c r="J3" i="7"/>
  <c r="I3" i="7"/>
  <c r="H3" i="7"/>
  <c r="G3" i="7"/>
  <c r="E3" i="7"/>
  <c r="D3" i="7"/>
  <c r="C3" i="7"/>
  <c r="B3" i="7"/>
  <c r="F3" i="7" s="1"/>
  <c r="J2" i="7"/>
  <c r="I2" i="7"/>
  <c r="H2" i="7"/>
  <c r="G2" i="7"/>
  <c r="E2" i="7"/>
  <c r="D2" i="7"/>
  <c r="C2" i="7"/>
  <c r="B2" i="7"/>
  <c r="F2" i="7" s="1"/>
  <c r="B15" i="1"/>
  <c r="B13" i="1"/>
  <c r="B12" i="1"/>
  <c r="B11" i="1"/>
  <c r="B10" i="1"/>
  <c r="B8" i="1"/>
  <c r="B7" i="1"/>
  <c r="B6" i="1"/>
  <c r="B5" i="1"/>
  <c r="B4" i="1"/>
  <c r="I224" i="8"/>
  <c r="I300" i="8"/>
  <c r="I255" i="8"/>
  <c r="I216" i="8"/>
  <c r="I245" i="8"/>
  <c r="I276" i="8"/>
  <c r="I239" i="8"/>
  <c r="I345" i="8"/>
  <c r="I330" i="8"/>
  <c r="I56" i="8"/>
  <c r="I232" i="8"/>
  <c r="I187" i="8"/>
  <c r="I214" i="8"/>
  <c r="I149" i="8"/>
  <c r="I74" i="8"/>
  <c r="I84" i="8"/>
  <c r="I70" i="8"/>
  <c r="I134" i="8"/>
  <c r="I326" i="8"/>
  <c r="I5" i="8"/>
  <c r="I284" i="8"/>
  <c r="I57" i="8"/>
  <c r="I225" i="8"/>
  <c r="I153" i="8"/>
  <c r="I125" i="8"/>
  <c r="I288" i="8"/>
  <c r="I124" i="8"/>
  <c r="I133" i="8"/>
  <c r="I246" i="8"/>
  <c r="I335" i="8"/>
  <c r="I180" i="8"/>
  <c r="I19" i="8"/>
  <c r="I203" i="8"/>
  <c r="I26" i="8"/>
  <c r="I85" i="8"/>
  <c r="I154" i="8"/>
  <c r="I101" i="8"/>
  <c r="I332" i="8"/>
  <c r="I176" i="8"/>
  <c r="I143" i="8"/>
  <c r="I238" i="8"/>
  <c r="I82" i="8"/>
  <c r="I236" i="8"/>
  <c r="I58" i="8"/>
  <c r="I128" i="8"/>
  <c r="I120" i="8"/>
  <c r="I229" i="8"/>
  <c r="I260" i="8"/>
  <c r="I22" i="8"/>
  <c r="I307" i="8"/>
  <c r="I92" i="8"/>
  <c r="I333" i="8"/>
  <c r="I35" i="8"/>
  <c r="I266" i="8"/>
  <c r="I123" i="8"/>
  <c r="I297" i="8"/>
  <c r="I78" i="8"/>
  <c r="I77" i="8"/>
  <c r="I269" i="8"/>
  <c r="I289" i="8"/>
  <c r="I43" i="8"/>
  <c r="I91" i="8"/>
  <c r="I275" i="8"/>
  <c r="I196" i="8"/>
  <c r="I169" i="8"/>
  <c r="I182" i="8"/>
  <c r="I218" i="8"/>
  <c r="I71" i="8"/>
  <c r="I102" i="8"/>
  <c r="I213" i="8"/>
  <c r="I299" i="8"/>
  <c r="I10" i="8"/>
  <c r="I249" i="8"/>
  <c r="I28" i="8"/>
  <c r="I303" i="8"/>
  <c r="I39" i="8"/>
  <c r="I38" i="8"/>
  <c r="I323" i="8"/>
  <c r="I49" i="8"/>
  <c r="I159" i="8"/>
  <c r="I295" i="8"/>
  <c r="I59" i="8"/>
  <c r="I30" i="8"/>
  <c r="I222" i="8"/>
  <c r="I8" i="8"/>
  <c r="I282" i="8"/>
  <c r="I190" i="8"/>
  <c r="I285" i="8"/>
  <c r="I89" i="8"/>
  <c r="I291" i="8"/>
  <c r="I178" i="8"/>
  <c r="I25" i="8"/>
  <c r="I209" i="8"/>
  <c r="I44" i="8"/>
  <c r="I283" i="8"/>
  <c r="I186" i="8"/>
  <c r="I220" i="8"/>
  <c r="I277" i="8"/>
  <c r="I66" i="8"/>
  <c r="I331" i="8"/>
  <c r="I248" i="8"/>
  <c r="I237" i="8"/>
  <c r="I197" i="8"/>
  <c r="I113" i="8"/>
  <c r="I235" i="8"/>
  <c r="I204" i="8"/>
  <c r="I272" i="8"/>
  <c r="I42" i="8"/>
  <c r="I62" i="8"/>
  <c r="I107" i="8"/>
  <c r="I241" i="8"/>
  <c r="I27" i="8"/>
  <c r="I3" i="8"/>
  <c r="I346" i="8"/>
  <c r="I72" i="8"/>
  <c r="I127" i="8"/>
  <c r="I310" i="8"/>
  <c r="I329" i="8"/>
  <c r="I160" i="8"/>
  <c r="I256" i="8"/>
  <c r="I13" i="8"/>
  <c r="I194" i="8"/>
  <c r="I281" i="8"/>
  <c r="I98" i="8"/>
  <c r="I65" i="8"/>
  <c r="I192" i="8"/>
  <c r="I199" i="8"/>
  <c r="I325" i="8"/>
  <c r="I156" i="8"/>
  <c r="I210" i="8"/>
  <c r="I137" i="8"/>
  <c r="I279" i="8"/>
  <c r="I158" i="8"/>
  <c r="I185" i="8"/>
  <c r="I64" i="8"/>
  <c r="I34" i="8"/>
  <c r="I226" i="8"/>
  <c r="I132" i="8"/>
  <c r="I93" i="8"/>
  <c r="I278" i="8"/>
  <c r="I106" i="8"/>
  <c r="I309" i="8"/>
  <c r="I157" i="8"/>
  <c r="I340" i="8"/>
  <c r="I61" i="8"/>
  <c r="I230" i="8"/>
  <c r="I162" i="8"/>
  <c r="I23" i="8"/>
  <c r="I273" i="8"/>
  <c r="I135" i="8"/>
  <c r="I271" i="8"/>
  <c r="I181" i="8"/>
  <c r="I63" i="8"/>
  <c r="I166" i="8"/>
  <c r="I170" i="8"/>
  <c r="I31" i="8"/>
  <c r="I17" i="8"/>
  <c r="I184" i="8"/>
  <c r="I165" i="8"/>
  <c r="I36" i="8"/>
  <c r="I267" i="8"/>
  <c r="I342" i="8"/>
  <c r="I193" i="8"/>
  <c r="I227" i="8"/>
  <c r="I79" i="8"/>
  <c r="I126" i="8"/>
  <c r="I259" i="8"/>
  <c r="I46" i="8"/>
  <c r="I20" i="8"/>
  <c r="I258" i="8"/>
  <c r="I287" i="8"/>
  <c r="I290" i="8"/>
  <c r="I177" i="8"/>
  <c r="I15" i="8"/>
  <c r="I174" i="8"/>
  <c r="I250" i="8"/>
  <c r="I341" i="8"/>
  <c r="I317" i="8"/>
  <c r="I88" i="8"/>
  <c r="I45" i="8"/>
  <c r="I352" i="8"/>
  <c r="I183" i="8"/>
  <c r="I94" i="8"/>
  <c r="I231" i="8"/>
  <c r="I100" i="8"/>
  <c r="I118" i="8"/>
  <c r="I96" i="8"/>
  <c r="I53" i="8"/>
  <c r="I316" i="8"/>
  <c r="I110" i="8"/>
  <c r="I242" i="8"/>
  <c r="I18" i="8"/>
  <c r="I136" i="8"/>
  <c r="I274" i="8"/>
  <c r="I41" i="8"/>
  <c r="I179" i="8"/>
  <c r="I9" i="8"/>
  <c r="I254" i="8"/>
  <c r="I40" i="8"/>
  <c r="I207" i="8"/>
  <c r="I191" i="8"/>
  <c r="I55" i="8"/>
  <c r="I104" i="8"/>
  <c r="I349" i="8"/>
  <c r="I308" i="8"/>
  <c r="I6" i="8"/>
  <c r="I294" i="8"/>
  <c r="I263" i="8"/>
  <c r="I205" i="8"/>
  <c r="I21" i="8"/>
  <c r="I51" i="8"/>
  <c r="I109" i="8"/>
  <c r="I83" i="8"/>
  <c r="I298" i="8"/>
  <c r="I221" i="8"/>
  <c r="I117" i="8"/>
  <c r="I223" i="8"/>
  <c r="I286" i="8"/>
  <c r="I319" i="8"/>
  <c r="I108" i="8"/>
  <c r="I152" i="8"/>
  <c r="I116" i="8"/>
  <c r="I328" i="8"/>
  <c r="I95" i="8"/>
  <c r="I228" i="8"/>
  <c r="I172" i="8"/>
  <c r="I252" i="8"/>
  <c r="I2" i="8"/>
  <c r="I97" i="8"/>
  <c r="I167" i="8"/>
  <c r="I111" i="8"/>
  <c r="I336" i="8"/>
  <c r="I262" i="8"/>
  <c r="I253" i="8"/>
  <c r="I54" i="8"/>
  <c r="I243" i="8"/>
  <c r="I208" i="8"/>
  <c r="I334" i="8"/>
  <c r="I105" i="8"/>
  <c r="I315" i="8"/>
  <c r="I175" i="8"/>
  <c r="I32" i="8"/>
  <c r="I265" i="8"/>
  <c r="I195" i="8"/>
  <c r="I69" i="8"/>
  <c r="I280" i="8"/>
  <c r="I130" i="8"/>
  <c r="I339" i="8"/>
  <c r="I311" i="8"/>
  <c r="I251" i="8"/>
  <c r="I142" i="8"/>
  <c r="I145" i="8"/>
  <c r="I122" i="8"/>
  <c r="I121" i="8"/>
  <c r="I198" i="8"/>
  <c r="I247" i="8"/>
  <c r="I244" i="8"/>
  <c r="I147" i="8"/>
  <c r="I155" i="8"/>
  <c r="I11" i="8"/>
  <c r="I296" i="8"/>
  <c r="I68" i="8"/>
  <c r="I304" i="8"/>
  <c r="I240" i="8"/>
  <c r="I7" i="8"/>
  <c r="I322" i="8"/>
  <c r="I270" i="8"/>
  <c r="I148" i="8"/>
  <c r="I112" i="8"/>
  <c r="I14" i="8"/>
  <c r="I144" i="8"/>
  <c r="I48" i="8"/>
  <c r="I313" i="8"/>
  <c r="I146" i="8"/>
  <c r="I141" i="8"/>
  <c r="I188" i="8"/>
  <c r="I115" i="8"/>
  <c r="I219" i="8"/>
  <c r="I114" i="8"/>
  <c r="I257" i="8"/>
  <c r="I151" i="8"/>
  <c r="I12" i="8"/>
  <c r="I261" i="8"/>
  <c r="I302" i="8"/>
  <c r="I292" i="8"/>
  <c r="I348" i="8"/>
  <c r="I318" i="8"/>
  <c r="I73" i="8"/>
  <c r="I16" i="8"/>
  <c r="I268" i="8"/>
  <c r="I324" i="8"/>
  <c r="I47" i="8"/>
  <c r="I67" i="8"/>
  <c r="I312" i="8"/>
  <c r="I206" i="8"/>
  <c r="I131" i="8"/>
  <c r="I80" i="8"/>
  <c r="I76" i="8"/>
  <c r="I60" i="8"/>
  <c r="I217" i="8"/>
  <c r="I37" i="8"/>
  <c r="I173" i="8"/>
  <c r="I350" i="8"/>
  <c r="I103" i="8"/>
  <c r="I24" i="8"/>
  <c r="I50" i="8"/>
  <c r="I163" i="8"/>
  <c r="I81" i="8"/>
  <c r="I264" i="8"/>
  <c r="I306" i="8"/>
  <c r="I86" i="8"/>
  <c r="I215" i="8"/>
  <c r="I293" i="8"/>
  <c r="I140" i="8"/>
  <c r="I233" i="8"/>
  <c r="I351" i="8"/>
  <c r="I171" i="8"/>
  <c r="I150" i="8"/>
  <c r="I99" i="8"/>
  <c r="I305" i="8"/>
  <c r="I343" i="8"/>
  <c r="I320" i="8"/>
  <c r="I75" i="8"/>
  <c r="I119" i="8"/>
  <c r="I87" i="8"/>
  <c r="I211" i="8"/>
  <c r="I338" i="8"/>
  <c r="I138" i="8"/>
  <c r="I327" i="8"/>
  <c r="I201" i="8"/>
  <c r="I52" i="8"/>
  <c r="I202" i="8"/>
  <c r="I200" i="8"/>
  <c r="I29" i="8"/>
  <c r="I168" i="8"/>
  <c r="I90" i="8"/>
  <c r="I212" i="8"/>
  <c r="I33" i="8"/>
  <c r="I337" i="8"/>
  <c r="I347" i="8"/>
  <c r="I189" i="8"/>
  <c r="I353" i="8"/>
  <c r="I161" i="8"/>
  <c r="I139" i="8"/>
  <c r="I234" i="8"/>
  <c r="I129" i="8"/>
  <c r="I164" i="8"/>
  <c r="I321" i="8"/>
  <c r="I301" i="8"/>
  <c r="I344" i="8"/>
  <c r="I314" i="8"/>
  <c r="I4" i="8"/>
</calcChain>
</file>

<file path=xl/sharedStrings.xml><?xml version="1.0" encoding="utf-8"?>
<sst xmlns="http://schemas.openxmlformats.org/spreadsheetml/2006/main" count="11682" uniqueCount="3687">
  <si>
    <t>NUTRIO FUEL - E2E TEST PLAN</t>
  </si>
  <si>
    <t>Test Plan Overview</t>
  </si>
  <si>
    <t>Total Test Cases</t>
  </si>
  <si>
    <t>Customer Portal Tests</t>
  </si>
  <si>
    <t>Partner Portal Tests</t>
  </si>
  <si>
    <t>Admin Portal Tests</t>
  </si>
  <si>
    <t>Driver Portal Tests</t>
  </si>
  <si>
    <t>Passed</t>
  </si>
  <si>
    <t>Failed</t>
  </si>
  <si>
    <t>Pending</t>
  </si>
  <si>
    <t>Blocked</t>
  </si>
  <si>
    <t>Pass Rate</t>
  </si>
  <si>
    <t>Test Environment Details</t>
  </si>
  <si>
    <t>Environment</t>
  </si>
  <si>
    <t>Staging/Production</t>
  </si>
  <si>
    <t>Test Date</t>
  </si>
  <si>
    <t>Tester Name</t>
  </si>
  <si>
    <t>Browser</t>
  </si>
  <si>
    <t>Device</t>
  </si>
  <si>
    <t>Notes</t>
  </si>
  <si>
    <t>Test Accounts</t>
  </si>
  <si>
    <t>Role/Portal</t>
  </si>
  <si>
    <t>Email</t>
  </si>
  <si>
    <t>Password</t>
  </si>
  <si>
    <t>Driver</t>
  </si>
  <si>
    <t>driver@nutriofuel.com</t>
  </si>
  <si>
    <t>Driver123!</t>
  </si>
  <si>
    <t>Fleet Manager Account</t>
  </si>
  <si>
    <t>Admin</t>
  </si>
  <si>
    <t>admin@nutrio.com</t>
  </si>
  <si>
    <t>Khamees1992#</t>
  </si>
  <si>
    <t>Main Admin Account</t>
  </si>
  <si>
    <t>Admin (Alt)</t>
  </si>
  <si>
    <t>khamis-1992@hotmail.com</t>
  </si>
  <si>
    <t>Alternate Admin Account</t>
  </si>
  <si>
    <t>Partner</t>
  </si>
  <si>
    <t>khamis4everever@gmail.com</t>
  </si>
  <si>
    <t>123456789</t>
  </si>
  <si>
    <t>Restaurant Partner Account</t>
  </si>
  <si>
    <t>Customer</t>
  </si>
  <si>
    <t>eng.aljabor@gmail.com</t>
  </si>
  <si>
    <t>Normal User Account</t>
  </si>
  <si>
    <t>Partner Tests</t>
  </si>
  <si>
    <t>Admin Tests</t>
  </si>
  <si>
    <t>Driver Tests</t>
  </si>
  <si>
    <t>System</t>
  </si>
  <si>
    <t>System Tests</t>
  </si>
  <si>
    <t>TC ID</t>
  </si>
  <si>
    <t>Portal</t>
  </si>
  <si>
    <t>Module</t>
  </si>
  <si>
    <t>Feature</t>
  </si>
  <si>
    <t>Test Case</t>
  </si>
  <si>
    <t>Steps</t>
  </si>
  <si>
    <t>Link / URL</t>
  </si>
  <si>
    <t>Expected Result</t>
  </si>
  <si>
    <t>Status</t>
  </si>
  <si>
    <t>Actual Result</t>
  </si>
  <si>
    <t>Priority</t>
  </si>
  <si>
    <t>Tester</t>
  </si>
  <si>
    <t>TC046</t>
  </si>
  <si>
    <t>Auth</t>
  </si>
  <si>
    <t>Login</t>
  </si>
  <si>
    <t>Partner Login</t>
  </si>
  <si>
    <t>1. Navigate to /partner/auth
2. Enter Email: khamis4everever@gmail.com
3. Enter Password: 123456789
4. Click Sign In</t>
  </si>
  <si>
    <t>https://nutrio.me/partner/auth</t>
  </si>
  <si>
    <t>Partner logged in, redirected to partner dashboard</t>
  </si>
  <si>
    <t>PASS</t>
  </si>
  <si>
    <t>High</t>
  </si>
  <si>
    <t>TC047</t>
  </si>
  <si>
    <t>Invalid Login</t>
  </si>
  <si>
    <t>Partner Login - Invalid Credentials</t>
  </si>
  <si>
    <t>1. Enter wrong password
2. Click Sign In</t>
  </si>
  <si>
    <t>Error message displayed</t>
  </si>
  <si>
    <t>TC048</t>
  </si>
  <si>
    <t>Logout</t>
  </si>
  <si>
    <t>Partner Logout</t>
  </si>
  <si>
    <t>1. Click user menu
2. Click Logout</t>
  </si>
  <si>
    <t>Logged out, redirected to login page</t>
  </si>
  <si>
    <t>TC049</t>
  </si>
  <si>
    <t>Dashboard</t>
  </si>
  <si>
    <t>View</t>
  </si>
  <si>
    <t>Partner Dashboard Load</t>
  </si>
  <si>
    <t>1. Login as partner
2. View dashboard</t>
  </si>
  <si>
    <t>https://nutrio.me/partner/dashboard</t>
  </si>
  <si>
    <t>Dashboard shows: today's orders, earnings, ratings, quick actions</t>
  </si>
  <si>
    <t>TC050</t>
  </si>
  <si>
    <t>Stats</t>
  </si>
  <si>
    <t>Dashboard Statistics</t>
  </si>
  <si>
    <t>1. On dashboard
2. Verify stats accuracy</t>
  </si>
  <si>
    <t>Today's orders, weekly earnings, average rating correct</t>
  </si>
  <si>
    <t>TC051</t>
  </si>
  <si>
    <t>Quick Actions</t>
  </si>
  <si>
    <t>Dashboard Quick Actions</t>
  </si>
  <si>
    <t>1. Click 'View Orders'
2. Click 'Update Menu'
3. Click 'View Earnings'</t>
  </si>
  <si>
    <t>Each button navigates to correct page</t>
  </si>
  <si>
    <t>Medium</t>
  </si>
  <si>
    <t>TC052</t>
  </si>
  <si>
    <t>Orders</t>
  </si>
  <si>
    <t>View Active</t>
  </si>
  <si>
    <t>View Active Orders</t>
  </si>
  <si>
    <t>1. Go to Orders page
2. View active orders list</t>
  </si>
  <si>
    <t>https://nutrio.me/partner/orders/[id]</t>
  </si>
  <si>
    <t>All pending/preparing orders displayed with details</t>
  </si>
  <si>
    <t>Critical</t>
  </si>
  <si>
    <t>TC053</t>
  </si>
  <si>
    <t>View History</t>
  </si>
  <si>
    <t>View Order History</t>
  </si>
  <si>
    <t>1. Click History tab
2. View past orders</t>
  </si>
  <si>
    <t>Completed orders displayed with dates and amounts</t>
  </si>
  <si>
    <t>TC054</t>
  </si>
  <si>
    <t>Accept Order</t>
  </si>
  <si>
    <t>Accept New Order</t>
  </si>
  <si>
    <t>1. New order notification received
2. Click Accept
3. Or wait for auto-accept</t>
  </si>
  <si>
    <t>https://nutrio.me/partner/orders</t>
  </si>
  <si>
    <t>Order status changes to Confirmed</t>
  </si>
  <si>
    <t>TC055</t>
  </si>
  <si>
    <t>Update Status</t>
  </si>
  <si>
    <t>Update Order Status</t>
  </si>
  <si>
    <t>1. Click on active order
2. Click 'Mark as Preparing'
3. Later click 'Mark as Ready'</t>
  </si>
  <si>
    <t>https://nutrio.me/partner/orders/[id]/edit</t>
  </si>
  <si>
    <t>Status updates, customer receives notification</t>
  </si>
  <si>
    <t>TC056</t>
  </si>
  <si>
    <t>Order Details</t>
  </si>
  <si>
    <t>View Order Details</t>
  </si>
  <si>
    <t>1. Click on any order
2. View full details</t>
  </si>
  <si>
    <t>Order items, customer info, delivery address, special instructions displayed</t>
  </si>
  <si>
    <t>TC057</t>
  </si>
  <si>
    <t>Print Order</t>
  </si>
  <si>
    <t>Print Order Ticket</t>
  </si>
  <si>
    <t>1. Open order details
2. Click Print</t>
  </si>
  <si>
    <t>Order prints with kitchen ticket format</t>
  </si>
  <si>
    <t>Low</t>
  </si>
  <si>
    <t>TC058</t>
  </si>
  <si>
    <t>Menu</t>
  </si>
  <si>
    <t>View Menu</t>
  </si>
  <si>
    <t>View Current Menu</t>
  </si>
  <si>
    <t>1. Navigate to Menu page
2. View all items</t>
  </si>
  <si>
    <t>https://nutrio.me/partner/menu/[id]</t>
  </si>
  <si>
    <t>All menu items displayed with photos and status</t>
  </si>
  <si>
    <t>TC059</t>
  </si>
  <si>
    <t>Add Item</t>
  </si>
  <si>
    <t>Add New Menu Item</t>
  </si>
  <si>
    <t>1. Click 'Add New Meal'
2. Fill all fields (name, desc, nutrition, photo)
3. Click Save</t>
  </si>
  <si>
    <t>https://nutrio.me/partner/menu/new</t>
  </si>
  <si>
    <t>Item added to menu, visible to customers</t>
  </si>
  <si>
    <t>TC060</t>
  </si>
  <si>
    <t>Edit Item</t>
  </si>
  <si>
    <t>Edit Menu Item</t>
  </si>
  <si>
    <t>1. Click on menu item
2. Click Edit
3. Change details
4. Save</t>
  </si>
  <si>
    <t>https://nutrio.me/partner/menu/[id]/edit</t>
  </si>
  <si>
    <t>Item updated with new information</t>
  </si>
  <si>
    <t>TC061</t>
  </si>
  <si>
    <t>Delete Item</t>
  </si>
  <si>
    <t>Delete Menu Item</t>
  </si>
  <si>
    <t>1. Click on menu item
2. Click Delete
3. Confirm</t>
  </si>
  <si>
    <t>https://nutrio.me/partner/menu</t>
  </si>
  <si>
    <t>Item removed from menu</t>
  </si>
  <si>
    <t>TC062</t>
  </si>
  <si>
    <t>Toggle Availability</t>
  </si>
  <si>
    <t>Toggle Item Availability</t>
  </si>
  <si>
    <t>1. Find menu item
2. Toggle 'Available' switch
3. Verify status change</t>
  </si>
  <si>
    <t>Item availability changes, customers see/hide item</t>
  </si>
  <si>
    <t>TC063</t>
  </si>
  <si>
    <t>Upload Photo</t>
  </si>
  <si>
    <t>Upload Meal Photo</t>
  </si>
  <si>
    <t>1. Add/Edit meal
2. Click Upload Photo
3. Select image
4. Save</t>
  </si>
  <si>
    <t>Photo uploaded and displayed on meal card</t>
  </si>
  <si>
    <t>TC064</t>
  </si>
  <si>
    <t>Nutrition Info</t>
  </si>
  <si>
    <t>Add Nutrition Information</t>
  </si>
  <si>
    <t>1. Edit meal
2. Add calories, protein, carbs, fat
3. Save</t>
  </si>
  <si>
    <t>Nutrition info saved and displayed to customers</t>
  </si>
  <si>
    <t>TC065</t>
  </si>
  <si>
    <t>Earnings</t>
  </si>
  <si>
    <t>View Earnings</t>
  </si>
  <si>
    <t>View Earnings Dashboard</t>
  </si>
  <si>
    <t>1. Go to Earnings page
2. View summary</t>
  </si>
  <si>
    <t>https://nutrio.me/partner/payouts/[id]</t>
  </si>
  <si>
    <t>Today's earnings, weekly, monthly totals displayed</t>
  </si>
  <si>
    <t>TC066</t>
  </si>
  <si>
    <t>View Payout History</t>
  </si>
  <si>
    <t>1. Click Payout History
2. View past payouts</t>
  </si>
  <si>
    <t>All weekly payouts listed with dates and amounts</t>
  </si>
  <si>
    <t>TC067</t>
  </si>
  <si>
    <t>Payout Details</t>
  </si>
  <si>
    <t>View Payout Details</t>
  </si>
  <si>
    <t>1. Click on payout
2. View breakdown</t>
  </si>
  <si>
    <t>Daily breakdown of orders and earnings shown</t>
  </si>
  <si>
    <t>TC068</t>
  </si>
  <si>
    <t>View Performance Stats</t>
  </si>
  <si>
    <t>1. View statistics section
2. Check meals served and ratings</t>
  </si>
  <si>
    <t>Accurate statistics displayed</t>
  </si>
  <si>
    <t>TC069</t>
  </si>
  <si>
    <t>Profile</t>
  </si>
  <si>
    <t>View Profile</t>
  </si>
  <si>
    <t>View Restaurant Profile</t>
  </si>
  <si>
    <t>1. Go to Profile page
2. View info</t>
  </si>
  <si>
    <t>https://nutrio.me/partner/profile/[id]</t>
  </si>
  <si>
    <t>Restaurant details, hours, capacity displayed</t>
  </si>
  <si>
    <t>TC070</t>
  </si>
  <si>
    <t>Edit Profile</t>
  </si>
  <si>
    <t>Edit Restaurant Info</t>
  </si>
  <si>
    <t>1. Click Edit
2. Change description, hours
3. Save</t>
  </si>
  <si>
    <t>https://nutrio.me/partner/profile/[id]/edit</t>
  </si>
  <si>
    <t>Profile updated successfully</t>
  </si>
  <si>
    <t>TC071</t>
  </si>
  <si>
    <t>Update Bank</t>
  </si>
  <si>
    <t>Update Bank Details</t>
  </si>
  <si>
    <t>1. Go to Profile
2. Edit bank account info
3. Save</t>
  </si>
  <si>
    <t>Bank details updated for future payouts</t>
  </si>
  <si>
    <t>TC072</t>
  </si>
  <si>
    <t>Set Capacity</t>
  </si>
  <si>
    <t>Set Daily Capacity</t>
  </si>
  <si>
    <t>1. Go to Profile
2. Change daily capacity
3. Save</t>
  </si>
  <si>
    <t>https://nutrio.me/partner/profile</t>
  </si>
  <si>
    <t>Capacity updated, affects order acceptance</t>
  </si>
  <si>
    <t>TC073</t>
  </si>
  <si>
    <t>Toggle Orders</t>
  </si>
  <si>
    <t>Toggle Accepting Orders</t>
  </si>
  <si>
    <t>1. Go to Profile
2. Toggle 'Accepting Orders'
3. Save</t>
  </si>
  <si>
    <t>Status changes, customers can/cannot place orders</t>
  </si>
  <si>
    <t>TC074</t>
  </si>
  <si>
    <t>Update Logo</t>
  </si>
  <si>
    <t>Update Restaurant Logo</t>
  </si>
  <si>
    <t>1. Go to Profile
2. Click Update Logo
3. Upload new image
4. Save</t>
  </si>
  <si>
    <t>Logo updated across platform</t>
  </si>
  <si>
    <t>TC075</t>
  </si>
  <si>
    <t>Update Photos</t>
  </si>
  <si>
    <t>Update Restaurant Photos</t>
  </si>
  <si>
    <t>1. Go to Profile
2. Add/Remove photos
3. Save</t>
  </si>
  <si>
    <t>Photo gallery updated</t>
  </si>
  <si>
    <t>TC153</t>
  </si>
  <si>
    <t>Password Reset</t>
  </si>
  <si>
    <t>Partner Password Reset Flow</t>
  </si>
  <si>
    <t>1. Click Forgot Password on partner login
2. Enter registered email
3. Check email for reset link
4. Click link and set new password
5. Login with new password</t>
  </si>
  <si>
    <t>Password reset successful, can login with new credentials</t>
  </si>
  <si>
    <t>TC154</t>
  </si>
  <si>
    <t>Onboarding</t>
  </si>
  <si>
    <t>Wizard Step 1</t>
  </si>
  <si>
    <t>Complete Onboarding Step 1 - Basic Info</t>
  </si>
  <si>
    <t>1. Start partner registration
2. Fill restaurant name
3. Add description
4. Select cuisine type
5. Add dietary tags</t>
  </si>
  <si>
    <t>https://nutrio.me/partner/onboarding</t>
  </si>
  <si>
    <t>Step 1 saved, can proceed to Step 2</t>
  </si>
  <si>
    <t>TC155</t>
  </si>
  <si>
    <t>Wizard Step 2</t>
  </si>
  <si>
    <t>Complete Onboarding Step 2 - Location</t>
  </si>
  <si>
    <t>1. Enter address
2. Pin location on map
3. Add phone number
4. Add email
5. Set operating hours</t>
  </si>
  <si>
    <t>Step 2 saved, can proceed to Step 3</t>
  </si>
  <si>
    <t>TC156</t>
  </si>
  <si>
    <t>Wizard Step 3</t>
  </si>
  <si>
    <t>Complete Onboarding Step 3 - Media</t>
  </si>
  <si>
    <t>1. Upload logo (required)
2. Upload restaurant photos
3. Verify image preview
4. Check file size limits</t>
  </si>
  <si>
    <t>Images uploaded and preview shown</t>
  </si>
  <si>
    <t>TC157</t>
  </si>
  <si>
    <t>Wizard Step 4</t>
  </si>
  <si>
    <t>Complete Onboarding Step 4 - Kitchen Details</t>
  </si>
  <si>
    <t>1. Set average prep time
2. Set daily capacity
3. Add bank account info
4. Add bank name and IBAN</t>
  </si>
  <si>
    <t>https://nutrio.me/partner/onboarding/[id]</t>
  </si>
  <si>
    <t>Kitchen details saved, can proceed to Step 5</t>
  </si>
  <si>
    <t>TC158</t>
  </si>
  <si>
    <t>Wizard Step 5</t>
  </si>
  <si>
    <t>Complete Onboarding Step 5 - Review &amp; Submit</t>
  </si>
  <si>
    <t>1. Review all entered information
2. Check accuracy of details
3. Accept terms and conditions
4. Click Submit</t>
  </si>
  <si>
    <t>Application submitted, status shows 'pending_approval'</t>
  </si>
  <si>
    <t>TC159</t>
  </si>
  <si>
    <t>Save Progress</t>
  </si>
  <si>
    <t>Save Onboarding Progress</t>
  </si>
  <si>
    <t>1. Fill partial information
2. Click Save Progress
3. Logout
4. Login again
5. Continue from where left off</t>
  </si>
  <si>
    <t>Progress saved, can resume onboarding</t>
  </si>
  <si>
    <t>TC160</t>
  </si>
  <si>
    <t>Real-time Updates</t>
  </si>
  <si>
    <t>Dashboard Real-time Order Updates</t>
  </si>
  <si>
    <t>1. Keep dashboard open
2. Have customer place order
3. Verify order appears without refresh
4. Check notification received</t>
  </si>
  <si>
    <t>https://nutrio.me/partner/dashboard/[id]/edit</t>
  </si>
  <si>
    <t>New order appears automatically on dashboard</t>
  </si>
  <si>
    <t>TC161</t>
  </si>
  <si>
    <t>Performance Chart</t>
  </si>
  <si>
    <t>View Performance Charts</t>
  </si>
  <si>
    <t>1. On dashboard, scroll to charts
2. View orders chart
3. View earnings chart
4. Hover for detailed values</t>
  </si>
  <si>
    <t>https://nutrio.me/partner/dashboard/[id]</t>
  </si>
  <si>
    <t>Charts display correctly with accurate data</t>
  </si>
  <si>
    <t>TC162</t>
  </si>
  <si>
    <t>Recent Orders</t>
  </si>
  <si>
    <t>View Recent Orders on Dashboard</t>
  </si>
  <si>
    <t>1. Look at Recent Orders section
2. Click View All
3. Verify navigation to Orders page</t>
  </si>
  <si>
    <t>Recent orders displayed, click navigates to full orders page</t>
  </si>
  <si>
    <t>TC163</t>
  </si>
  <si>
    <t>Quick Stats</t>
  </si>
  <si>
    <t>Dashboard Quick Stats Cards</t>
  </si>
  <si>
    <t>1. Verify Today's Orders card
2. Verify Today's Earnings card
3. Verify Weekly Total card
4. Verify Rating card
5. Check all values are accurate</t>
  </si>
  <si>
    <t>All stat cards show correct information</t>
  </si>
  <si>
    <t>TC164</t>
  </si>
  <si>
    <t>Bulk Actions</t>
  </si>
  <si>
    <t>Bulk Order Actions</t>
  </si>
  <si>
    <t>1. Select multiple orders
2. Click bulk action
3. Mark all as preparing
4. Verify all updated</t>
  </si>
  <si>
    <t>All selected orders updated to new status</t>
  </si>
  <si>
    <t>TC165</t>
  </si>
  <si>
    <t>Filter by Status</t>
  </si>
  <si>
    <t>Filter Orders by Status</t>
  </si>
  <si>
    <t>1. On orders page
2. Click filter dropdown
3. Select 'Preparing'
4. Verify only preparing orders shown</t>
  </si>
  <si>
    <t>https://nutrio.me/partner/orders?filter=[value]</t>
  </si>
  <si>
    <t>Orders filtered by selected status</t>
  </si>
  <si>
    <t>TC166</t>
  </si>
  <si>
    <t>Filter by Date</t>
  </si>
  <si>
    <t>Filter Orders by Date Range</t>
  </si>
  <si>
    <t>1. Select date range
2. Apply filter
3. Verify orders within range displayed</t>
  </si>
  <si>
    <t>Orders filtered by date range</t>
  </si>
  <si>
    <t>TC167</t>
  </si>
  <si>
    <t>Search Orders</t>
  </si>
  <si>
    <t>Search Orders by Order ID or Customer</t>
  </si>
  <si>
    <t>1. Enter order ID in search
2. Press Enter
3. Verify matching order displayed
4. Try searching by customer name</t>
  </si>
  <si>
    <t>https://nutrio.me/partner/orders?q=[search-term]</t>
  </si>
  <si>
    <t>Search results show matching orders</t>
  </si>
  <si>
    <t>TC168</t>
  </si>
  <si>
    <t>Order Timeline</t>
  </si>
  <si>
    <t>View Order Status Timeline</t>
  </si>
  <si>
    <t>1. Open order details
2. View status timeline
3. Check all status changes logged
4. Verify timestamps accurate</t>
  </si>
  <si>
    <t>Complete timeline of order status changes shown</t>
  </si>
  <si>
    <t>TC169</t>
  </si>
  <si>
    <t>Customer Details</t>
  </si>
  <si>
    <t>View Customer Details in Order</t>
  </si>
  <si>
    <t>1. Open order details
2. View customer section
3. Verify name, phone, address shown
4. Check delivery instructions</t>
  </si>
  <si>
    <t>All customer information displayed accurately</t>
  </si>
  <si>
    <t>TC170</t>
  </si>
  <si>
    <t>1. Open order details
2. Click Print button
3. Verify print dialog opens
4. Check ticket format</t>
  </si>
  <si>
    <t>Print dialog opens with kitchen-friendly format</t>
  </si>
  <si>
    <t>TC171</t>
  </si>
  <si>
    <t>Order Notifications</t>
  </si>
  <si>
    <t>Order Notification Settings</t>
  </si>
  <si>
    <t>1. Go to profile
2. Check notification settings
3. Enable/disable order notifications
4. Save settings</t>
  </si>
  <si>
    <t>Notification preferences saved and applied</t>
  </si>
  <si>
    <t>TC172</t>
  </si>
  <si>
    <t>Bulk Toggle</t>
  </si>
  <si>
    <t>Bulk Toggle Item Availability</t>
  </si>
  <si>
    <t>1. Select multiple menu items
2. Click Toggle Availability
3. Verify all items status changed</t>
  </si>
  <si>
    <t>All selected items availability toggled</t>
  </si>
  <si>
    <t>TC173</t>
  </si>
  <si>
    <t>Duplicate Item</t>
  </si>
  <si>
    <t>Duplicate Menu Item</t>
  </si>
  <si>
    <t>1. Find existing item
2. Click Duplicate
3. Modify details
4. Save as new item</t>
  </si>
  <si>
    <t>Item duplicated with editable copy</t>
  </si>
  <si>
    <t>TC174</t>
  </si>
  <si>
    <t>Image Crop</t>
  </si>
  <si>
    <t>Crop Uploaded Image</t>
  </si>
  <si>
    <t>1. Upload meal photo
2. Click crop tool
3. Adjust crop area
4. Save cropped image</t>
  </si>
  <si>
    <t>Image cropped and saved correctly</t>
  </si>
  <si>
    <t>TC175</t>
  </si>
  <si>
    <t>Nutrition Calculator</t>
  </si>
  <si>
    <t>Use Nutrition Calculator</t>
  </si>
  <si>
    <t>1. Add new meal
2. Enter ingredients
3. Use nutrition calculator
4. Verify auto-calculated values</t>
  </si>
  <si>
    <t>Nutrition values auto-calculated from ingredients</t>
  </si>
  <si>
    <t>TC176</t>
  </si>
  <si>
    <t>Menu Categories</t>
  </si>
  <si>
    <t>Organize Menu by Categories</t>
  </si>
  <si>
    <t>1. Create category (e.g., 'Main Course')
2. Assign meals to category
3. View menu by category
4. Reorder categories</t>
  </si>
  <si>
    <t>Meals organized by categories</t>
  </si>
  <si>
    <t>TC177</t>
  </si>
  <si>
    <t>Preview Menu</t>
  </si>
  <si>
    <t>Preview Menu as Customer Sees It</t>
  </si>
  <si>
    <t>1. Click Preview button
2. View menu as customer sees it
3. Verify all items display correctly
4. Check photos and descriptions</t>
  </si>
  <si>
    <t>Menu preview matches customer view</t>
  </si>
  <si>
    <t>TC178</t>
  </si>
  <si>
    <t>Export Menu</t>
  </si>
  <si>
    <t>Export Menu Data</t>
  </si>
  <si>
    <t>1. Go to menu
2. Click Export
3. Select format (CSV/Excel)
4. Download file</t>
  </si>
  <si>
    <t>Menu data exported successfully</t>
  </si>
  <si>
    <t>TC179</t>
  </si>
  <si>
    <t>Import Menu</t>
  </si>
  <si>
    <t>Import Menu Items</t>
  </si>
  <si>
    <t>1. Prepare import file
2. Click Import
3. Upload file
4. Map fields
5. Complete import</t>
  </si>
  <si>
    <t>Menu items imported successfully</t>
  </si>
  <si>
    <t>TC180</t>
  </si>
  <si>
    <t>Earnings Chart</t>
  </si>
  <si>
    <t>View Earnings Chart</t>
  </si>
  <si>
    <t>1. Go to earnings page
2. View earnings chart
3. Switch between daily/weekly/monthly views
4. Hover for detailed values</t>
  </si>
  <si>
    <t>Chart displays earnings trends accurately</t>
  </si>
  <si>
    <t>TC181</t>
  </si>
  <si>
    <t>Top Meals</t>
  </si>
  <si>
    <t>View Top Performing Meals</t>
  </si>
  <si>
    <t>1. Scroll to Top Meals section
2. View best-selling items
3. Check quantities sold
4. View revenue per item</t>
  </si>
  <si>
    <t>Top performing meals displayed with stats</t>
  </si>
  <si>
    <t>TC182</t>
  </si>
  <si>
    <t>Payout Invoice</t>
  </si>
  <si>
    <t>Download Payout Invoice</t>
  </si>
  <si>
    <t>1. Go to payout history
2. Click on payout
3. Click Download Invoice
4. Verify PDF contains correct details</t>
  </si>
  <si>
    <t>https://nutrio.me/partner/payouts</t>
  </si>
  <si>
    <t>Invoice downloaded with accurate information</t>
  </si>
  <si>
    <t>TC183</t>
  </si>
  <si>
    <t>Dispute Payout</t>
  </si>
  <si>
    <t>Dispute a Payout</t>
  </si>
  <si>
    <t>1. Find payout in history
2. Click Dispute
3. Enter reason
4. Submit dispute
5. Verify confirmation</t>
  </si>
  <si>
    <t>Dispute submitted, under review status shown</t>
  </si>
  <si>
    <t>TC184</t>
  </si>
  <si>
    <t>Tax Report</t>
  </si>
  <si>
    <t>Generate Tax Report</t>
  </si>
  <si>
    <t>1. Go to earnings
2. Click Tax Report
3. Select year
4. Generate report
5. Download PDF</t>
  </si>
  <si>
    <t>Tax report generated with all earnings data</t>
  </si>
  <si>
    <t>TC185</t>
  </si>
  <si>
    <t>Compare Periods</t>
  </si>
  <si>
    <t>Compare Earnings Periods</t>
  </si>
  <si>
    <t>1. Select first period
2. Select comparison period
3. View comparison chart
4. Analyze differences</t>
  </si>
  <si>
    <t>Period comparison displayed with growth/decline metrics</t>
  </si>
  <si>
    <t>TC186</t>
  </si>
  <si>
    <t>Change Password</t>
  </si>
  <si>
    <t>Change Account Password</t>
  </si>
  <si>
    <t>1. Go to profile
2. Click Change Password
3. Enter current password
4. Enter new password
5. Confirm
6. Logout and test new password</t>
  </si>
  <si>
    <t>Password changed successfully</t>
  </si>
  <si>
    <t>TC187</t>
  </si>
  <si>
    <t>Two-Factor Auth</t>
  </si>
  <si>
    <t>Enable Two-Factor Authentication</t>
  </si>
  <si>
    <t>1. Go to security settings
2. Enable 2FA
3. Scan QR code
4. Enter verification code
5. Save backup codes</t>
  </si>
  <si>
    <t>2FA enabled, backup codes provided</t>
  </si>
  <si>
    <t>TC188</t>
  </si>
  <si>
    <t>Notification Preferences</t>
  </si>
  <si>
    <t>Set Notification Preferences</t>
  </si>
  <si>
    <t>1. Go to profile
2. Click Notifications
3. Toggle email notifications
4. Toggle WhatsApp notifications
5. Set quiet hours</t>
  </si>
  <si>
    <t>Notification preferences saved</t>
  </si>
  <si>
    <t>TC189</t>
  </si>
  <si>
    <t>API Access</t>
  </si>
  <si>
    <t>Generate API Key</t>
  </si>
  <si>
    <t>1. Go to profile
2. Click API Access
3. Generate new key
4. Copy and save key
5. View API documentation</t>
  </si>
  <si>
    <t>API key generated and displayed</t>
  </si>
  <si>
    <t>TC190</t>
  </si>
  <si>
    <t>Business Hours</t>
  </si>
  <si>
    <t>Set Special Hours</t>
  </si>
  <si>
    <t>1. Go to operating hours
2. Set regular hours
3. Add special hours (holidays)
4. Mark temporary closures
5. Save</t>
  </si>
  <si>
    <t>Special hours saved and applied</t>
  </si>
  <si>
    <t>TC191</t>
  </si>
  <si>
    <t>Delivery Zones</t>
  </si>
  <si>
    <t>Set Delivery Zones</t>
  </si>
  <si>
    <t>1. Go to delivery settings
2. View map
3. Draw delivery zone
4. Set minimum order
5. Set delivery fee
6. Save</t>
  </si>
  <si>
    <t>Delivery zone saved and shown on map</t>
  </si>
  <si>
    <t>TC192</t>
  </si>
  <si>
    <t>Team Members</t>
  </si>
  <si>
    <t>Add Team Members</t>
  </si>
  <si>
    <t>1. Go to team management
2. Click Add Member
3. Enter email
4. Set role (Admin/Staff)
5. Send invitation</t>
  </si>
  <si>
    <t>https://nutrio.me/partner/profile/new</t>
  </si>
  <si>
    <t>Invitation sent, member can access with limited permissions</t>
  </si>
  <si>
    <t>TC193</t>
  </si>
  <si>
    <t>Remove Team Member</t>
  </si>
  <si>
    <t>1. Go to team management
2. Find member
3. Click Remove
4. Confirm removal</t>
  </si>
  <si>
    <t>Member removed, access revoked</t>
  </si>
  <si>
    <t>TC194</t>
  </si>
  <si>
    <t>Analytics</t>
  </si>
  <si>
    <t>View Analytics</t>
  </si>
  <si>
    <t>View Business Analytics</t>
  </si>
  <si>
    <t>1. Go to Analytics page
2. View order trends
3. View customer insights
4. View peak hours
5. Export analytics report</t>
  </si>
  <si>
    <t>https://nutrio.me/partner/analytics/[id]</t>
  </si>
  <si>
    <t>Analytics displayed with actionable insights</t>
  </si>
  <si>
    <t>TC195</t>
  </si>
  <si>
    <t>Customer Feedback</t>
  </si>
  <si>
    <t>View Customer Feedback</t>
  </si>
  <si>
    <t>1. Go to Reviews section
2. View all customer reviews
3. Filter by rating
4. Respond to review
5. Mark as resolved</t>
  </si>
  <si>
    <t>Reviews displayed, can respond to customers</t>
  </si>
  <si>
    <t>TC196</t>
  </si>
  <si>
    <t>Performance Metrics</t>
  </si>
  <si>
    <t>View Detailed Performance Metrics</t>
  </si>
  <si>
    <t>1. View order fulfillment rate
2. View average prep time
3. View on-time delivery rate
4. Compare with industry average</t>
  </si>
  <si>
    <t>All performance metrics displayed</t>
  </si>
  <si>
    <t>TC197</t>
  </si>
  <si>
    <t>Support</t>
  </si>
  <si>
    <t>Contact Support</t>
  </si>
  <si>
    <t>Contact Support via Dashboard</t>
  </si>
  <si>
    <t>1. Click Support button
2. Select issue type
3. Describe problem
4. Attach screenshot
5. Submit ticket</t>
  </si>
  <si>
    <t>https://nutrio.me/partner/support</t>
  </si>
  <si>
    <t>Support ticket created, confirmation shown</t>
  </si>
  <si>
    <t>TC198</t>
  </si>
  <si>
    <t>View Knowledge Base</t>
  </si>
  <si>
    <t>Access Knowledge Base</t>
  </si>
  <si>
    <t>1. Click Help
2. Browse articles
3. Search for topic
4. View article</t>
  </si>
  <si>
    <t>Knowledge base articles displayed</t>
  </si>
  <si>
    <t>TC199</t>
  </si>
  <si>
    <t>Live Chat</t>
  </si>
  <si>
    <t>Start Live Chat</t>
  </si>
  <si>
    <t>1. Click Chat icon
2. Start conversation
3. Send message
4. Receive response</t>
  </si>
  <si>
    <t>Chat connected, messages exchanged</t>
  </si>
  <si>
    <t>https://nutrio.me/</t>
  </si>
  <si>
    <t>SUMMARY</t>
  </si>
  <si>
    <t>Total Tests:</t>
  </si>
  <si>
    <t>Passed:</t>
  </si>
  <si>
    <t>Failed:</t>
  </si>
  <si>
    <t>Pass Rate:</t>
  </si>
  <si>
    <t>TC338</t>
  </si>
  <si>
    <t>AI</t>
  </si>
  <si>
    <t>AI Insights</t>
  </si>
  <si>
    <t>View AI Business Insights</t>
  </si>
  <si>
    <t>1. Go to AI Insights
2. View demand forecast
3. Check popular times
4. Review recommendations</t>
  </si>
  <si>
    <t>https://nutrio.me/partner/ai-insights</t>
  </si>
  <si>
    <t>AI insights displayed for restaurant</t>
  </si>
  <si>
    <t>TC339</t>
  </si>
  <si>
    <t>Boost</t>
  </si>
  <si>
    <t>Boost Features</t>
  </si>
  <si>
    <t>Purchase and Use Boost</t>
  </si>
  <si>
    <t>1. Go to Boost
2. Select boost package
3. Complete payment
4. Verify boosted placement</t>
  </si>
  <si>
    <t>https://nutrio.me/partner/boost</t>
  </si>
  <si>
    <t>Restaurant boosted in listings</t>
  </si>
  <si>
    <t>TC340</t>
  </si>
  <si>
    <t>Addons</t>
  </si>
  <si>
    <t>Meal Add-ons</t>
  </si>
  <si>
    <t>Manage Meal Add-ons</t>
  </si>
  <si>
    <t>1. Go to Add-ons
2. Create add-on category
3. Add add-on items
4. Set prices</t>
  </si>
  <si>
    <t>https://nutrio.me/partner/addons</t>
  </si>
  <si>
    <t>Add-ons created and available</t>
  </si>
  <si>
    <t>TC341</t>
  </si>
  <si>
    <t>Detailed Earnings Dashboard</t>
  </si>
  <si>
    <t>View Detailed Earnings</t>
  </si>
  <si>
    <t>1. Go to Earnings Dashboard
2. View charts
3. Filter by date
4. Export data</t>
  </si>
  <si>
    <t>https://nutrio.me/partner/earnings</t>
  </si>
  <si>
    <t>Detailed earnings analytics displayed</t>
  </si>
  <si>
    <t>TC200</t>
  </si>
  <si>
    <t>Login as Partner</t>
  </si>
  <si>
    <t>1. Navigate to /partner/auth
2. Enter credentials
3. Login</t>
  </si>
  <si>
    <t>Partner logged in</t>
  </si>
  <si>
    <t>TC201</t>
  </si>
  <si>
    <t>Invalid Credentials</t>
  </si>
  <si>
    <t>1. Enter wrong password
2. Try login
3. Check error</t>
  </si>
  <si>
    <t>Error displayed</t>
  </si>
  <si>
    <t>TC202</t>
  </si>
  <si>
    <t>1. Click user menu
2. Click Logout
3. Verify</t>
  </si>
  <si>
    <t>Logged out</t>
  </si>
  <si>
    <t>TC203</t>
  </si>
  <si>
    <t>1. Click Forgot
2. Enter email
3. Check email
4. Reset</t>
  </si>
  <si>
    <t>Password reset successful</t>
  </si>
  <si>
    <t>TC210</t>
  </si>
  <si>
    <t>Step 1 - Basic Info</t>
  </si>
  <si>
    <t>Onboarding Step 1</t>
  </si>
  <si>
    <t>1. Start onboarding
2. Fill name
3. Add description
4. Select cuisine
5. Continue</t>
  </si>
  <si>
    <t>Step 1 saved</t>
  </si>
  <si>
    <t>TC211</t>
  </si>
  <si>
    <t>Step 2 - Location</t>
  </si>
  <si>
    <t>Onboarding Step 2</t>
  </si>
  <si>
    <t>1. Enter address
2. Pin location
3. Add phone
4. Set hours
5. Continue</t>
  </si>
  <si>
    <t>Step 2 saved</t>
  </si>
  <si>
    <t>TC212</t>
  </si>
  <si>
    <t>Step 3 - Media</t>
  </si>
  <si>
    <t>Onboarding Step 3</t>
  </si>
  <si>
    <t>1. Upload logo
2. Upload photos
3. Verify preview
4. Continue</t>
  </si>
  <si>
    <t>Images uploaded</t>
  </si>
  <si>
    <t>TC213</t>
  </si>
  <si>
    <t>Step 4 - Kitchen</t>
  </si>
  <si>
    <t>Onboarding Step 4</t>
  </si>
  <si>
    <t>1. Set prep time
2. Set capacity
3. Add bank info
4. Continue</t>
  </si>
  <si>
    <t>Step 4 saved</t>
  </si>
  <si>
    <t>TC214</t>
  </si>
  <si>
    <t>Step 5 - Review</t>
  </si>
  <si>
    <t>Onboarding Step 5</t>
  </si>
  <si>
    <t>1. Review all info
2. Accept terms
3. Submit
4. Verify pending</t>
  </si>
  <si>
    <t>Application submitted</t>
  </si>
  <si>
    <t>TC215</t>
  </si>
  <si>
    <t>1. Fill partial
2. Click Save
3. Logout
4. Resume</t>
  </si>
  <si>
    <t>Progress saved</t>
  </si>
  <si>
    <t>TC216</t>
  </si>
  <si>
    <t>Pending Approval</t>
  </si>
  <si>
    <t>View Pending Approval</t>
  </si>
  <si>
    <t>1. Submit application
2. View pending page
3. Check status</t>
  </si>
  <si>
    <t>https://nutrio.me/partner/pending-approval</t>
  </si>
  <si>
    <t>Pending status displayed</t>
  </si>
  <si>
    <t>TC220</t>
  </si>
  <si>
    <t>Dashboard Load</t>
  </si>
  <si>
    <t>Load Partner Dashboard</t>
  </si>
  <si>
    <t>1. Login as partner
2. View dashboard
3. Check widgets</t>
  </si>
  <si>
    <t>Dashboard loaded</t>
  </si>
  <si>
    <t>TC221</t>
  </si>
  <si>
    <t>Today's Orders</t>
  </si>
  <si>
    <t>View Today's Orders</t>
  </si>
  <si>
    <t>1. View dashboard
2. Check orders widget
3. View count</t>
  </si>
  <si>
    <t>Today's orders displayed</t>
  </si>
  <si>
    <t>TC222</t>
  </si>
  <si>
    <t>Earnings Summary</t>
  </si>
  <si>
    <t>View Earnings Summary</t>
  </si>
  <si>
    <t>1. View dashboard
2. Check earnings
3. View today's
4. View weekly</t>
  </si>
  <si>
    <t>Earnings summary displayed</t>
  </si>
  <si>
    <t>TC223</t>
  </si>
  <si>
    <t>Use Quick Actions</t>
  </si>
  <si>
    <t>1. Click 'View Orders'
2. Return
3. Click 'Update Menu'</t>
  </si>
  <si>
    <t>Quick actions work</t>
  </si>
  <si>
    <t>TC224</t>
  </si>
  <si>
    <t>Real-time Order Updates</t>
  </si>
  <si>
    <t>1. Keep dashboard open
2. Customer places order
3. Verify appears</t>
  </si>
  <si>
    <t>Order appears automatically</t>
  </si>
  <si>
    <t>TC225</t>
  </si>
  <si>
    <t>Performance Charts</t>
  </si>
  <si>
    <t>1. View dashboard
2. Scroll to charts
3. View orders
4. View earnings</t>
  </si>
  <si>
    <t>Charts displayed</t>
  </si>
  <si>
    <t>TC226</t>
  </si>
  <si>
    <t>View Quick Stats Cards</t>
  </si>
  <si>
    <t>1. View dashboard
2. Check stats cards
3. Verify accuracy</t>
  </si>
  <si>
    <t>Stats cards displayed</t>
  </si>
  <si>
    <t>TC230</t>
  </si>
  <si>
    <t>1. Go to Orders
2. View active
3. Check details</t>
  </si>
  <si>
    <t>Active orders displayed</t>
  </si>
  <si>
    <t>TC231</t>
  </si>
  <si>
    <t>1. Click History tab
2. View past
3. Check dates</t>
  </si>
  <si>
    <t>Order history displayed</t>
  </si>
  <si>
    <t>TC232</t>
  </si>
  <si>
    <t>1. New order notification
2. Click Accept
3. Confirm</t>
  </si>
  <si>
    <t>Order accepted</t>
  </si>
  <si>
    <t>TC233</t>
  </si>
  <si>
    <t>1. Open order
2. Click 'Mark Preparing'
3. Later 'Mark Ready'</t>
  </si>
  <si>
    <t>Status updated</t>
  </si>
  <si>
    <t>TC234</t>
  </si>
  <si>
    <t>1. Click order
2. View details
3. Check items
4. Check customer</t>
  </si>
  <si>
    <t>Order details displayed</t>
  </si>
  <si>
    <t>TC235</t>
  </si>
  <si>
    <t>1. Open order
2. Click Print
3. Verify format</t>
  </si>
  <si>
    <t>Print dialog opens</t>
  </si>
  <si>
    <t>TC236</t>
  </si>
  <si>
    <t>1. On orders
2. Click filter
3. Select status
4. Apply</t>
  </si>
  <si>
    <t>Orders filtered</t>
  </si>
  <si>
    <t>TC237</t>
  </si>
  <si>
    <t>1. Enter order ID
2. Search
3. View results</t>
  </si>
  <si>
    <t>Search results displayed</t>
  </si>
  <si>
    <t>TC238</t>
  </si>
  <si>
    <t>View Order Timeline</t>
  </si>
  <si>
    <t>1. Open order
2. View timeline
3. Check timestamps</t>
  </si>
  <si>
    <t>Timeline displayed</t>
  </si>
  <si>
    <t>TC239</t>
  </si>
  <si>
    <t>View Customer in Order</t>
  </si>
  <si>
    <t>1. Open order
2. View customer
3. Check name
4. Check phone</t>
  </si>
  <si>
    <t>Customer info displayed</t>
  </si>
  <si>
    <t>TC240</t>
  </si>
  <si>
    <t>1. Go to Menu
2. View items
3. Check photos</t>
  </si>
  <si>
    <t>Menu displayed</t>
  </si>
  <si>
    <t>TC241</t>
  </si>
  <si>
    <t>Add Menu Item</t>
  </si>
  <si>
    <t>1. Click 'Add'
2. Fill name
3. Add description
4. Add nutrition
5. Upload photo
6. Save</t>
  </si>
  <si>
    <t>Item added</t>
  </si>
  <si>
    <t>TC242</t>
  </si>
  <si>
    <t>1. Click item
2. Click Edit
3. Change details
4. Save</t>
  </si>
  <si>
    <t>Item updated</t>
  </si>
  <si>
    <t>TC243</t>
  </si>
  <si>
    <t>1. Click item
2. Click Delete
3. Confirm</t>
  </si>
  <si>
    <t>Item deleted</t>
  </si>
  <si>
    <t>TC244</t>
  </si>
  <si>
    <t>1. Find item
2. Toggle switch
3. Verify status</t>
  </si>
  <si>
    <t>Availability toggled</t>
  </si>
  <si>
    <t>TC245</t>
  </si>
  <si>
    <t>1. Add/Edit meal
2. Click Upload
3. Select image
4. Save</t>
  </si>
  <si>
    <t>Photo uploaded</t>
  </si>
  <si>
    <t>TC246</t>
  </si>
  <si>
    <t>Add Nutrition Info</t>
  </si>
  <si>
    <t>1. Edit meal
2. Add calories
3. Add protein/carbs/fat
4. Save</t>
  </si>
  <si>
    <t>Nutrition saved</t>
  </si>
  <si>
    <t>TC247</t>
  </si>
  <si>
    <t>1. Find item
2. Click Duplicate
3. Modify
4. Save as new</t>
  </si>
  <si>
    <t>Item duplicated</t>
  </si>
  <si>
    <t>TC248</t>
  </si>
  <si>
    <t>Bulk Toggle Availability</t>
  </si>
  <si>
    <t>1. Select multiple
2. Click Toggle
3. Verify all changed</t>
  </si>
  <si>
    <t>All selected toggled</t>
  </si>
  <si>
    <t>TC249</t>
  </si>
  <si>
    <t>1. Upload photo
2. Click crop
3. Adjust
4. Save</t>
  </si>
  <si>
    <t>Image cropped</t>
  </si>
  <si>
    <t>TC250</t>
  </si>
  <si>
    <t>Preview Menu as Customer</t>
  </si>
  <si>
    <t>1. Click Preview
2. View as customer
3. Check display
4. Close</t>
  </si>
  <si>
    <t>Preview displayed</t>
  </si>
  <si>
    <t>TC251</t>
  </si>
  <si>
    <t>1. Go to menu
2. Click Export
3. Select format
4. Download</t>
  </si>
  <si>
    <t>Menu exported</t>
  </si>
  <si>
    <t>TC252</t>
  </si>
  <si>
    <t>1. Prepare file
2. Click Import
3. Upload
4. Map fields
5. Import</t>
  </si>
  <si>
    <t>Items imported</t>
  </si>
  <si>
    <t>TC260</t>
  </si>
  <si>
    <t>View Add-ons</t>
  </si>
  <si>
    <t>View Meal Add-ons</t>
  </si>
  <si>
    <t>1. Go to Add-ons
2. View categories
3. View items</t>
  </si>
  <si>
    <t>Add-ons displayed</t>
  </si>
  <si>
    <t>TC261</t>
  </si>
  <si>
    <t>Add Category</t>
  </si>
  <si>
    <t>Add Add-on Category</t>
  </si>
  <si>
    <t>1. Click Add Category
2. Enter name
3. Save</t>
  </si>
  <si>
    <t>Category created</t>
  </si>
  <si>
    <t>TC262</t>
  </si>
  <si>
    <t>Add Add-on Item</t>
  </si>
  <si>
    <t>1. Select category
2. Click Add Item
3. Fill details
4. Set price
5. Save</t>
  </si>
  <si>
    <t>Add-on item added</t>
  </si>
  <si>
    <t>TC263</t>
  </si>
  <si>
    <t>Edit Add-on</t>
  </si>
  <si>
    <t>1. Find add-on
2. Click Edit
3. Change
4. Save</t>
  </si>
  <si>
    <t>Add-on updated</t>
  </si>
  <si>
    <t>TC264</t>
  </si>
  <si>
    <t>Delete Add-on</t>
  </si>
  <si>
    <t>1. Find add-on
2. Click Delete
3. Confirm</t>
  </si>
  <si>
    <t>Add-on deleted</t>
  </si>
  <si>
    <t>TC270</t>
  </si>
  <si>
    <t>1. Go to Earnings
2. View summary
3. Check today's
4. Check weekly</t>
  </si>
  <si>
    <t>Earnings displayed</t>
  </si>
  <si>
    <t>TC271</t>
  </si>
  <si>
    <t>1. Click History
2. View past payouts
3. Check dates</t>
  </si>
  <si>
    <t>Payout history displayed</t>
  </si>
  <si>
    <t>TC272</t>
  </si>
  <si>
    <t>1. Click payout
2. View breakdown
3. Check daily</t>
  </si>
  <si>
    <t>Details displayed</t>
  </si>
  <si>
    <t>TC273</t>
  </si>
  <si>
    <t>Earnings Charts</t>
  </si>
  <si>
    <t>View Earnings Charts</t>
  </si>
  <si>
    <t>1. Go to earnings
2. View charts
3. Switch views
4. Hover details</t>
  </si>
  <si>
    <t>TC274</t>
  </si>
  <si>
    <t>1. Scroll to Top Meals
2. View best sellers
3. Check quantities</t>
  </si>
  <si>
    <t>Top meals displayed</t>
  </si>
  <si>
    <t>TC275</t>
  </si>
  <si>
    <t>Download Invoice</t>
  </si>
  <si>
    <t>1. Go to payouts
2. Click payout
3. Download Invoice
4. Verify PDF</t>
  </si>
  <si>
    <t>Invoice downloaded</t>
  </si>
  <si>
    <t>TC276</t>
  </si>
  <si>
    <t>1. Find payout
2. Click Dispute
3. Enter reason
4. Submit</t>
  </si>
  <si>
    <t>Dispute submitted</t>
  </si>
  <si>
    <t>TC277</t>
  </si>
  <si>
    <t>1. Go to earnings
2. Click Tax Report
3. Select year
4. Generate</t>
  </si>
  <si>
    <t>Tax report generated</t>
  </si>
  <si>
    <t>TC280</t>
  </si>
  <si>
    <t>1. Go to Profile
2. View info
3. Check hours
4. Check capacity</t>
  </si>
  <si>
    <t>Profile displayed</t>
  </si>
  <si>
    <t>TC281</t>
  </si>
  <si>
    <t>1. Click Edit
2. Change description
3. Change hours
4. Save</t>
  </si>
  <si>
    <t>Profile updated</t>
  </si>
  <si>
    <t>TC282</t>
  </si>
  <si>
    <t>1. Go to profile
2. Edit bank info
3. Save</t>
  </si>
  <si>
    <t>Bank details updated</t>
  </si>
  <si>
    <t>TC283</t>
  </si>
  <si>
    <t>1. Go to profile
2. Change capacity
3. Save</t>
  </si>
  <si>
    <t>Capacity updated</t>
  </si>
  <si>
    <t>TC284</t>
  </si>
  <si>
    <t>1. Go to profile
2. Toggle accepting
3. Save
4. Verify</t>
  </si>
  <si>
    <t>Status changed</t>
  </si>
  <si>
    <t>TC285</t>
  </si>
  <si>
    <t>1. Go to profile
2. Click Update Logo
3. Upload
4. Save</t>
  </si>
  <si>
    <t>Logo updated</t>
  </si>
  <si>
    <t>TC286</t>
  </si>
  <si>
    <t>1. Go to profile
2. Add/Remove photos
3. Save</t>
  </si>
  <si>
    <t>Photos updated</t>
  </si>
  <si>
    <t>TC287</t>
  </si>
  <si>
    <t>1. Go to profile
2. Click Change Password
3. Enter current
4. Enter new
5. Save</t>
  </si>
  <si>
    <t>Password changed</t>
  </si>
  <si>
    <t>TC288</t>
  </si>
  <si>
    <t>1. Go to hours
2. Set regular
3. Add special
4. Save</t>
  </si>
  <si>
    <t>Hours saved</t>
  </si>
  <si>
    <t>TC289</t>
  </si>
  <si>
    <t>1. Go to delivery
2. View map
3. Draw zone
4. Set minimum
5. Save</t>
  </si>
  <si>
    <t>Zone saved</t>
  </si>
  <si>
    <t>TC290</t>
  </si>
  <si>
    <t>Add Team Member</t>
  </si>
  <si>
    <t>1. Go to team
2. Click Add
3. Enter email
4. Set role
5. Send</t>
  </si>
  <si>
    <t>Invitation sent</t>
  </si>
  <si>
    <t>TC291</t>
  </si>
  <si>
    <t>1. Go to team
2. Find member
3. Click Remove
4. Confirm</t>
  </si>
  <si>
    <t>Member removed</t>
  </si>
  <si>
    <t>TC292</t>
  </si>
  <si>
    <t>1. Go to profile
2. Click Notifications
3. Toggle options
4. Save</t>
  </si>
  <si>
    <t>Preferences saved</t>
  </si>
  <si>
    <t>TC300</t>
  </si>
  <si>
    <t>1. Go to Analytics
2. View trends
3. Check insights
4. Check peak hours</t>
  </si>
  <si>
    <t>https://nutrio.me/partner/analytics</t>
  </si>
  <si>
    <t>Analytics displayed</t>
  </si>
  <si>
    <t>TC301</t>
  </si>
  <si>
    <t>View Customer Reviews</t>
  </si>
  <si>
    <t>1. Go to Reviews
2. View all
3. Filter by rating
4. Respond</t>
  </si>
  <si>
    <t>https://nutrio.me/partner/reviews</t>
  </si>
  <si>
    <t>Reviews displayed</t>
  </si>
  <si>
    <t>TC302</t>
  </si>
  <si>
    <t>View Performance Metrics</t>
  </si>
  <si>
    <t>1. View fulfillment rate
2. View prep time
3. View on-time
4. Compare</t>
  </si>
  <si>
    <t>Metrics displayed</t>
  </si>
  <si>
    <t>TC303</t>
  </si>
  <si>
    <t>1. Go to AI Insights
2. View forecast
3. Check popular times
4. Review</t>
  </si>
  <si>
    <t>AI insights displayed</t>
  </si>
  <si>
    <t>TC310</t>
  </si>
  <si>
    <t>View Boost</t>
  </si>
  <si>
    <t>View Boost Options</t>
  </si>
  <si>
    <t>1. Go to Boost
2. View packages
3. Check pricing</t>
  </si>
  <si>
    <t>Boost options displayed</t>
  </si>
  <si>
    <t>TC311</t>
  </si>
  <si>
    <t>Purchase Boost</t>
  </si>
  <si>
    <t>Purchase Boost Package</t>
  </si>
  <si>
    <t>1. Select package
2. Complete payment
3. Verify boosted</t>
  </si>
  <si>
    <t>Restaurant boosted</t>
  </si>
  <si>
    <t>TC320</t>
  </si>
  <si>
    <t>Notifications</t>
  </si>
  <si>
    <t>View Notifications</t>
  </si>
  <si>
    <t>1. Go to Notifications
2. View all
3. Mark read</t>
  </si>
  <si>
    <t>https://nutrio.me/partner/notifications</t>
  </si>
  <si>
    <t>Notifications displayed</t>
  </si>
  <si>
    <t>TC330</t>
  </si>
  <si>
    <t>1. Click Support
2. Select issue
3. Describe
4. Submit</t>
  </si>
  <si>
    <t>Ticket created</t>
  </si>
  <si>
    <t>TC331</t>
  </si>
  <si>
    <t>1. Click Help
2. Browse articles
3. Search
4. View</t>
  </si>
  <si>
    <t>Knowledge base displayed</t>
  </si>
  <si>
    <t>TC332</t>
  </si>
  <si>
    <t>1. Click Chat
2. Start conversation
3. Send message
4. Receive response</t>
  </si>
  <si>
    <t>Chat connected</t>
  </si>
  <si>
    <t>Settings</t>
  </si>
  <si>
    <t>View Settings</t>
  </si>
  <si>
    <t>View Partner Settings</t>
  </si>
  <si>
    <t>1. Go to Settings
2. View options
3. Check configuration</t>
  </si>
  <si>
    <t>https://nutrio.me/partner/settings</t>
  </si>
  <si>
    <t>Settings displayed</t>
  </si>
  <si>
    <t>Update Settings</t>
  </si>
  <si>
    <t>1. Modify settings
2. Save changes
3. Verify</t>
  </si>
  <si>
    <t>Settings saved</t>
  </si>
  <si>
    <t>TC001</t>
  </si>
  <si>
    <t>Customer Login with Valid Credentials</t>
  </si>
  <si>
    <t>1. Navigate to /auth
2. Enter Email: eng.aljabor@gmail.com
3. Enter Password: 123456789
4. Click Sign In</t>
  </si>
  <si>
    <t>https://nutrio.me/auth</t>
  </si>
  <si>
    <t>User logged in and redirected to dashboard</t>
  </si>
  <si>
    <t>TC002</t>
  </si>
  <si>
    <t>Customer Login with Invalid Password</t>
  </si>
  <si>
    <t>1. Navigate to /auth
2. Enter valid email
3. Enter invalid password
4. Click Sign In</t>
  </si>
  <si>
    <t>Error message: Invalid credentials</t>
  </si>
  <si>
    <t>TC003</t>
  </si>
  <si>
    <t>Registration</t>
  </si>
  <si>
    <t>New Customer Registration</t>
  </si>
  <si>
    <t>1. Navigate to /auth
2. Click Create Account
3. Fill all required fields
4. Click Sign Up
5. Verify email</t>
  </si>
  <si>
    <t>Account created successfully, verification email sent</t>
  </si>
  <si>
    <t>FAIL</t>
  </si>
  <si>
    <t xml:space="preserve">not recivceing the email </t>
  </si>
  <si>
    <t>TC004</t>
  </si>
  <si>
    <t>Password Reset Flow</t>
  </si>
  <si>
    <t>1. Click Forgot Password
2. Enter email
3. Click Reset
4. Check email
5. Click reset link
6. Enter new password</t>
  </si>
  <si>
    <t>Password reset successful, can login with new password</t>
  </si>
  <si>
    <t>TC005</t>
  </si>
  <si>
    <t>Customer Logout</t>
  </si>
  <si>
    <t>User logged out, redirected to login page</t>
  </si>
  <si>
    <t xml:space="preserve"> PASS</t>
  </si>
  <si>
    <t>TC006</t>
  </si>
  <si>
    <t>Dashboard Load and Display</t>
  </si>
  <si>
    <t>1. Login as customer
2. Navigate to dashboard</t>
  </si>
  <si>
    <t>https://nutrio.me/dashboard</t>
  </si>
  <si>
    <t>Dashboard loads with subscription info, meals remaining, recent orders</t>
  </si>
  <si>
    <t>TC007</t>
  </si>
  <si>
    <t>Navigation</t>
  </si>
  <si>
    <t>Dashboard Navigation Links</t>
  </si>
  <si>
    <t>1. On dashboard
2. Click each navigation link (Meals, Orders, Profile, etc.)</t>
  </si>
  <si>
    <t>All links navigate to correct pages</t>
  </si>
  <si>
    <t>TC008</t>
  </si>
  <si>
    <t>Dashboard Quick Action Buttons</t>
  </si>
  <si>
    <t>1. On dashboard
2. Click 'Browse Meals'
3. Click 'View Orders'
4. Click 'Refer Friends'</t>
  </si>
  <si>
    <t>Each button performs correct action</t>
  </si>
  <si>
    <t>TC009</t>
  </si>
  <si>
    <t>Subscription</t>
  </si>
  <si>
    <t>View Plans</t>
  </si>
  <si>
    <t>View Subscription Plans</t>
  </si>
  <si>
    <t>1. Navigate to /subscription
2. View all 4 tiers</t>
  </si>
  <si>
    <t>https://nutrio.me/subscription/[id]</t>
  </si>
  <si>
    <t>All plans displayed with correct pricing and features</t>
  </si>
  <si>
    <t>TC010</t>
  </si>
  <si>
    <t>Subscribe Basic</t>
  </si>
  <si>
    <t>Subscribe to Basic Plan</t>
  </si>
  <si>
    <t>1. Click Basic plan
2. Click Subscribe
3. Complete Sadad payment
4. Verify subscription active</t>
  </si>
  <si>
    <t>https://nutrio.me/subscription</t>
  </si>
  <si>
    <t>Subscription activated, meals allocated</t>
  </si>
  <si>
    <t>TC011</t>
  </si>
  <si>
    <t>Subscribe Standard</t>
  </si>
  <si>
    <t>Subscribe to Standard Plan</t>
  </si>
  <si>
    <t>1. Click Standard plan
2. Click Subscribe
3. Complete payment</t>
  </si>
  <si>
    <t>Subscription activated with 10 meals/week</t>
  </si>
  <si>
    <t>TC012</t>
  </si>
  <si>
    <t>Subscribe Premium</t>
  </si>
  <si>
    <t>Subscribe to Premium Plan</t>
  </si>
  <si>
    <t>1. Click Premium plan
2. Complete payment</t>
  </si>
  <si>
    <t>Subscription activated with 15 meals/week</t>
  </si>
  <si>
    <t>TC013</t>
  </si>
  <si>
    <t>Subscribe VIP</t>
  </si>
  <si>
    <t>Subscribe to VIP Plan</t>
  </si>
  <si>
    <t>1. Click VIP plan
2. Complete payment</t>
  </si>
  <si>
    <t>Subscription activated with unlimited meals</t>
  </si>
  <si>
    <t>TC014</t>
  </si>
  <si>
    <t>Upgrade</t>
  </si>
  <si>
    <t>Upgrade Subscription Plan</t>
  </si>
  <si>
    <t>1. Go to subscription page
2. Click Upgrade
3. Select higher tier
4. Pay difference</t>
  </si>
  <si>
    <t>Plan upgraded, new meal limit applied</t>
  </si>
  <si>
    <t>TC015</t>
  </si>
  <si>
    <t>Downgrade</t>
  </si>
  <si>
    <t>Downgrade Subscription Plan</t>
  </si>
  <si>
    <t>1. Go to subscription page
2. Click Downgrade
3. Select lower tier</t>
  </si>
  <si>
    <t>Plan downgraded effective next billing cycle</t>
  </si>
  <si>
    <t>TC016</t>
  </si>
  <si>
    <t>Pause</t>
  </si>
  <si>
    <t>Pause Subscription</t>
  </si>
  <si>
    <t>1. Go to subscription
2. Click Pause
3. Confirm</t>
  </si>
  <si>
    <t>Subscription paused, no new orders possible</t>
  </si>
  <si>
    <t>TC017</t>
  </si>
  <si>
    <t>Resume</t>
  </si>
  <si>
    <t>Resume Subscription</t>
  </si>
  <si>
    <t>1. Go to subscription
2. Click Resume
3. Confirm</t>
  </si>
  <si>
    <t>Subscription resumed, can order again</t>
  </si>
  <si>
    <t>TC018</t>
  </si>
  <si>
    <t>Cancel</t>
  </si>
  <si>
    <t>Cancel Subscription</t>
  </si>
  <si>
    <t>1. Go to subscription
2. Click Cancel
3. Confirm cancellation</t>
  </si>
  <si>
    <t>Subscription cancelled, access until end date</t>
  </si>
  <si>
    <t>TC019</t>
  </si>
  <si>
    <t>Usage Display</t>
  </si>
  <si>
    <t>Check Weekly Meal Usage</t>
  </si>
  <si>
    <t>1. Go to dashboard
2. View meals remaining indicator</t>
  </si>
  <si>
    <t>Correct number of meals remaining displayed</t>
  </si>
  <si>
    <t>TC020</t>
  </si>
  <si>
    <t>Meals</t>
  </si>
  <si>
    <t>Browse</t>
  </si>
  <si>
    <t>Browse All Meals</t>
  </si>
  <si>
    <t>1. Navigate to /meals
2. View meal listings</t>
  </si>
  <si>
    <t>https://nutrio.me/meals</t>
  </si>
  <si>
    <t>All available meals displayed with images, names, restaurants</t>
  </si>
  <si>
    <t>TC021</t>
  </si>
  <si>
    <t>Filter Restaurant</t>
  </si>
  <si>
    <t>Filter by Restaurant</t>
  </si>
  <si>
    <t>1. On meals page
2. Click restaurant filter
3. Select specific restaurant</t>
  </si>
  <si>
    <t>https://nutrio.me/meals?filter=[value]</t>
  </si>
  <si>
    <t>Only meals from selected restaurant displayed</t>
  </si>
  <si>
    <t>TC022</t>
  </si>
  <si>
    <t>Filter Diet</t>
  </si>
  <si>
    <t>Filter by Dietary Tags</t>
  </si>
  <si>
    <t>1. On meals page
2. Click diet filter
3. Select 'Keto'</t>
  </si>
  <si>
    <t>Only keto meals displayed</t>
  </si>
  <si>
    <t>TC023</t>
  </si>
  <si>
    <t>Filter Calories</t>
  </si>
  <si>
    <t>Filter by Calories</t>
  </si>
  <si>
    <t>1. On meals page
2. Set calorie range
3. Apply filter</t>
  </si>
  <si>
    <t>Meals within calorie range displayed</t>
  </si>
  <si>
    <t>TC024</t>
  </si>
  <si>
    <t>Search</t>
  </si>
  <si>
    <t>Search Meals</t>
  </si>
  <si>
    <t>1. Enter search term in search box
2. Press Enter</t>
  </si>
  <si>
    <t>https://nutrio.me/meals?q=[search-term]</t>
  </si>
  <si>
    <t>Search results displayed matching query</t>
  </si>
  <si>
    <t>TC025</t>
  </si>
  <si>
    <t>Meal Details</t>
  </si>
  <si>
    <t>View Meal Details</t>
  </si>
  <si>
    <t>1. Click on any meal card
2. View details page</t>
  </si>
  <si>
    <t>https://nutrio.me/meals/[id]</t>
  </si>
  <si>
    <t>Full meal info displayed: ingredients, nutrition, prep time, restaurant</t>
  </si>
  <si>
    <t>TC026</t>
  </si>
  <si>
    <t>Add to Order</t>
  </si>
  <si>
    <t>Add Meal to Order</t>
  </si>
  <si>
    <t>1. On meal details
2. Click 'Add to Order'
3. Select quantity</t>
  </si>
  <si>
    <t>https://nutrio.me/meals/new</t>
  </si>
  <si>
    <t>Meal added to cart, confirmation shown</t>
  </si>
  <si>
    <t>TC027</t>
  </si>
  <si>
    <t>Limit Check</t>
  </si>
  <si>
    <t>Order with Meal Limit</t>
  </si>
  <si>
    <t>1. Use all weekly meals
2. Try to add another meal</t>
  </si>
  <si>
    <t>'Add to Order' button disabled or warning shown</t>
  </si>
  <si>
    <t>TC028</t>
  </si>
  <si>
    <t>Favorites</t>
  </si>
  <si>
    <t>Add to Favorites</t>
  </si>
  <si>
    <t>1. Click heart icon on meal
2. Go to favorites page</t>
  </si>
  <si>
    <t>Meal appears in favorites list</t>
  </si>
  <si>
    <t>TC029</t>
  </si>
  <si>
    <t>Place Order</t>
  </si>
  <si>
    <t>Complete Order Placement</t>
  </si>
  <si>
    <t>1. Add meals to cart
2. Go to checkout
3. Select delivery time
4. Confirm order</t>
  </si>
  <si>
    <t>https://nutrio.me/orders</t>
  </si>
  <si>
    <t>Order placed successfully, confirmation shown</t>
  </si>
  <si>
    <t>TC030</t>
  </si>
  <si>
    <t>View Orders</t>
  </si>
  <si>
    <t>1. Navigate to /orders
2. View order list</t>
  </si>
  <si>
    <t>https://nutrio.me/orders/[id]</t>
  </si>
  <si>
    <t>All past orders displayed with status</t>
  </si>
  <si>
    <t>TC031</t>
  </si>
  <si>
    <t>1. Click on any order
2. View details</t>
  </si>
  <si>
    <t>Full order info: items, status, restaurant, total</t>
  </si>
  <si>
    <t>TC032</t>
  </si>
  <si>
    <t>Track Order</t>
  </si>
  <si>
    <t>Track Order Status</t>
  </si>
  <si>
    <t>1. Go to active order
2. View status timeline</t>
  </si>
  <si>
    <t>Current status and history displayed</t>
  </si>
  <si>
    <t>TC033</t>
  </si>
  <si>
    <t>Cancel Order</t>
  </si>
  <si>
    <t>Cancel Pending Order</t>
  </si>
  <si>
    <t>1. Go to order details
2. Click Cancel
3. Confirm</t>
  </si>
  <si>
    <t>Order cancelled, meals refunded to weekly limit</t>
  </si>
  <si>
    <t>TC034</t>
  </si>
  <si>
    <t>Rate Order</t>
  </si>
  <si>
    <t>Rate Completed Order</t>
  </si>
  <si>
    <t>1. Go to completed order
2. Click Rate
3. Select stars
4. Add comment</t>
  </si>
  <si>
    <t>Rating submitted, thank you message shown</t>
  </si>
  <si>
    <t>TC035</t>
  </si>
  <si>
    <t>Reorder</t>
  </si>
  <si>
    <t>Reorder Previous Order</t>
  </si>
  <si>
    <t>1. Go to past order
2. Click Reorder
3. Confirm</t>
  </si>
  <si>
    <t>Items added to cart, can modify before checkout</t>
  </si>
  <si>
    <t>TC036</t>
  </si>
  <si>
    <t>View User Profile</t>
  </si>
  <si>
    <t>1. Click profile menu
2. View profile page</t>
  </si>
  <si>
    <t>https://nutrio.me/profile/[id]</t>
  </si>
  <si>
    <t>Profile info displayed: name, email, subscription, referral code</t>
  </si>
  <si>
    <t>TC037</t>
  </si>
  <si>
    <t>Edit Profile Information</t>
  </si>
  <si>
    <t>1. Go to profile
2. Click Edit
3. Change name/phone
4. Save</t>
  </si>
  <si>
    <t>https://nutrio.me/profile/[id]/edit</t>
  </si>
  <si>
    <t>TC038</t>
  </si>
  <si>
    <t>1. Go to profile
2. Click Change Password
3. Enter old and new password
4. Save</t>
  </si>
  <si>
    <t>https://nutrio.me/profile</t>
  </si>
  <si>
    <t>Password changed, confirmation shown</t>
  </si>
  <si>
    <t>TC039</t>
  </si>
  <si>
    <t>Update Address</t>
  </si>
  <si>
    <t>Update Delivery Address</t>
  </si>
  <si>
    <t>1. Go to profile
2. Click Addresses
3. Add/Edit address
4. Save</t>
  </si>
  <si>
    <t>Address updated for future orders</t>
  </si>
  <si>
    <t>TC040</t>
  </si>
  <si>
    <t>Dietary Preferences</t>
  </si>
  <si>
    <t>Set Dietary Preferences</t>
  </si>
  <si>
    <t>1. Go to profile
2. Click Preferences
3. Select dietary tags
4. Save</t>
  </si>
  <si>
    <t>Preferences saved, used for meal recommendations</t>
  </si>
  <si>
    <t>TC041</t>
  </si>
  <si>
    <t>View Referral</t>
  </si>
  <si>
    <t>View Referral Code</t>
  </si>
  <si>
    <t>1. Go to profile
2. View referral section</t>
  </si>
  <si>
    <t>Unique referral code displayed</t>
  </si>
  <si>
    <t>TC042</t>
  </si>
  <si>
    <t>Share Referral</t>
  </si>
  <si>
    <t>Share Referral Code</t>
  </si>
  <si>
    <t>1. Click Share
2. Select WhatsApp
3. Send to contact</t>
  </si>
  <si>
    <t>Referral link shared via WhatsApp</t>
  </si>
  <si>
    <t>TC043</t>
  </si>
  <si>
    <t>Wallet</t>
  </si>
  <si>
    <t>View Wallet</t>
  </si>
  <si>
    <t>View Wallet Balance</t>
  </si>
  <si>
    <t>1. Navigate to /wallet
2. View balance</t>
  </si>
  <si>
    <t>https://nutrio.me/wallet/[id]</t>
  </si>
  <si>
    <t>Current balance displayed with transaction history</t>
  </si>
  <si>
    <t>TC044</t>
  </si>
  <si>
    <t>Add Funds</t>
  </si>
  <si>
    <t>Add Funds to Wallet</t>
  </si>
  <si>
    <t>1. Go to wallet
2. Click Add Funds
3. Enter amount
4. Complete payment</t>
  </si>
  <si>
    <t>https://nutrio.me/wallet/new</t>
  </si>
  <si>
    <t>Funds added, balance updated</t>
  </si>
  <si>
    <t>TC045</t>
  </si>
  <si>
    <t>Transaction History</t>
  </si>
  <si>
    <t>View Transaction History</t>
  </si>
  <si>
    <t>1. Go to wallet
2. View transactions tab</t>
  </si>
  <si>
    <t>All transactions listed with dates and amounts</t>
  </si>
  <si>
    <t>View Balance</t>
  </si>
  <si>
    <t>1. Navigate to /wallet
2. View current balance
3. Check transaction history</t>
  </si>
  <si>
    <t>Balance displayed with transaction list</t>
  </si>
  <si>
    <t>1. Click Add Funds
2. Enter amount (e.g., 100 QAR)
3. Select payment method
4. Complete payment
5. Verify balance updated</t>
  </si>
  <si>
    <t>Funds added, balance increased, transaction recorded</t>
  </si>
  <si>
    <t>Insufficient Funds</t>
  </si>
  <si>
    <t>Handle Insufficient Wallet Balance</t>
  </si>
  <si>
    <t>1. Try to order with insufficient wallet
2. Verify error message
3. Option to add funds shown</t>
  </si>
  <si>
    <t>https://nutrio.me/wallet</t>
  </si>
  <si>
    <t>Error displayed with option to add funds</t>
  </si>
  <si>
    <t>Referral</t>
  </si>
  <si>
    <t>Generate Code</t>
  </si>
  <si>
    <t>1. Go to Profile
2. Click Referral tab
3. View unique referral code
4. Verify code format (NUTRIO-XXXX)</t>
  </si>
  <si>
    <t>https://nutrio.me/profile?tab=referral/[id]</t>
  </si>
  <si>
    <t>Referral code displayed with copy button</t>
  </si>
  <si>
    <t>TC204</t>
  </si>
  <si>
    <t>Copy Code</t>
  </si>
  <si>
    <t>Copy Referral Code</t>
  </si>
  <si>
    <t>1. Click Copy button
2. Verify copied to clipboard
3. Paste in another app to confirm</t>
  </si>
  <si>
    <t>https://nutrio.me/profile?tab=referral</t>
  </si>
  <si>
    <t>Code copied to clipboard</t>
  </si>
  <si>
    <t>TC205</t>
  </si>
  <si>
    <t>Share WhatsApp</t>
  </si>
  <si>
    <t>Share via WhatsApp</t>
  </si>
  <si>
    <t>1. Click WhatsApp share
2. Select contact
3. Verify message template
4. Send message</t>
  </si>
  <si>
    <t>WhatsApp opens with pre-filled message</t>
  </si>
  <si>
    <t>TC206</t>
  </si>
  <si>
    <t>View Stats</t>
  </si>
  <si>
    <t>View Referral Statistics</t>
  </si>
  <si>
    <t>1. Go to referral page
2. View total referrals
3. View earned rewards
4. View referral history</t>
  </si>
  <si>
    <t>Stats displayed: total invites, successful signups, rewards earned</t>
  </si>
  <si>
    <t>TC207</t>
  </si>
  <si>
    <t>Redeem Reward</t>
  </si>
  <si>
    <t>Redeem Referral Reward</t>
  </si>
  <si>
    <t>1. Earn referral reward
2. Click Redeem
3. Verify free meal added to weekly limit
4. Check expiration</t>
  </si>
  <si>
    <t>Free meal added to subscription</t>
  </si>
  <si>
    <t>TC208</t>
  </si>
  <si>
    <t>Add Favorite</t>
  </si>
  <si>
    <t>Add Meal to Favorites</t>
  </si>
  <si>
    <t>1. Browse meals
2. Click heart icon on meal
3. Verify heart filled
4. Go to Favorites page</t>
  </si>
  <si>
    <t>Meal added to favorites list</t>
  </si>
  <si>
    <t>TC209</t>
  </si>
  <si>
    <t>Remove Favorite</t>
  </si>
  <si>
    <t>Remove from Favorites</t>
  </si>
  <si>
    <t>1. Go to Favorites
2. Click heart to unfavorite
3. Verify removed from list</t>
  </si>
  <si>
    <t>Meal removed from favorites</t>
  </si>
  <si>
    <t>Sort Options</t>
  </si>
  <si>
    <t>Sort Meals by Different Criteria</t>
  </si>
  <si>
    <t>1. On meals page
2. Sort by: Popularity
3. Sort by: Price (low-high)
4. Sort by: Calories
5. Sort by: Newest</t>
  </si>
  <si>
    <t>Meals sorted according to selected criteria</t>
  </si>
  <si>
    <t>Quick View</t>
  </si>
  <si>
    <t>Quick View Meal</t>
  </si>
  <si>
    <t>1. Hover over meal card
2. Click Quick View
3. See popup with details
4. Close popup</t>
  </si>
  <si>
    <t>Quick view popup displayed with key info</t>
  </si>
  <si>
    <t>Restaurant Info</t>
  </si>
  <si>
    <t>View Restaurant Details from Meal</t>
  </si>
  <si>
    <t>1. Click on meal
2. Click restaurant name
3. View restaurant profile
4. See other meals from restaurant</t>
  </si>
  <si>
    <t>Restaurant profile displayed</t>
  </si>
  <si>
    <t>Modify Order</t>
  </si>
  <si>
    <t>Modify Order Before Preparation</t>
  </si>
  <si>
    <t>1. Place order
2. Before restaurant prepares
3. Click Modify
4. Add/remove items
5. Confirm changes</t>
  </si>
  <si>
    <t>Order updated with new items</t>
  </si>
  <si>
    <t>Cancel Restrictions</t>
  </si>
  <si>
    <t>Cancel Order Restrictions</t>
  </si>
  <si>
    <t>1. Try to cancel after preparation started
2. Verify cancellation not allowed
3. Check error message</t>
  </si>
  <si>
    <t>Cancellation denied with appropriate message</t>
  </si>
  <si>
    <t>Reorder from History</t>
  </si>
  <si>
    <t>Quick Reorder from History</t>
  </si>
  <si>
    <t>1. Go to order history
2. Find past order
3. Click Reorder
4. All items added to cart</t>
  </si>
  <si>
    <t>All items from previous order added to cart</t>
  </si>
  <si>
    <t>Rate Individual Items</t>
  </si>
  <si>
    <t>Rate Individual Meal Items</t>
  </si>
  <si>
    <t>1. Complete order
2. Rate each item separately
3. Add comments per item</t>
  </si>
  <si>
    <t>Each item rated individually</t>
  </si>
  <si>
    <t>TC217</t>
  </si>
  <si>
    <t>Upload Photo Review</t>
  </si>
  <si>
    <t>Upload Photo with Review</t>
  </si>
  <si>
    <t>1. Complete order
2. Click Rate
3. Upload photo of received meal
4. Submit review</t>
  </si>
  <si>
    <t>Photo uploaded with review</t>
  </si>
  <si>
    <t>TC218</t>
  </si>
  <si>
    <t>Delivery Instructions</t>
  </si>
  <si>
    <t>Add Special Delivery Instructions</t>
  </si>
  <si>
    <t>1. At checkout
2. Add delivery notes
3. Place order
4. Verify instructions visible to driver</t>
  </si>
  <si>
    <t>https://nutrio.me/orders/new</t>
  </si>
  <si>
    <t>Instructions saved and visible</t>
  </si>
  <si>
    <t>TC219</t>
  </si>
  <si>
    <t>View Usage History</t>
  </si>
  <si>
    <t>View Weekly Usage History</t>
  </si>
  <si>
    <t>1. Go to subscription
2. View past weeks
3. See meals used per week
4. Check rollover meals</t>
  </si>
  <si>
    <t>Weekly usage history displayed</t>
  </si>
  <si>
    <t>Upgrade Mid-Week</t>
  </si>
  <si>
    <t>Upgrade Subscription Mid-Week</t>
  </si>
  <si>
    <t>1. Use some meals
2. Upgrade plan
3. Verify additional meals added immediately
4. Pay prorated difference</t>
  </si>
  <si>
    <t>Plan upgraded, additional meals available immediately</t>
  </si>
  <si>
    <t>Pause with Date</t>
  </si>
  <si>
    <t>Pause Subscription with Return Date</t>
  </si>
  <si>
    <t>1. Click Pause
2. Select resume date
3. Confirm
4. Verify auto-resume scheduled</t>
  </si>
  <si>
    <t>Subscription paused until selected date</t>
  </si>
  <si>
    <t>Cancel Refund</t>
  </si>
  <si>
    <t>Subscription Cancellation Refund</t>
  </si>
  <si>
    <t>1. Cancel subscription
2. Check refund policy
3. Verify refund amount
4. Check refund timeline</t>
  </si>
  <si>
    <t>Refund information displayed correctly</t>
  </si>
  <si>
    <t>Add Multiple Addresses</t>
  </si>
  <si>
    <t>Add Multiple Delivery Addresses</t>
  </si>
  <si>
    <t>1. Go to addresses
2. Add home address
3. Add work address
4. Add custom label</t>
  </si>
  <si>
    <t>https://nutrio.me/profile/new</t>
  </si>
  <si>
    <t>Multiple addresses saved with labels</t>
  </si>
  <si>
    <t>Set Default Address</t>
  </si>
  <si>
    <t>Set Default Delivery Address</t>
  </si>
  <si>
    <t>1. Have multiple addresses
2. Set one as default
3. Verify default badge
4. Place order</t>
  </si>
  <si>
    <t>Default address pre-selected at checkout</t>
  </si>
  <si>
    <t>Delete Address</t>
  </si>
  <si>
    <t>Delete Delivery Address</t>
  </si>
  <si>
    <t>1. Go to addresses
2. Click delete on address
3. Confirm deletion
4. Verify removed</t>
  </si>
  <si>
    <t>Address deleted from list</t>
  </si>
  <si>
    <t>Notification Settings</t>
  </si>
  <si>
    <t>Manage Notification Preferences</t>
  </si>
  <si>
    <t>1. Go to settings
2. Toggle order notifications
3. Toggle promotional emails
4. Toggle SMS notifications
5. Save preferences</t>
  </si>
  <si>
    <t>TC227</t>
  </si>
  <si>
    <t>Privacy Settings</t>
  </si>
  <si>
    <t>Manage Privacy Settings</t>
  </si>
  <si>
    <t>1. Go to privacy settings
2. Toggle profile visibility
3. Manage data sharing
4. Download data export</t>
  </si>
  <si>
    <t>Privacy settings applied</t>
  </si>
  <si>
    <t>TC228</t>
  </si>
  <si>
    <t>Language Selection</t>
  </si>
  <si>
    <t>Change App Language</t>
  </si>
  <si>
    <t>1. Go to settings
2. Click Language
3. Select Arabic
4. Verify UI changes</t>
  </si>
  <si>
    <t>App language changed to selected language</t>
  </si>
  <si>
    <t>TC229</t>
  </si>
  <si>
    <t>Dark Mode</t>
  </si>
  <si>
    <t>Toggle Dark Mode</t>
  </si>
  <si>
    <t>1. Click theme toggle
2. Switch to dark mode
3. Verify UI changes
4. Switch back to light</t>
  </si>
  <si>
    <t>Theme toggles between dark and light</t>
  </si>
  <si>
    <t>TC296</t>
  </si>
  <si>
    <t>Integration</t>
  </si>
  <si>
    <t>Meal Completion Atomic</t>
  </si>
  <si>
    <t>Meal Completion - Atomic Transaction</t>
  </si>
  <si>
    <t>1. Schedule a meal
2. Mark as completed
3. Verify nutrition logged
4. Check idempotency on retry</t>
  </si>
  <si>
    <t>Meal completion atomic, no double counting</t>
  </si>
  <si>
    <t>TC297</t>
  </si>
  <si>
    <t>Order Status Flow</t>
  </si>
  <si>
    <t>Complete Order Status Transition Flow</t>
  </si>
  <si>
    <t>1. Place order
2. Verify Pending-&gt;Confirmed-&gt;Preparing-&gt;Ready-&gt;Out for Delivery-&gt;Delivered
3. Check notifications at each step</t>
  </si>
  <si>
    <t>Order progresses through all statuses correctly</t>
  </si>
  <si>
    <t>TC298</t>
  </si>
  <si>
    <t>Real-time Order Status Updates</t>
  </si>
  <si>
    <t>1. Open order tracking
2. Have restaurant update status
3. Verify update appears without refresh</t>
  </si>
  <si>
    <t>https://nutrio.me/tracking</t>
  </si>
  <si>
    <t>Status updates in real-time via WebSocket</t>
  </si>
  <si>
    <t>TC299</t>
  </si>
  <si>
    <t>Subscription Wizard</t>
  </si>
  <si>
    <t>Complete Subscription Quiz/Wizard</t>
  </si>
  <si>
    <t>1. Click 'Find My Plan'
2. Answer 3 questions
3. Get recommendation
4. Navigate to recommended plan</t>
  </si>
  <si>
    <t>https://nutrio.me/subscription/wizard</t>
  </si>
  <si>
    <t>Recommended plan matches quiz answers</t>
  </si>
  <si>
    <t>Quota Warning Banner</t>
  </si>
  <si>
    <t>View Quota Warning at 75% Usage</t>
  </si>
  <si>
    <t>1. Use 75%+ of weekly meals
2. View dashboard
3. Verify warning banner appears
4. Click to upgrade</t>
  </si>
  <si>
    <t>Warning banner displayed with upgrade option</t>
  </si>
  <si>
    <t>Subscription Gate</t>
  </si>
  <si>
    <t>Subscription Gate for Non-Subscribers</t>
  </si>
  <si>
    <t>1. Login without subscription
2. Try to view meal details
3. Verify gate appears
4. Click 'View Plans'</t>
  </si>
  <si>
    <t>Gate displayed, redirects to subscription</t>
  </si>
  <si>
    <t>Freeze Subscription</t>
  </si>
  <si>
    <t>Freeze Subscription with Return Date</t>
  </si>
  <si>
    <t>1. Go to subscription settings
2. Click 'Freeze'
3. Select return date
4. Confirm freeze</t>
  </si>
  <si>
    <t>Subscription frozen, auto-resume scheduled</t>
  </si>
  <si>
    <t>Rollover Credits</t>
  </si>
  <si>
    <t>View Rollover Meal Credits</t>
  </si>
  <si>
    <t>1. Go to subscription
2. View unused meals from previous week
3. Verify rollover credits displayed
4. Check expiration date</t>
  </si>
  <si>
    <t>Rollover credits displayed with expiration</t>
  </si>
  <si>
    <t>TC304</t>
  </si>
  <si>
    <t>Gamification</t>
  </si>
  <si>
    <t>Streak Tracking</t>
  </si>
  <si>
    <t>View Meal Streak</t>
  </si>
  <si>
    <t>1. Complete meals on consecutive days
2. View dashboard
3. Verify streak counter
4. View streak rewards</t>
  </si>
  <si>
    <t>Streak count and rewards displayed</t>
  </si>
  <si>
    <t>TC305</t>
  </si>
  <si>
    <t>Milestones</t>
  </si>
  <si>
    <t>View Achieved Milestones</t>
  </si>
  <si>
    <t>1. Complete milestone criteria
2. Go to milestones page
3. View unlocked milestones
4. View rewards</t>
  </si>
  <si>
    <t>https://nutrio.me/progress/milestones</t>
  </si>
  <si>
    <t>Milestones displayed with unlock status</t>
  </si>
  <si>
    <t>TC306</t>
  </si>
  <si>
    <t>Smart Meal Recommendations</t>
  </si>
  <si>
    <t>View AI Meal Recommendations</t>
  </si>
  <si>
    <t>1. Complete onboarding
2. Go to meals page
3. View 'Recommended for You' section
4. Verify personalized suggestions</t>
  </si>
  <si>
    <t>AI recommendations based on profile</t>
  </si>
  <si>
    <t>TC307</t>
  </si>
  <si>
    <t>Weekly Meal Planner</t>
  </si>
  <si>
    <t>Use AI Weekly Meal Planner</t>
  </si>
  <si>
    <t>1. Go to meal planner
2. Generate weekly plan
3. Review AI suggestions
4. Customize and save</t>
  </si>
  <si>
    <t>https://nutrio.me/planner</t>
  </si>
  <si>
    <t>AI-generated meal plan matches nutrition goals</t>
  </si>
  <si>
    <t>TC308</t>
  </si>
  <si>
    <t>Smart Adjustments</t>
  </si>
  <si>
    <t>Receive Smart Nutrition Adjustments</t>
  </si>
  <si>
    <t>1. Log weight weekly
2. Review AI adjustment suggestions
3. Accept or reject adjustment
4. See updated targets</t>
  </si>
  <si>
    <t>https://nutrio.me/progress</t>
  </si>
  <si>
    <t>Adjustments suggested based on progress</t>
  </si>
  <si>
    <t>TC309</t>
  </si>
  <si>
    <t>Progress</t>
  </si>
  <si>
    <t>Body Measurements</t>
  </si>
  <si>
    <t>Log Body Measurements</t>
  </si>
  <si>
    <t>1. Go to progress
2. Click 'Add Measurements'
3. Enter weight, body fat, etc.
4. Save and view chart</t>
  </si>
  <si>
    <t>https://nutrio.me/progress/body</t>
  </si>
  <si>
    <t>Measurements saved, chart updated</t>
  </si>
  <si>
    <t>Weight Tracking</t>
  </si>
  <si>
    <t>Log Daily Weight</t>
  </si>
  <si>
    <t>1. Go to weight tracking
2. Enter current weight
3. View weight trend chart
4. Check goal progress</t>
  </si>
  <si>
    <t>https://nutrio.me/progress/weight</t>
  </si>
  <si>
    <t>Weight logged, trend displayed</t>
  </si>
  <si>
    <t>Water Intake</t>
  </si>
  <si>
    <t>Track Daily Water Intake</t>
  </si>
  <si>
    <t>1. Go to dashboard
2. Click water tracker
3. Add water amount
4. View daily progress</t>
  </si>
  <si>
    <t>Water intake tracked and saved</t>
  </si>
  <si>
    <t>TC312</t>
  </si>
  <si>
    <t>Nutrition Dashboard</t>
  </si>
  <si>
    <t>View Detailed Nutrition Dashboard</t>
  </si>
  <si>
    <t>1. Go to nutrition dashboard
2. View macros breakdown
3. Check weekly averages
4. View insights</t>
  </si>
  <si>
    <t>https://nutrio.me/dashboard/nutrition</t>
  </si>
  <si>
    <t>Detailed nutrition analytics displayed</t>
  </si>
  <si>
    <t>TC313</t>
  </si>
  <si>
    <t>Health Score</t>
  </si>
  <si>
    <t>View Health Score</t>
  </si>
  <si>
    <t>1. Complete daily meals
2. View dashboard
3. Check health score
4. View breakdown of score</t>
  </si>
  <si>
    <t>Health score calculated and displayed</t>
  </si>
  <si>
    <t>TC314</t>
  </si>
  <si>
    <t>Delivery Tracking</t>
  </si>
  <si>
    <t>Track Delivery on Map</t>
  </si>
  <si>
    <t>1. Order out for delivery
2. Open tracking page
3. View driver location on map
4. See ETA updates</t>
  </si>
  <si>
    <t>https://nutrio.me/tracking/[id]</t>
  </si>
  <si>
    <t>Map shows driver location and route</t>
  </si>
  <si>
    <t>TC315</t>
  </si>
  <si>
    <t>Receive Order Notifications</t>
  </si>
  <si>
    <t>1. Place order
2. Wait for status updates
3. Receive push/email/WhatsApp notifications
4. Verify content</t>
  </si>
  <si>
    <t>Notifications received for status changes</t>
  </si>
  <si>
    <t>TC316</t>
  </si>
  <si>
    <t>Reorder Previous</t>
  </si>
  <si>
    <t>1. Go to order history
2. Find previous order
3. Click 'Reorder'
4. Items added to new order</t>
  </si>
  <si>
    <t>All items from previous order added</t>
  </si>
  <si>
    <t>TC317</t>
  </si>
  <si>
    <t>Meal Review</t>
  </si>
  <si>
    <t>Rate and Review Meal</t>
  </si>
  <si>
    <t>1. Complete order
2. Click 'Rate'
3. Select stars
4. Add review text
5. Upload photo
6. Submit</t>
  </si>
  <si>
    <t>Review submitted and displayed</t>
  </si>
  <si>
    <t>TC318</t>
  </si>
  <si>
    <t>Add Meal Add-ons</t>
  </si>
  <si>
    <t>1. Select meal
2. View add-on options
3. Select add-ons
4. See price update
5. Add to order</t>
  </si>
  <si>
    <t>Add-ons added to meal, price updated</t>
  </si>
  <si>
    <t>TC319</t>
  </si>
  <si>
    <t>Featured Restaurants</t>
  </si>
  <si>
    <t>View Featured Restaurants</t>
  </si>
  <si>
    <t>1. Go to meals page
2. View 'Featured' section
3. Click featured restaurant
4. See promoted meals</t>
  </si>
  <si>
    <t>Featured restaurants displayed prominently</t>
  </si>
  <si>
    <t>VIP Discount</t>
  </si>
  <si>
    <t>Apply VIP Discount</t>
  </si>
  <si>
    <t>1. Have VIP subscription
2. Add meals to cart
3. View discount applied
4. Complete checkout</t>
  </si>
  <si>
    <t>https://nutrio.me/checkout</t>
  </si>
  <si>
    <t>VIP discount applied to eligible items</t>
  </si>
  <si>
    <t>TC321</t>
  </si>
  <si>
    <t>Wallet Payment</t>
  </si>
  <si>
    <t>Pay with Wallet</t>
  </si>
  <si>
    <t>1. Add funds to wallet
2. Checkout order
3. Select 'Pay with Wallet'
4. Verify balance deduction</t>
  </si>
  <si>
    <t>Payment processed, wallet balance updated</t>
  </si>
  <si>
    <t>TC322</t>
  </si>
  <si>
    <t>Auto-recharge</t>
  </si>
  <si>
    <t>Set Up Wallet Auto-recharge</t>
  </si>
  <si>
    <t>1. Go to wallet settings
2. Enable auto-recharge
3. Set threshold and amount
4. Save settings</t>
  </si>
  <si>
    <t>https://nutrio.me/wallet/settings</t>
  </si>
  <si>
    <t>Auto-recharge configured</t>
  </si>
  <si>
    <t>TC323</t>
  </si>
  <si>
    <t>Affiliate</t>
  </si>
  <si>
    <t>Affiliate Dashboard</t>
  </si>
  <si>
    <t>View Affiliate Dashboard</t>
  </si>
  <si>
    <t>1. Apply for affiliate
2. Get approved
3. Go to affiliate page
4. View stats and earnings</t>
  </si>
  <si>
    <t>https://nutrio.me/affiliate</t>
  </si>
  <si>
    <t>Affiliate dashboard with stats displayed</t>
  </si>
  <si>
    <t>TC324</t>
  </si>
  <si>
    <t>Affiliate Payout</t>
  </si>
  <si>
    <t>Request Affiliate Payout</t>
  </si>
  <si>
    <t>1. Earn affiliate commission
2. Go to payouts
3. Request payout
4. Verify bank transfer</t>
  </si>
  <si>
    <t>https://nutrio.me/affiliate/payouts</t>
  </si>
  <si>
    <t>Payout request submitted</t>
  </si>
  <si>
    <t>TC325</t>
  </si>
  <si>
    <t>1. Go to settings
2. Click Notifications
3. Toggle channels (Push/Email/WhatsApp)
4. Save preferences</t>
  </si>
  <si>
    <t>https://nutrio.me/settings/notifications</t>
  </si>
  <si>
    <t>Preferences saved per category</t>
  </si>
  <si>
    <t>TC326</t>
  </si>
  <si>
    <t>1. Go to privacy settings
2. Toggle data sharing
3. Request data export
4. Review privacy policy</t>
  </si>
  <si>
    <t>https://nutrio.me/settings/privacy</t>
  </si>
  <si>
    <t>TC327</t>
  </si>
  <si>
    <t>Billing</t>
  </si>
  <si>
    <t>Invoice History</t>
  </si>
  <si>
    <t>View Invoice History</t>
  </si>
  <si>
    <t>1. Go to invoices
2. View all invoices
3. Download PDF
4. Verify details</t>
  </si>
  <si>
    <t>https://nutrio.me/invoices</t>
  </si>
  <si>
    <t>All invoices listed, PDF downloadable</t>
  </si>
  <si>
    <t>TC400</t>
  </si>
  <si>
    <t>Account Creation</t>
  </si>
  <si>
    <t>Create Account with Email/Password</t>
  </si>
  <si>
    <t>1. Navigate to /auth
2. Click 'Create Account'
3. Enter email
4. Enter password
5. Confirm password
6. Click Sign Up
7. Verify email sent</t>
  </si>
  <si>
    <t>Account created, verification email sent</t>
  </si>
  <si>
    <t>TC401</t>
  </si>
  <si>
    <t>Email Verification</t>
  </si>
  <si>
    <t>Verify Email Address</t>
  </si>
  <si>
    <t>1. Check email inbox
2. Open verification email
3. Click verification link
4. Verify account activated</t>
  </si>
  <si>
    <t>Email verified, account activated</t>
  </si>
  <si>
    <t>TC402</t>
  </si>
  <si>
    <t>Password Reset Request</t>
  </si>
  <si>
    <t>Request Password Reset</t>
  </si>
  <si>
    <t>1. Click 'Forgot Password'
2. Enter registered email
3. Click Reset
4. Check email for reset link</t>
  </si>
  <si>
    <t>Reset email sent successfully</t>
  </si>
  <si>
    <t>TC403</t>
  </si>
  <si>
    <t>Password Reset Complete</t>
  </si>
  <si>
    <t>Complete Password Reset</t>
  </si>
  <si>
    <t>1. Click reset link in email
2. Enter new password
3. Confirm new password
4. Submit
5. Login with new password</t>
  </si>
  <si>
    <t>https://nutrio.me/reset-password</t>
  </si>
  <si>
    <t>Password reset successful, can login</t>
  </si>
  <si>
    <t>TC404</t>
  </si>
  <si>
    <t>Session Timeout</t>
  </si>
  <si>
    <t>Automatic Session Timeout</t>
  </si>
  <si>
    <t>1. Login to app
2. Leave idle for 30 minutes
3. Try to perform action
4. Verify redirect to login</t>
  </si>
  <si>
    <t>Session expired, redirected to login</t>
  </si>
  <si>
    <t>TC405</t>
  </si>
  <si>
    <t>Remember Me</t>
  </si>
  <si>
    <t>Remember Me Functionality</t>
  </si>
  <si>
    <t>1. Login with 'Remember Me' checked
2. Close browser
3. Reopen after 1 day
4. Verify still logged in</t>
  </si>
  <si>
    <t>Session persisted, user remains logged in</t>
  </si>
  <si>
    <t>TC406</t>
  </si>
  <si>
    <t>Multiple Device Login</t>
  </si>
  <si>
    <t>Login from Multiple Devices</t>
  </si>
  <si>
    <t>1. Login on Device A
2. Login on Device B
3. Verify both sessions active
4. Logout from one device</t>
  </si>
  <si>
    <t>Multiple concurrent sessions supported</t>
  </si>
  <si>
    <t>TC407</t>
  </si>
  <si>
    <t>Step 1 - Goal Selection</t>
  </si>
  <si>
    <t>Onboarding Step 1: Select Health Goal</t>
  </si>
  <si>
    <t>1. Start onboarding
2. View goal options
3. Select 'Lose Weight'
4. Click Continue</t>
  </si>
  <si>
    <t>https://nutrio.me/onboarding</t>
  </si>
  <si>
    <t>Goal saved, proceed to Step 2</t>
  </si>
  <si>
    <t>TC408</t>
  </si>
  <si>
    <t>Step 2 - Gender Selection</t>
  </si>
  <si>
    <t>Onboarding Step 2: Select Gender</t>
  </si>
  <si>
    <t>1. On Step 2
2. Select gender (Male/Female)
3. Click Continue</t>
  </si>
  <si>
    <t>Gender saved, proceed to Step 3</t>
  </si>
  <si>
    <t>TC409</t>
  </si>
  <si>
    <t>Step 3 - Body Metrics</t>
  </si>
  <si>
    <t>Onboarding Step 3: Enter Body Metrics</t>
  </si>
  <si>
    <t>1. Enter age
2. Enter height
3. Enter current weight
4. Enter target weight
5. Click Continue</t>
  </si>
  <si>
    <t>Metrics saved, proceed to Step 4</t>
  </si>
  <si>
    <t>TC410</t>
  </si>
  <si>
    <t>Step 4 - Activity Level</t>
  </si>
  <si>
    <t>Onboarding Step 4: Select Activity Level</t>
  </si>
  <si>
    <t>1. View activity options
2. Select 'Moderately Active'
3. Click Continue</t>
  </si>
  <si>
    <t>Activity level saved, proceed to Step 5</t>
  </si>
  <si>
    <t>TC411</t>
  </si>
  <si>
    <t>Step 5 - Food Preferences</t>
  </si>
  <si>
    <t>Onboarding Step 5: Select Food Preferences</t>
  </si>
  <si>
    <t>1. Select dietary tags
2. Select allergies
3. Click Complete
4. Verify redirect to dashboard</t>
  </si>
  <si>
    <t>Preferences saved, onboarding complete</t>
  </si>
  <si>
    <t>TC412</t>
  </si>
  <si>
    <t>Progress Persistence</t>
  </si>
  <si>
    <t>Onboarding Progress Persistence</t>
  </si>
  <si>
    <t>1. Complete Step 1-3
2. Close browser
3. Reopen onboarding
4. Verify resumes at Step 4</t>
  </si>
  <si>
    <t>Progress restored from localStorage</t>
  </si>
  <si>
    <t>TC413</t>
  </si>
  <si>
    <t>Back Navigation</t>
  </si>
  <si>
    <t>Onboarding Back Navigation</t>
  </si>
  <si>
    <t>1. Complete Step 3
2. Click Back button
3. Verify return to Step 2
4. Data still filled</t>
  </si>
  <si>
    <t>Back navigation works, data preserved</t>
  </si>
  <si>
    <t>TC414</t>
  </si>
  <si>
    <t>Skip for Returning Users</t>
  </si>
  <si>
    <t>Skip Onboarding for Returning Users</t>
  </si>
  <si>
    <t>1. Complete onboarding
2. Try to access /onboarding
3. Verify redirect to dashboard</t>
  </si>
  <si>
    <t>Redirected to dashboard if already completed</t>
  </si>
  <si>
    <t>TC450</t>
  </si>
  <si>
    <t>Dashboard Initial Load</t>
  </si>
  <si>
    <t>1. Login as customer
2. Navigate to /dashboard
3. Verify all widgets load
4. Check for errors</t>
  </si>
  <si>
    <t>Dashboard loads with all widgets</t>
  </si>
  <si>
    <t>TC451</t>
  </si>
  <si>
    <t>1. View quick action buttons
2. Click 'Browse Meals'
3. Return
4. Click 'View Schedule'</t>
  </si>
  <si>
    <t>All quick actions navigate correctly</t>
  </si>
  <si>
    <t>TC452</t>
  </si>
  <si>
    <t>Meals Remaining Widget</t>
  </si>
  <si>
    <t>View Meals Remaining Widget</t>
  </si>
  <si>
    <t>1. View dashboard
2. Check 'Meals Remaining' widget
3. Verify correct count
4. Check subscription status</t>
  </si>
  <si>
    <t>Widget shows correct remaining meals</t>
  </si>
  <si>
    <t>TC453</t>
  </si>
  <si>
    <t>Recent Orders Widget</t>
  </si>
  <si>
    <t>View Recent Orders Widget</t>
  </si>
  <si>
    <t>1. Have recent orders
2. View dashboard
3. Check recent orders section
4. Click 'View All'</t>
  </si>
  <si>
    <t>Recent orders displayed, click navigates</t>
  </si>
  <si>
    <t>TC454</t>
  </si>
  <si>
    <t>Nutrition Summary Widget</t>
  </si>
  <si>
    <t>View Nutrition Summary Widget</t>
  </si>
  <si>
    <t>1. Log some meals
2. View dashboard
3. Check nutrition summary
4. Verify calories/protein/carbs/fat</t>
  </si>
  <si>
    <t>Nutrition summary shows today's totals</t>
  </si>
  <si>
    <t>TC455</t>
  </si>
  <si>
    <t>Water Tracker Widget</t>
  </si>
  <si>
    <t>Water Tracker on Dashboard</t>
  </si>
  <si>
    <t>1. View dashboard
2. Find water tracker
3. Click '+' to add glass
4. Verify count increases</t>
  </si>
  <si>
    <t>TC456</t>
  </si>
  <si>
    <t>Streak Display Widget</t>
  </si>
  <si>
    <t>View Streak Widget</t>
  </si>
  <si>
    <t>1. Have active streak
2. View dashboard
3. Check streak widget
4. View streak details</t>
  </si>
  <si>
    <t>Current streak displayed with details</t>
  </si>
  <si>
    <t>TC457</t>
  </si>
  <si>
    <t>Health Score Widget</t>
  </si>
  <si>
    <t>View Health Score Widget</t>
  </si>
  <si>
    <t>1. Have calculated health score
2. View dashboard
3. Check health score display
4. View breakdown</t>
  </si>
  <si>
    <t>Health score displayed with category</t>
  </si>
  <si>
    <t>TC458</t>
  </si>
  <si>
    <t>Gamification Widget</t>
  </si>
  <si>
    <t>View Gamification Widget</t>
  </si>
  <si>
    <t>1. View dashboard
2. Check gamification section
3. View achievements
4. Click achievement</t>
  </si>
  <si>
    <t>Gamification elements displayed</t>
  </si>
  <si>
    <t>TC459</t>
  </si>
  <si>
    <t>Smart Recommendations</t>
  </si>
  <si>
    <t>View Smart Recommendations</t>
  </si>
  <si>
    <t>1. View dashboard
2. Scroll to recommendations
3. View personalized tips
4. Click action link</t>
  </si>
  <si>
    <t>AI recommendations displayed</t>
  </si>
  <si>
    <t>TC460</t>
  </si>
  <si>
    <t>Rollover Credits Widget</t>
  </si>
  <si>
    <t>View Rollover Credits</t>
  </si>
  <si>
    <t>1. Have rollover credits
2. View dashboard
3. Check rollover widget
4. View expiration date</t>
  </si>
  <si>
    <t>Rollover credits displayed with expiry</t>
  </si>
  <si>
    <t>TC461</t>
  </si>
  <si>
    <t>Weekly Summary Cards</t>
  </si>
  <si>
    <t>View Weekly Summary Cards</t>
  </si>
  <si>
    <t>1. Have week's data
2. View dashboard
3. Check weekly summary
4. View trends</t>
  </si>
  <si>
    <t>Weekly summary with trends displayed</t>
  </si>
  <si>
    <t>TC462</t>
  </si>
  <si>
    <t>Refresh Data</t>
  </si>
  <si>
    <t>Refresh Dashboard Data</t>
  </si>
  <si>
    <t>1. View dashboard
2. Click refresh button
3. Verify loading state
4. Data updates</t>
  </si>
  <si>
    <t>Dashboard data refreshed successfully</t>
  </si>
  <si>
    <t>TC463</t>
  </si>
  <si>
    <t>Nutrition Dashboard Page</t>
  </si>
  <si>
    <t>Navigate to Full Nutrition Dashboard</t>
  </si>
  <si>
    <t>1. On dashboard
2. Click 'View Full Nutrition'
3. Navigate to nutrition dashboard
4. View detailed charts</t>
  </si>
  <si>
    <t>Full nutrition dashboard displayed</t>
  </si>
  <si>
    <t>TC464</t>
  </si>
  <si>
    <t>Progress Rings</t>
  </si>
  <si>
    <t>View Progress Rings</t>
  </si>
  <si>
    <t>1. View dashboard
2. Check progress rings
3. Verify completion percentages
4. Hover for details</t>
  </si>
  <si>
    <t>Progress rings show accurate completion</t>
  </si>
  <si>
    <t>TC500</t>
  </si>
  <si>
    <t>Browse All Available Meals</t>
  </si>
  <si>
    <t>1. Navigate to /meals
2. View meal grid
3. Scroll through meals
4. Check loading</t>
  </si>
  <si>
    <t>All meals displayed with images and prices</t>
  </si>
  <si>
    <t>TC501</t>
  </si>
  <si>
    <t>Meal Search</t>
  </si>
  <si>
    <t>Search Meals by Name</t>
  </si>
  <si>
    <t>1. Go to meals page
2. Enter search term in search box
3. Press Enter
4. View results</t>
  </si>
  <si>
    <t>Search results match query</t>
  </si>
  <si>
    <t>TC502</t>
  </si>
  <si>
    <t>Filter Meals by Restaurant</t>
  </si>
  <si>
    <t>1. Click restaurant filter
2. Select specific restaurant
3. Apply filter
4. View filtered results</t>
  </si>
  <si>
    <t>Only selected restaurant meals shown</t>
  </si>
  <si>
    <t>TC503</t>
  </si>
  <si>
    <t>Filter by Dietary Preferences</t>
  </si>
  <si>
    <t>1. Click diet filter
2. Select 'Keto'
3. Apply filter
4. Verify all meals are keto-friendly</t>
  </si>
  <si>
    <t>Only meals matching diet tag shown</t>
  </si>
  <si>
    <t>TC504</t>
  </si>
  <si>
    <t>Filter by Calorie Range</t>
  </si>
  <si>
    <t>1. Set min calories to 300
2. Set max calories to 600
3. Apply filter
4. Check results</t>
  </si>
  <si>
    <t>TC505</t>
  </si>
  <si>
    <t>Filter by Protein</t>
  </si>
  <si>
    <t>Filter by Protein Content</t>
  </si>
  <si>
    <t>1. Set min protein to 30g
2. Apply filter
3. View high-protein meals</t>
  </si>
  <si>
    <t>High protein meals displayed</t>
  </si>
  <si>
    <t>TC506</t>
  </si>
  <si>
    <t>Sort by Popularity</t>
  </si>
  <si>
    <t>Sort Meals by Popularity</t>
  </si>
  <si>
    <t>1. Click sort dropdown
2. Select 'Most Popular'
3. Verify meals reordered
4. Check top meal</t>
  </si>
  <si>
    <t>Meals sorted by popularity</t>
  </si>
  <si>
    <t>TC507</t>
  </si>
  <si>
    <t>Sort by Price</t>
  </si>
  <si>
    <t>Sort Meals by Price</t>
  </si>
  <si>
    <t>1. Select 'Price: Low to High'
2. Verify ascending order
3. Select 'Price: High to Low'
4. Verify descending order</t>
  </si>
  <si>
    <t>Meals sorted by price correctly</t>
  </si>
  <si>
    <t>TC508</t>
  </si>
  <si>
    <t>Sort by Newest</t>
  </si>
  <si>
    <t>Sort Meals by Newest</t>
  </si>
  <si>
    <t>1. Select 'Newest' sort
2. Verify newest meals first
3. Check timestamps</t>
  </si>
  <si>
    <t>Meals sorted by creation date</t>
  </si>
  <si>
    <t>TC509</t>
  </si>
  <si>
    <t>Meal Detail View</t>
  </si>
  <si>
    <t>1. Click on meal card
2. View detail page
3. Check all sections
4. Verify nutrition info</t>
  </si>
  <si>
    <t>All meal details displayed correctly</t>
  </si>
  <si>
    <t>TC510</t>
  </si>
  <si>
    <t>Meal Ingredients</t>
  </si>
  <si>
    <t>View Meal Ingredients</t>
  </si>
  <si>
    <t>1. Open meal detail
2. Scroll to ingredients
3. View full ingredient list
4. Check allergens</t>
  </si>
  <si>
    <t>Ingredients listed with allergens highlighted</t>
  </si>
  <si>
    <t>TC511</t>
  </si>
  <si>
    <t>Meal Nutrition Facts</t>
  </si>
  <si>
    <t>View Detailed Nutrition Facts</t>
  </si>
  <si>
    <t>1. Open meal detail
2. View nutrition panel
3. Check calories, macros
4. Verify daily values</t>
  </si>
  <si>
    <t>Complete nutrition facts displayed</t>
  </si>
  <si>
    <t>TC512</t>
  </si>
  <si>
    <t>Meal Reviews</t>
  </si>
  <si>
    <t>View Meal Reviews</t>
  </si>
  <si>
    <t>1. Open meal detail
2. Scroll to reviews
3. View customer reviews
4. Check ratings</t>
  </si>
  <si>
    <t>Reviews and ratings displayed</t>
  </si>
  <si>
    <t>TC513</t>
  </si>
  <si>
    <t>Restaurant Info from Meal</t>
  </si>
  <si>
    <t>View Restaurant from Meal Page</t>
  </si>
  <si>
    <t>1. On meal detail
2. Click restaurant name
3. Navigate to restaurant page
4. View other meals</t>
  </si>
  <si>
    <t>https://nutrio.me/restaurant/[id]</t>
  </si>
  <si>
    <t>Restaurant profile with meals displayed</t>
  </si>
  <si>
    <t>TC514</t>
  </si>
  <si>
    <t>1. Browse meals
2. Click heart icon
3. Verify heart filled
4. Go to favorites page</t>
  </si>
  <si>
    <t>TC515</t>
  </si>
  <si>
    <t>Remove Meal from Favorites</t>
  </si>
  <si>
    <t>1. Go to favorites
2. Click filled heart
3. Verify removed
4. Check list updated</t>
  </si>
  <si>
    <t>https://nutrio.me/favorites</t>
  </si>
  <si>
    <t>TC516</t>
  </si>
  <si>
    <t>Favorites Page</t>
  </si>
  <si>
    <t>View Favorites Page</t>
  </si>
  <si>
    <t>1. Navigate to /favorites
2. View all favorited meals
3. Check empty state if none
4. Remove from here</t>
  </si>
  <si>
    <t>All favorites displayed correctly</t>
  </si>
  <si>
    <t>TC517</t>
  </si>
  <si>
    <t>Meal Add-ons Selection</t>
  </si>
  <si>
    <t>Select Meal Add-ons</t>
  </si>
  <si>
    <t>1. Open meal detail
2. View add-on options
3. Select add-ons
4. See price update</t>
  </si>
  <si>
    <t>Add-ons selected, price updated</t>
  </si>
  <si>
    <t>TC518</t>
  </si>
  <si>
    <t>VIP Price Display</t>
  </si>
  <si>
    <t>View VIP Discounted Price</t>
  </si>
  <si>
    <t>1. Have VIP subscription
2. Browse meals
3. View VIP price badge
4. Compare regular vs VIP price</t>
  </si>
  <si>
    <t>VIP price displayed with savings</t>
  </si>
  <si>
    <t>TC519</t>
  </si>
  <si>
    <t>Featured Restaurants Section</t>
  </si>
  <si>
    <t>1. Go to meals page
2. Scroll to 'Featured'
3. View featured restaurants
4. Click one</t>
  </si>
  <si>
    <t>Featured restaurants prominently displayed</t>
  </si>
  <si>
    <t>TC520</t>
  </si>
  <si>
    <t>Smart Recommendations Section</t>
  </si>
  <si>
    <t>View 'Recommended for You'</t>
  </si>
  <si>
    <t>1. Complete onboarding
2. Go to meals
3. View recommendations
4. Check personalization</t>
  </si>
  <si>
    <t>TC521</t>
  </si>
  <si>
    <t>Quick View Modal</t>
  </si>
  <si>
    <t>Quick View Meal (Modal)</t>
  </si>
  <si>
    <t>1. Hover over meal
2. Click 'Quick View'
3. View modal with details
4. Close modal</t>
  </si>
  <si>
    <t>Quick view modal displayed</t>
  </si>
  <si>
    <t>TC522</t>
  </si>
  <si>
    <t>Meal Card Hover Effects</t>
  </si>
  <si>
    <t>Meal Card Interactions</t>
  </si>
  <si>
    <t>1. Hover over meal card
2. Check hover effects
3. Verify image zoom
4. Check buttons appear</t>
  </si>
  <si>
    <t>Hover effects work correctly</t>
  </si>
  <si>
    <t>TC523</t>
  </si>
  <si>
    <t>Load More Pagination</t>
  </si>
  <si>
    <t>Load More Meals</t>
  </si>
  <si>
    <t>1. Scroll to bottom
2. Click 'Load More'
3. Verify more meals load
4. Check loading state</t>
  </si>
  <si>
    <t>More meals loaded on click</t>
  </si>
  <si>
    <t>TC524</t>
  </si>
  <si>
    <t>Meal Image Gallery</t>
  </si>
  <si>
    <t>View Meal Image Gallery</t>
  </si>
  <si>
    <t>1. Open meal detail
2. Click main image
3. View gallery
4. Navigate between images</t>
  </si>
  <si>
    <t>Image gallery displayed with navigation</t>
  </si>
  <si>
    <t>TC525</t>
  </si>
  <si>
    <t>Dietary Tags Display</t>
  </si>
  <si>
    <t>View Meal Dietary Tags</t>
  </si>
  <si>
    <t>1. Browse meals
2. Check dietary tags on cards
3. Hover for tag details
4. Click to filter</t>
  </si>
  <si>
    <t>Dietary tags displayed and clickable</t>
  </si>
  <si>
    <t>TC600</t>
  </si>
  <si>
    <t>View All Plans</t>
  </si>
  <si>
    <t>View All Subscription Plans</t>
  </si>
  <si>
    <t>1. Navigate to /subscription
2. View all 4 tiers
3. Compare features
4. Check pricing</t>
  </si>
  <si>
    <t>All plans displayed with features</t>
  </si>
  <si>
    <t>TC601</t>
  </si>
  <si>
    <t>Plan Comparison</t>
  </si>
  <si>
    <t>Compare Subscription Plans</t>
  </si>
  <si>
    <t>1. On subscription page
2. View comparison table
3. Toggle features
4. See differences</t>
  </si>
  <si>
    <t>Plan comparison clearly displayed</t>
  </si>
  <si>
    <t>TC602</t>
  </si>
  <si>
    <t>Basic Plan Subscribe</t>
  </si>
  <si>
    <t>1. Click Basic plan
2. Review details
3. Click Subscribe
4. Complete payment</t>
  </si>
  <si>
    <t>Basic subscription activated</t>
  </si>
  <si>
    <t>TC603</t>
  </si>
  <si>
    <t>Standard Plan Subscribe</t>
  </si>
  <si>
    <t>1. Click Standard plan
2. Review 10 meals/week
3. Complete payment
4. Verify activation</t>
  </si>
  <si>
    <t>Standard subscription activated</t>
  </si>
  <si>
    <t>TC604</t>
  </si>
  <si>
    <t>Premium Plan Subscribe</t>
  </si>
  <si>
    <t>1. Click Premium plan
2. Review 15 meals/week
3. Complete payment
4. Verify activation</t>
  </si>
  <si>
    <t>Premium subscription activated</t>
  </si>
  <si>
    <t>TC605</t>
  </si>
  <si>
    <t>VIP Plan Subscribe</t>
  </si>
  <si>
    <t>1. Click VIP plan
2. Review unlimited meals
3. Complete payment
4. Verify VIP benefits</t>
  </si>
  <si>
    <t>VIP subscription with perks activated</t>
  </si>
  <si>
    <t>TC606</t>
  </si>
  <si>
    <t>Annual Discount</t>
  </si>
  <si>
    <t>View Annual Billing Discount</t>
  </si>
  <si>
    <t>1. Toggle to annual billing
2. View 17% discount
3. Compare monthly vs annual
4. Select annual</t>
  </si>
  <si>
    <t>Annual discount displayed correctly</t>
  </si>
  <si>
    <t>TC607</t>
  </si>
  <si>
    <t>Complete Subscription Quiz</t>
  </si>
  <si>
    <t>1. Click 'Find My Plan'
2. Answer 3 questions
3. Get recommendation
4. Click to subscribe</t>
  </si>
  <si>
    <t>Wizard recommends suitable plan</t>
  </si>
  <si>
    <t>TC608</t>
  </si>
  <si>
    <t>Current Subscription View</t>
  </si>
  <si>
    <t>View Current Subscription</t>
  </si>
  <si>
    <t>1. Have active subscription
2. View subscription page
3. Check current plan
4. View usage</t>
  </si>
  <si>
    <t>Current subscription details displayed</t>
  </si>
  <si>
    <t>TC609</t>
  </si>
  <si>
    <t>Meals Usage Display</t>
  </si>
  <si>
    <t>View Weekly Meal Usage</t>
  </si>
  <si>
    <t>1. View subscription
2. Check meals used
3. Check meals remaining
4. View usage history</t>
  </si>
  <si>
    <t>Accurate usage tracking displayed</t>
  </si>
  <si>
    <t>TC610</t>
  </si>
  <si>
    <t>Usage History</t>
  </si>
  <si>
    <t>1. Go to subscription
2. Click 'View History'
3. See past weeks
4. Check rollover meals</t>
  </si>
  <si>
    <t>TC611</t>
  </si>
  <si>
    <t>1. Have unused meals
2. View subscription
3. Check rollover section
4. Verify expiration</t>
  </si>
  <si>
    <t>Rollover credits with expiry displayed</t>
  </si>
  <si>
    <t>TC612</t>
  </si>
  <si>
    <t>Upgrade Plan</t>
  </si>
  <si>
    <t>1. View current plan
2. Click 'Upgrade'
3. Select higher tier
4. Pay difference</t>
  </si>
  <si>
    <t>Plan upgraded, new limits applied</t>
  </si>
  <si>
    <t>TC613</t>
  </si>
  <si>
    <t>Downgrade Plan</t>
  </si>
  <si>
    <t>1. View current plan
2. Click 'Downgrade'
3. Select lower tier
4. Confirm effective date</t>
  </si>
  <si>
    <t>Downgrade scheduled for next cycle</t>
  </si>
  <si>
    <t>TC614</t>
  </si>
  <si>
    <t>Prorated Upgrade</t>
  </si>
  <si>
    <t>Prorated Plan Upgrade</t>
  </si>
  <si>
    <t>1. Use some meals mid-week
2. Upgrade plan
3. Verify prorated charge
4. Get immediate credits</t>
  </si>
  <si>
    <t>Prorated charge calculated correctly</t>
  </si>
  <si>
    <t>TC615</t>
  </si>
  <si>
    <t>1. Go to subscription
2. Click 'Pause'
3. Select resume date
4. Confirm pause</t>
  </si>
  <si>
    <t>Subscription paused, auto-resume set</t>
  </si>
  <si>
    <t>TC616</t>
  </si>
  <si>
    <t>Resume Paused Subscription</t>
  </si>
  <si>
    <t>1. Have paused subscription
2. Click 'Resume Now'
3. Confirm resume
4. Verify active</t>
  </si>
  <si>
    <t>Subscription resumed immediately</t>
  </si>
  <si>
    <t>TC617</t>
  </si>
  <si>
    <t>1. Go to subscription
2. Click 'Cancel'
3. Provide reason
4. Confirm cancellation</t>
  </si>
  <si>
    <t>Subscription cancelled, access until end</t>
  </si>
  <si>
    <t>TC618</t>
  </si>
  <si>
    <t>Cancellation Survey</t>
  </si>
  <si>
    <t>Complete Cancellation Survey</t>
  </si>
  <si>
    <t>1. Initiate cancellation
2. Complete survey
3. Select reason
4. Submit feedback</t>
  </si>
  <si>
    <t>Survey completed, cancellation processed</t>
  </si>
  <si>
    <t>TC619</t>
  </si>
  <si>
    <t>1. Login without subscription
2. Try to schedule meal
3. View gate popup
4. Click 'View Plans'</t>
  </si>
  <si>
    <t>Gate displayed, redirect to subscription</t>
  </si>
  <si>
    <t>TC620</t>
  </si>
  <si>
    <t>Quota Warning 75%</t>
  </si>
  <si>
    <t>Quota Warning at 75% Usage</t>
  </si>
  <si>
    <t>1. Use 75%+ of meals
2. View dashboard
3. Check warning banner
4. Click upgrade</t>
  </si>
  <si>
    <t>Warning banner with upgrade option</t>
  </si>
  <si>
    <t>TC621</t>
  </si>
  <si>
    <t>Quota Warning 100%</t>
  </si>
  <si>
    <t>Quota Exhausted Warning</t>
  </si>
  <si>
    <t>1. Use all weekly meals
2. View dashboard
3. Check exhausted banner
4. Try to schedule</t>
  </si>
  <si>
    <t>Exhausted warning displayed</t>
  </si>
  <si>
    <t>TC622</t>
  </si>
  <si>
    <t>Meal Limit Upsell</t>
  </si>
  <si>
    <t>Meal Limit Upsell Banner</t>
  </si>
  <si>
    <t>1. Reach meal limit
2. Try to add meal
3. View upsell banner
4. Click to upgrade</t>
  </si>
  <si>
    <t>Upsell banner with plan options</t>
  </si>
  <si>
    <t>TC623</t>
  </si>
  <si>
    <t>Auto-Renewal Settings</t>
  </si>
  <si>
    <t>Manage Auto-Renewal</t>
  </si>
  <si>
    <t>1. Go to subscription settings
2. Toggle auto-renewal
3. Save settings
4. Verify change</t>
  </si>
  <si>
    <t>Auto-renewal setting updated</t>
  </si>
  <si>
    <t>TC624</t>
  </si>
  <si>
    <t>Billing History</t>
  </si>
  <si>
    <t>View Billing History</t>
  </si>
  <si>
    <t>1. Go to subscription
2. Click 'Billing History'
3. View past charges
4. Download invoices</t>
  </si>
  <si>
    <t>Complete billing history displayed</t>
  </si>
  <si>
    <t>TC625</t>
  </si>
  <si>
    <t>Next Billing Date</t>
  </si>
  <si>
    <t>View Next Billing Date</t>
  </si>
  <si>
    <t>1. View subscription
2. Check next billing
3. Verify date correct
4. View amount</t>
  </si>
  <si>
    <t>Next billing date displayed</t>
  </si>
  <si>
    <t>TC700</t>
  </si>
  <si>
    <t>View All Order History</t>
  </si>
  <si>
    <t>1. Navigate to /orders
2. View all past orders
3. Check statuses
4. Scroll through list</t>
  </si>
  <si>
    <t>All orders displayed with status</t>
  </si>
  <si>
    <t>TC701</t>
  </si>
  <si>
    <t>Order Detail View</t>
  </si>
  <si>
    <t>1. Click on order
2. View detail page
3. Check items
4. View status timeline</t>
  </si>
  <si>
    <t>https://nutrio.me/order/[id]</t>
  </si>
  <si>
    <t>Complete order details displayed</t>
  </si>
  <si>
    <t>TC702</t>
  </si>
  <si>
    <t>Active Orders Filter</t>
  </si>
  <si>
    <t>Filter Active Orders</t>
  </si>
  <si>
    <t>1. Go to orders
2. Click 'Active' tab
3. View pending/delivering orders
4. Verify filter</t>
  </si>
  <si>
    <t>Only active orders displayed</t>
  </si>
  <si>
    <t>TC703</t>
  </si>
  <si>
    <t>Completed Orders Filter</t>
  </si>
  <si>
    <t>Filter Completed Orders</t>
  </si>
  <si>
    <t>1. Go to orders
2. Click 'Completed' tab
3. View delivered orders
4. Verify filter</t>
  </si>
  <si>
    <t>Only completed orders displayed</t>
  </si>
  <si>
    <t>TC704</t>
  </si>
  <si>
    <t>Cancelled Orders Filter</t>
  </si>
  <si>
    <t>Filter Cancelled Orders</t>
  </si>
  <si>
    <t>1. Go to orders
2. Click 'Cancelled' tab
3. View cancelled orders
4. Verify filter</t>
  </si>
  <si>
    <t>Only cancelled orders displayed</t>
  </si>
  <si>
    <t>TC705</t>
  </si>
  <si>
    <t>1. Enter order ID in search
2. Press Enter
3. View results
4. Try partial ID</t>
  </si>
  <si>
    <t>Orders matching search displayed</t>
  </si>
  <si>
    <t>TC706</t>
  </si>
  <si>
    <t>1. Find pending order
2. Click 'Cancel'
3. Confirm cancellation
4. Verify status updated</t>
  </si>
  <si>
    <t>Order cancelled, meals refunded</t>
  </si>
  <si>
    <t>TC707</t>
  </si>
  <si>
    <t>Cannot Cancel Preparing</t>
  </si>
  <si>
    <t>1. Find preparing order
2. Try to cancel
3. Verify option disabled
4. Check message</t>
  </si>
  <si>
    <t>Cancellation not allowed with message</t>
  </si>
  <si>
    <t>TC708</t>
  </si>
  <si>
    <t>1. Go to completed order
2. Click 'Reorder'
3. Items added to cart
4. Modify if needed</t>
  </si>
  <si>
    <t>All items added to new order</t>
  </si>
  <si>
    <t>TC709</t>
  </si>
  <si>
    <t>Rate Delivered Order</t>
  </si>
  <si>
    <t>1. Open delivered order
2. Click 'Rate'
3. Select star rating
4. Add comment
5. Submit</t>
  </si>
  <si>
    <t>Rating submitted successfully</t>
  </si>
  <si>
    <t>TC710</t>
  </si>
  <si>
    <t>1. Open delivered order
2. Click 'Rate Items'
3. Rate each item
4. Add per-item comments</t>
  </si>
  <si>
    <t>TC711</t>
  </si>
  <si>
    <t>1. Rate order
2. Click 'Add Photo'
3. Upload meal photo
4. Submit review</t>
  </si>
  <si>
    <t>TC712</t>
  </si>
  <si>
    <t>Order Status Timeline</t>
  </si>
  <si>
    <t>1. Open order
2. View timeline
3. Check all status changes
4. Verify timestamps</t>
  </si>
  <si>
    <t>Complete status timeline displayed</t>
  </si>
  <si>
    <t>TC713</t>
  </si>
  <si>
    <t>Add Delivery Instructions</t>
  </si>
  <si>
    <t>1. At checkout
2. Add delivery notes
3. Place order
4. Verify saved in order</t>
  </si>
  <si>
    <t>TC714</t>
  </si>
  <si>
    <t>Track Order Status Page</t>
  </si>
  <si>
    <t>1. Go to /tracking
2. View active orders
3. Check current status
4. View progress</t>
  </si>
  <si>
    <t>Order tracking displayed</t>
  </si>
  <si>
    <t>TC715</t>
  </si>
  <si>
    <t>Track on Map</t>
  </si>
  <si>
    <t>1. Order out for delivery
2. Open tracking
3. View map
4. See driver location</t>
  </si>
  <si>
    <t>Map shows driver location and ETA</t>
  </si>
  <si>
    <t>TC716</t>
  </si>
  <si>
    <t>Driver Information</t>
  </si>
  <si>
    <t>View Driver Details</t>
  </si>
  <si>
    <t>1. Order assigned
2. Open tracking
3. View driver name
4. See phone number</t>
  </si>
  <si>
    <t>Driver information displayed</t>
  </si>
  <si>
    <t>TC717</t>
  </si>
  <si>
    <t>Call Driver</t>
  </si>
  <si>
    <t>Call Driver from Tracking</t>
  </si>
  <si>
    <t>1. View driver info
2. Click 'Call Driver'
3. Phone app opens
4. Number pre-filled</t>
  </si>
  <si>
    <t>Phone opens with driver number</t>
  </si>
  <si>
    <t>TC718</t>
  </si>
  <si>
    <t>Real-time Status Updates</t>
  </si>
  <si>
    <t>1. Keep tracking page open
2. Wait for status change
3. Verify auto-update
4. Check notification</t>
  </si>
  <si>
    <t>Status updates automatically</t>
  </si>
  <si>
    <t>TC719</t>
  </si>
  <si>
    <t>Modify Before Preparation</t>
  </si>
  <si>
    <t>1. Place order
2. Before preparing
3. Click 'Modify'
4. Add/remove items
5. Confirm</t>
  </si>
  <si>
    <t>Order modified successfully</t>
  </si>
  <si>
    <t>TC720</t>
  </si>
  <si>
    <t>1. Place order
2. Wait for updates
3. Receive push notification
4. Receive email
5. Check WhatsApp</t>
  </si>
  <si>
    <t>Notifications received on all channels</t>
  </si>
  <si>
    <t>TC721</t>
  </si>
  <si>
    <t>Schedule</t>
  </si>
  <si>
    <t>View Meal Schedule</t>
  </si>
  <si>
    <t>View Weekly Meal Schedule</t>
  </si>
  <si>
    <t>1. Navigate to /schedule
2. View calendar
3. See scheduled meals
4. Check by day</t>
  </si>
  <si>
    <t>https://nutrio.me/schedule</t>
  </si>
  <si>
    <t>Weekly schedule displayed</t>
  </si>
  <si>
    <t>TC722</t>
  </si>
  <si>
    <t>Schedule Meal</t>
  </si>
  <si>
    <t>Schedule a Meal</t>
  </si>
  <si>
    <t>1. Go to schedule
2. Click empty slot
3. Select meal
4. Select time
5. Save</t>
  </si>
  <si>
    <t>Meal scheduled successfully</t>
  </si>
  <si>
    <t>TC723</t>
  </si>
  <si>
    <t>Reschedule Meal</t>
  </si>
  <si>
    <t>Reschedule Existing Meal</t>
  </si>
  <si>
    <t>1. Find scheduled meal
2. Click reschedule
3. Select new date/time
4. Confirm</t>
  </si>
  <si>
    <t>Meal rescheduled successfully</t>
  </si>
  <si>
    <t>TC724</t>
  </si>
  <si>
    <t>Cancel Scheduled Meal</t>
  </si>
  <si>
    <t>1. Find scheduled meal
2. Click cancel
3. Confirm
4. Verify removed</t>
  </si>
  <si>
    <t>Meal cancelled, credit returned</t>
  </si>
  <si>
    <t>TC725</t>
  </si>
  <si>
    <t>Complete Scheduled Meal</t>
  </si>
  <si>
    <t>Mark Meal as Completed</t>
  </si>
  <si>
    <t>1. Meal delivered
2. Click 'Complete'
3. Confirm
4. Nutrition logged</t>
  </si>
  <si>
    <t>Meal marked complete, nutrition tracked</t>
  </si>
  <si>
    <t>TC726</t>
  </si>
  <si>
    <t>Meal Plan Generator</t>
  </si>
  <si>
    <t>Generate Meal Plan</t>
  </si>
  <si>
    <t>1. Go to schedule
2. Click 'Generate Plan'
3. Select preferences
4. Generate AI plan</t>
  </si>
  <si>
    <t>AI meal plan generated</t>
  </si>
  <si>
    <t>TC727</t>
  </si>
  <si>
    <t>Calendar View</t>
  </si>
  <si>
    <t>Calendar View Toggle</t>
  </si>
  <si>
    <t>1. On schedule page
2. Toggle calendar view
3. Switch to list view
4. Verify both work</t>
  </si>
  <si>
    <t>Both calendar and list views work</t>
  </si>
  <si>
    <t>TC728</t>
  </si>
  <si>
    <t>Drag to Reschedule</t>
  </si>
  <si>
    <t>Drag-and-Drop Reschedule</t>
  </si>
  <si>
    <t>1. View calendar
2. Drag meal to new date
3. Drop
4. Verify rescheduled</t>
  </si>
  <si>
    <t>Drag-and-drop rescheduling works</t>
  </si>
  <si>
    <t>TC800</t>
  </si>
  <si>
    <t>View Progress Overview</t>
  </si>
  <si>
    <t>1. Navigate to /progress
2. View overview
3. Check charts
4. View trends</t>
  </si>
  <si>
    <t>Progress overview with charts displayed</t>
  </si>
  <si>
    <t>TC801</t>
  </si>
  <si>
    <t>Weight Log Entry</t>
  </si>
  <si>
    <t>1. Go to weight tracking
2. Enter weight
3. Select date
4. Save log</t>
  </si>
  <si>
    <t>https://nutrio.me/weight-tracking</t>
  </si>
  <si>
    <t>Weight logged successfully</t>
  </si>
  <si>
    <t>TC802</t>
  </si>
  <si>
    <t>Weight Trend Chart</t>
  </si>
  <si>
    <t>View Weight Trend</t>
  </si>
  <si>
    <t>1. Log weights over time
2. View progress
3. Check weight chart
4. View trend line</t>
  </si>
  <si>
    <t>Weight trend chart displayed</t>
  </si>
  <si>
    <t>TC803</t>
  </si>
  <si>
    <t>Weight Prediction</t>
  </si>
  <si>
    <t>View Weight Prediction</t>
  </si>
  <si>
    <t>1. Have weight history
2. View progress
3. Check prediction
4. See target date estimate</t>
  </si>
  <si>
    <t>Weight prediction displayed</t>
  </si>
  <si>
    <t>TC804</t>
  </si>
  <si>
    <t>1. Go to body progress
2. Click 'Add Measurements'
3. Enter measurements
4. Save</t>
  </si>
  <si>
    <t>Measurements saved successfully</t>
  </si>
  <si>
    <t>TC805</t>
  </si>
  <si>
    <t>Measurement Charts</t>
  </si>
  <si>
    <t>View Measurement Charts</t>
  </si>
  <si>
    <t>1. Have measurement history
2. View body progress
3. Check charts
4. Toggle metrics</t>
  </si>
  <si>
    <t>Measurement charts displayed</t>
  </si>
  <si>
    <t>TC806</t>
  </si>
  <si>
    <t>Nutrition Log</t>
  </si>
  <si>
    <t>View Nutrition Log</t>
  </si>
  <si>
    <t>1. Go to progress
2. View nutrition section
3. Check daily logs
4. View macro breakdown</t>
  </si>
  <si>
    <t>Nutrition log with macros displayed</t>
  </si>
  <si>
    <t>TC807</t>
  </si>
  <si>
    <t>Macro Tracking</t>
  </si>
  <si>
    <t>Track Daily Macros</t>
  </si>
  <si>
    <t>1. Log meals
2. View progress
3. Check macro totals
4. Compare to targets</t>
  </si>
  <si>
    <t>Macro tracking displayed vs goals</t>
  </si>
  <si>
    <t>TC808</t>
  </si>
  <si>
    <t>Weekly Report</t>
  </si>
  <si>
    <t>Generate Weekly Report</t>
  </si>
  <si>
    <t>1. Go to progress
2. Click 'Weekly Report'
3. Select week
4. Generate PDF</t>
  </si>
  <si>
    <t>Weekly report generated</t>
  </si>
  <si>
    <t>TC809</t>
  </si>
  <si>
    <t>Streak Display</t>
  </si>
  <si>
    <t>View Streak Information</t>
  </si>
  <si>
    <t>1. View progress
2. Check streak widget
3. View current streak
4. View best streak</t>
  </si>
  <si>
    <t>Streak information displayed</t>
  </si>
  <si>
    <t>TC810</t>
  </si>
  <si>
    <t>View Milestones</t>
  </si>
  <si>
    <t>1. Go to milestones
2. View achievements
3. Check unlocked
4. View locked</t>
  </si>
  <si>
    <t>Milestones displayed with progress</t>
  </si>
  <si>
    <t>TC811</t>
  </si>
  <si>
    <t>Goal Management</t>
  </si>
  <si>
    <t>Manage Nutrition Goals</t>
  </si>
  <si>
    <t>1. Go to goals
2. Edit calorie target
3. Edit macro targets
4. Save changes</t>
  </si>
  <si>
    <t>https://nutrio.me/goals</t>
  </si>
  <si>
    <t>Goals updated successfully</t>
  </si>
  <si>
    <t>TC812</t>
  </si>
  <si>
    <t>Adaptive Goals</t>
  </si>
  <si>
    <t>View Adaptive Goal Adjustments</t>
  </si>
  <si>
    <t>1. Have AI adjustments
2. View goals
3. Check suggested changes
4. Accept or reject</t>
  </si>
  <si>
    <t>Adaptive adjustments displayed</t>
  </si>
  <si>
    <t>TC813</t>
  </si>
  <si>
    <t>Receive Smart Adjustments</t>
  </si>
  <si>
    <t>1. Log weight weekly
2. View progress
3. Check AI recommendations
4. Apply adjustment</t>
  </si>
  <si>
    <t>Smart adjustments suggested</t>
  </si>
  <si>
    <t>TC814</t>
  </si>
  <si>
    <t>Meal Quality Score</t>
  </si>
  <si>
    <t>View Meal Quality Score</t>
  </si>
  <si>
    <t>1. Complete meals
2. View progress
3. Check quality score
4. View breakdown</t>
  </si>
  <si>
    <t>Meal quality score displayed</t>
  </si>
  <si>
    <t>TC815</t>
  </si>
  <si>
    <t>Nutritional Insights</t>
  </si>
  <si>
    <t>View Nutritional Insights</t>
  </si>
  <si>
    <t>1. Have nutrition data
2. View progress
3. Check insights
4. Read recommendations</t>
  </si>
  <si>
    <t>Nutritional insights displayed</t>
  </si>
  <si>
    <t>TC816</t>
  </si>
  <si>
    <t>Professional Weekly Report</t>
  </si>
  <si>
    <t>Generate Professional Report</t>
  </si>
  <si>
    <t>1. Go to progress
2. Click 'Professional Report'
3. Generate
4. Download PDF</t>
  </si>
  <si>
    <t>Professional report generated</t>
  </si>
  <si>
    <t>TC817</t>
  </si>
  <si>
    <t>Water Tracking</t>
  </si>
  <si>
    <t>Track Water Intake</t>
  </si>
  <si>
    <t>1. Go to progress
2. Find water tracker
3. Add glasses
4. View daily/weekly totals</t>
  </si>
  <si>
    <t>Water intake tracked and displayed</t>
  </si>
  <si>
    <t>TC818</t>
  </si>
  <si>
    <t>Health Score Detail</t>
  </si>
  <si>
    <t>View Health Score Breakdown</t>
  </si>
  <si>
    <t>1. View progress
2. Click health score
3. View breakdown
4. Check each component</t>
  </si>
  <si>
    <t>Health score components displayed</t>
  </si>
  <si>
    <t>TC819</t>
  </si>
  <si>
    <t>Export Data</t>
  </si>
  <si>
    <t>Export Progress Data</t>
  </si>
  <si>
    <t>1. Go to progress
2. Click 'Export'
3. Select format
4. Download data</t>
  </si>
  <si>
    <t>Progress data exported</t>
  </si>
  <si>
    <t>TC900</t>
  </si>
  <si>
    <t>Balance and history displayed</t>
  </si>
  <si>
    <t>TC901</t>
  </si>
  <si>
    <t>1. Go to wallet
2. Click 'Add Funds'
3. Enter amount
4. Complete payment</t>
  </si>
  <si>
    <t>TC902</t>
  </si>
  <si>
    <t>Quick Add Amounts</t>
  </si>
  <si>
    <t>Quick Add Preset Amounts</t>
  </si>
  <si>
    <t>1. Go to add funds
2. Click preset (50/100/200)
3. Amount auto-filled
4. Complete payment</t>
  </si>
  <si>
    <t>Preset amount selected</t>
  </si>
  <si>
    <t>TC903</t>
  </si>
  <si>
    <t>Top-up Packages</t>
  </si>
  <si>
    <t>View Top-up Packages</t>
  </si>
  <si>
    <t>1. Go to wallet
2. View packages
3. See bonus amounts
4. Select package</t>
  </si>
  <si>
    <t>Top-up packages with bonuses displayed</t>
  </si>
  <si>
    <t>TC904</t>
  </si>
  <si>
    <t>1. Go to wallet
2. View transactions tab
3. See all transactions
4. Filter by type</t>
  </si>
  <si>
    <t>Complete transaction history</t>
  </si>
  <si>
    <t>TC905</t>
  </si>
  <si>
    <t>Transaction Details</t>
  </si>
  <si>
    <t>View Transaction Details</t>
  </si>
  <si>
    <t>1. Click transaction
2. View details
3. Check amount
4. Check status</t>
  </si>
  <si>
    <t>Transaction details displayed</t>
  </si>
  <si>
    <t>TC906</t>
  </si>
  <si>
    <t>Pay Order with Wallet</t>
  </si>
  <si>
    <t>1. Checkout order
2. Select 'Wallet' payment
3. Confirm
4. Verify deduction</t>
  </si>
  <si>
    <t>Payment processed, balance deducted</t>
  </si>
  <si>
    <t>TC907</t>
  </si>
  <si>
    <t>Insufficient Balance</t>
  </si>
  <si>
    <t>Handle Insufficient Balance</t>
  </si>
  <si>
    <t>1. Try to pay with low balance
2. View error
3. Click 'Add Funds'
4. Complete top-up</t>
  </si>
  <si>
    <t>Error shown with add funds option</t>
  </si>
  <si>
    <t>TC908</t>
  </si>
  <si>
    <t>Auto-recharge Setup</t>
  </si>
  <si>
    <t>Set Up Auto-recharge</t>
  </si>
  <si>
    <t>1. Go to wallet settings
2. Enable auto-recharge
3. Set threshold
4. Set amount</t>
  </si>
  <si>
    <t>TC909</t>
  </si>
  <si>
    <t>Auto-recharge Trigger</t>
  </si>
  <si>
    <t>Auto-recharge Triggered</t>
  </si>
  <si>
    <t>1. Balance below threshold
2. Trigger event
3. Auto-recharge occurs
4. Verify balance</t>
  </si>
  <si>
    <t>Auto-recharge completes successfully</t>
  </si>
  <si>
    <t>TC910</t>
  </si>
  <si>
    <t>Wallet Security</t>
  </si>
  <si>
    <t>Wallet PIN/Security</t>
  </si>
  <si>
    <t>1. Set wallet PIN
2. Require PIN for payments
3. Make payment
4. Enter PIN</t>
  </si>
  <si>
    <t>PIN required for transactions</t>
  </si>
  <si>
    <t>TC950</t>
  </si>
  <si>
    <t>1. Navigate to /profile
2. View personal info
3. Check subscription
4. View referral code</t>
  </si>
  <si>
    <t>Profile information displayed</t>
  </si>
  <si>
    <t>TC951</t>
  </si>
  <si>
    <t>1. Go to profile
2. Click 'Edit'
3. Change name
4. Change phone
5. Save</t>
  </si>
  <si>
    <t>TC952</t>
  </si>
  <si>
    <t>1. Go to profile
2. Click 'Change Password'
3. Enter current
4. Enter new
5. Confirm
6. Save</t>
  </si>
  <si>
    <t>TC953</t>
  </si>
  <si>
    <t>Update Avatar</t>
  </si>
  <si>
    <t>Update Profile Picture</t>
  </si>
  <si>
    <t>1. Go to profile
2. Click avatar
3. Upload new image
4. Crop if needed
5. Save</t>
  </si>
  <si>
    <t>Avatar updated successfully</t>
  </si>
  <si>
    <t>TC954</t>
  </si>
  <si>
    <t>1. Go to profile
2. Find referral section
3. View unique code
4. Check format</t>
  </si>
  <si>
    <t>Referral code displayed</t>
  </si>
  <si>
    <t>TC955</t>
  </si>
  <si>
    <t>1. View referral code
2. Click 'Copy'
3. Verify copied
4. Paste elsewhere</t>
  </si>
  <si>
    <t>TC956</t>
  </si>
  <si>
    <t>Share Referral via WhatsApp</t>
  </si>
  <si>
    <t>1. Click 'Share on WhatsApp'
2. Select contact
3. Pre-filled message
4. Send</t>
  </si>
  <si>
    <t>WhatsApp opens with referral message</t>
  </si>
  <si>
    <t>TC957</t>
  </si>
  <si>
    <t>Referral Stats</t>
  </si>
  <si>
    <t>1. Go to referral section
2. View total referrals
3. Check earned rewards
4. View history</t>
  </si>
  <si>
    <t>Referral statistics displayed</t>
  </si>
  <si>
    <t>TC958</t>
  </si>
  <si>
    <t>Addresses</t>
  </si>
  <si>
    <t>View Addresses</t>
  </si>
  <si>
    <t>View Saved Addresses</t>
  </si>
  <si>
    <t>1. Navigate to /addresses
2. View all addresses
3. Check default</t>
  </si>
  <si>
    <t>https://nutrio.me/addresses</t>
  </si>
  <si>
    <t>All addresses displayed</t>
  </si>
  <si>
    <t>TC959</t>
  </si>
  <si>
    <t>Add New Address</t>
  </si>
  <si>
    <t>Add New Delivery Address</t>
  </si>
  <si>
    <t>1. Go to addresses
2. Click 'Add New'
3. Enter address details
4. Save</t>
  </si>
  <si>
    <t>Address added successfully</t>
  </si>
  <si>
    <t>TC960</t>
  </si>
  <si>
    <t>Edit Address</t>
  </si>
  <si>
    <t>Edit Existing Address</t>
  </si>
  <si>
    <t>1. Find address
2. Click 'Edit'
3. Modify details
4. Save changes</t>
  </si>
  <si>
    <t>Address updated successfully</t>
  </si>
  <si>
    <t>TC961</t>
  </si>
  <si>
    <t>1. Find address
2. Click 'Delete'
3. Confirm
4. Verify removed</t>
  </si>
  <si>
    <t>Address deleted successfully</t>
  </si>
  <si>
    <t>TC962</t>
  </si>
  <si>
    <t>Set Default</t>
  </si>
  <si>
    <t>1. Have multiple addresses
2. Click 'Set as Default'
3. Verify badge
4. Check pre-selection</t>
  </si>
  <si>
    <t>Default address updated</t>
  </si>
  <si>
    <t>TC963</t>
  </si>
  <si>
    <t>Address Validation</t>
  </si>
  <si>
    <t>1. Add address
2. Enter invalid address
3. Submit
4. Check validation errors</t>
  </si>
  <si>
    <t>Validation errors displayed</t>
  </si>
  <si>
    <t>TC964</t>
  </si>
  <si>
    <t>1. Go to settings
2. Click Notifications
3. Toggle channels
4. Save</t>
  </si>
  <si>
    <t>https://nutrio.me/settings</t>
  </si>
  <si>
    <t>TC965</t>
  </si>
  <si>
    <t>Push Notifications</t>
  </si>
  <si>
    <t>Toggle Push Notifications</t>
  </si>
  <si>
    <t>1. Go to notification settings
2. Toggle Push
3. Browser permission
4. Save</t>
  </si>
  <si>
    <t>Push notification setting saved</t>
  </si>
  <si>
    <t>TC966</t>
  </si>
  <si>
    <t>Email Notifications</t>
  </si>
  <si>
    <t>Toggle Email Notifications</t>
  </si>
  <si>
    <t>1. Go to settings
2. Toggle Email
3. Save
4. Verify change</t>
  </si>
  <si>
    <t>Email preferences updated</t>
  </si>
  <si>
    <t>TC967</t>
  </si>
  <si>
    <t>WhatsApp Notifications</t>
  </si>
  <si>
    <t>Toggle WhatsApp Notifications</t>
  </si>
  <si>
    <t>1. Go to settings
2. Toggle WhatsApp
3. Verify phone number
4. Save</t>
  </si>
  <si>
    <t>WhatsApp preferences updated</t>
  </si>
  <si>
    <t>TC968</t>
  </si>
  <si>
    <t>1. Go to privacy settings
2. Toggle data sharing
3. Manage preferences
4. Save</t>
  </si>
  <si>
    <t>Privacy settings saved</t>
  </si>
  <si>
    <t>TC969</t>
  </si>
  <si>
    <t>Data Export</t>
  </si>
  <si>
    <t>Request Data Export</t>
  </si>
  <si>
    <t>1. Go to privacy settings
2. Click 'Export Data'
3. Confirm
4. Receive email</t>
  </si>
  <si>
    <t>Data export requested</t>
  </si>
  <si>
    <t>TC970</t>
  </si>
  <si>
    <t>Delete Account</t>
  </si>
  <si>
    <t>Delete Account Request</t>
  </si>
  <si>
    <t>1. Go to settings
2. Click 'Delete Account'
3. Confirm
4. Verify deletion process</t>
  </si>
  <si>
    <t>Account deletion initiated</t>
  </si>
  <si>
    <t>TC971</t>
  </si>
  <si>
    <t>1. Go to settings
2. Click Language
3. Select Arabic
4. Verify UI change</t>
  </si>
  <si>
    <t>Language changed successfully</t>
  </si>
  <si>
    <t>TC972</t>
  </si>
  <si>
    <t>1. Go to settings
2. Toggle theme
3. Switch to dark
4. Verify UI changes</t>
  </si>
  <si>
    <t>Theme toggled successfully</t>
  </si>
  <si>
    <t>TC1000</t>
  </si>
  <si>
    <t>1. Navigate to /affiliate
2. View dashboard
3. Check stats
4. View earnings</t>
  </si>
  <si>
    <t>Affiliate dashboard displayed</t>
  </si>
  <si>
    <t>TC1001</t>
  </si>
  <si>
    <t>Apply for Affiliate</t>
  </si>
  <si>
    <t>Apply to Become Affiliate</t>
  </si>
  <si>
    <t>1. Go to affiliate
2. Click 'Apply'
3. Fill application
4. Submit</t>
  </si>
  <si>
    <t>TC1002</t>
  </si>
  <si>
    <t>View Referral Tracking</t>
  </si>
  <si>
    <t>1. Go to /affiliate/tracking
2. View referrals
3. Check status
4. View conversions</t>
  </si>
  <si>
    <t>https://nutrio.me/affiliate/tracking</t>
  </si>
  <si>
    <t>Referral tracking displayed</t>
  </si>
  <si>
    <t>TC1003</t>
  </si>
  <si>
    <t>Affiliate Stats</t>
  </si>
  <si>
    <t>View Affiliate Statistics</t>
  </si>
  <si>
    <t>1. View affiliate page
2. Check clicks
3. Check signups
4. View earnings</t>
  </si>
  <si>
    <t>Affiliate statistics displayed</t>
  </si>
  <si>
    <t>TC1004</t>
  </si>
  <si>
    <t>Request Payout</t>
  </si>
  <si>
    <t>1. Have earnings
2. Go to payouts
3. Request payout
4. Enter bank details</t>
  </si>
  <si>
    <t>Payout requested</t>
  </si>
  <si>
    <t>TC1005</t>
  </si>
  <si>
    <t>View Affiliate Payout History</t>
  </si>
  <si>
    <t>1. Go to affiliate
2. View payouts
3. Check history
4. View status</t>
  </si>
  <si>
    <t>TC1050</t>
  </si>
  <si>
    <t>Checkout</t>
  </si>
  <si>
    <t>Checkout Page</t>
  </si>
  <si>
    <t>View Checkout Page</t>
  </si>
  <si>
    <t>1. Add meals to cart
2. Go to checkout
3. Review items
4. Check totals</t>
  </si>
  <si>
    <t>Checkout page with order summary</t>
  </si>
  <si>
    <t>TC1051</t>
  </si>
  <si>
    <t>Select Address</t>
  </si>
  <si>
    <t>Select Delivery Address</t>
  </si>
  <si>
    <t>1. On checkout
2. View saved addresses
3. Select address
4. Or add new</t>
  </si>
  <si>
    <t>Address selected for delivery</t>
  </si>
  <si>
    <t>TC1052</t>
  </si>
  <si>
    <t>Select Delivery Time</t>
  </si>
  <si>
    <t>Select Delivery Time Slot</t>
  </si>
  <si>
    <t>1. On checkout
2. Click time selector
3. Choose delivery window
4. Confirm</t>
  </si>
  <si>
    <t>Delivery time selected</t>
  </si>
  <si>
    <t>TC1053</t>
  </si>
  <si>
    <t>Add Delivery Notes</t>
  </si>
  <si>
    <t>1. On checkout
2. Add notes field
3. Enter instructions
4. Save</t>
  </si>
  <si>
    <t>Delivery notes saved</t>
  </si>
  <si>
    <t>TC1054</t>
  </si>
  <si>
    <t>Apply Promo Code</t>
  </si>
  <si>
    <t>1. On checkout
2. Enter promo code
3. Click Apply
4. Verify discount</t>
  </si>
  <si>
    <t>Promo code applied, discount shown</t>
  </si>
  <si>
    <t>TC1055</t>
  </si>
  <si>
    <t>Payment Method Selection</t>
  </si>
  <si>
    <t>Select Payment Method</t>
  </si>
  <si>
    <t>1. On checkout
2. View payment options
3. Select Sadad
4. Or select Wallet</t>
  </si>
  <si>
    <t>Payment method selected</t>
  </si>
  <si>
    <t>TC1056</t>
  </si>
  <si>
    <t>Sadad Payment</t>
  </si>
  <si>
    <t>Complete Sadad Payment</t>
  </si>
  <si>
    <t>1. Select Sadad
2. Click Pay
3. Redirect to Sadad
4. Complete payment
5. Return to success</t>
  </si>
  <si>
    <t>Sadad payment processed</t>
  </si>
  <si>
    <t>TC1057</t>
  </si>
  <si>
    <t>1. Select Wallet
2. Verify balance
3. Confirm payment
4. Process deduction</t>
  </si>
  <si>
    <t>Wallet payment processed</t>
  </si>
  <si>
    <t>TC1058</t>
  </si>
  <si>
    <t>Payment Processing</t>
  </si>
  <si>
    <t>View Payment Processing</t>
  </si>
  <si>
    <t>1. Submit payment
2. View processing screen
3. Wait for confirmation
4. Redirect to success</t>
  </si>
  <si>
    <t>Payment processing displayed</t>
  </si>
  <si>
    <t>TC1059</t>
  </si>
  <si>
    <t>Payment Success</t>
  </si>
  <si>
    <t>Payment Success Screen</t>
  </si>
  <si>
    <t>1. Complete payment
2. View success screen
3. View order details
4. Click continue</t>
  </si>
  <si>
    <t>https://nutrio.me/checkout/success</t>
  </si>
  <si>
    <t>Success screen with order info</t>
  </si>
  <si>
    <t>TC1060</t>
  </si>
  <si>
    <t>Payment Failure</t>
  </si>
  <si>
    <t>Handle Payment Failure</t>
  </si>
  <si>
    <t>1. Payment fails
2. View error
3. Retry option
4. Change payment method</t>
  </si>
  <si>
    <t>Failure handled with retry options</t>
  </si>
  <si>
    <t>TC1061</t>
  </si>
  <si>
    <t>3D Secure</t>
  </si>
  <si>
    <t>Complete 3D Secure Authentication</t>
  </si>
  <si>
    <t>1. Payment requires 3DS
2. Enter OTP
3. Authenticate
4. Complete payment</t>
  </si>
  <si>
    <t>3DS authentication completed</t>
  </si>
  <si>
    <t>TC1062</t>
  </si>
  <si>
    <t>Simulated Payment</t>
  </si>
  <si>
    <t>Use Simulated Payment (Test)</t>
  </si>
  <si>
    <t>1. In test mode
2. Select simulated payment
3. Complete simulation
4. Order placed</t>
  </si>
  <si>
    <t>Simulated payment processed</t>
  </si>
  <si>
    <t>TC1100</t>
  </si>
  <si>
    <t>View All Notifications</t>
  </si>
  <si>
    <t>1. Navigate to /notifications
2. View all notifications
3. Check unread
4. Check read</t>
  </si>
  <si>
    <t>https://nutrio.me/notifications</t>
  </si>
  <si>
    <t>All notifications displayed</t>
  </si>
  <si>
    <t>TC1101</t>
  </si>
  <si>
    <t>Mark as Read</t>
  </si>
  <si>
    <t>Mark Notification as Read</t>
  </si>
  <si>
    <t>1. View notifications
2. Click notification
3. Mark as read
4. Verify status</t>
  </si>
  <si>
    <t>Notification marked read</t>
  </si>
  <si>
    <t>TC1102</t>
  </si>
  <si>
    <t>Clear All</t>
  </si>
  <si>
    <t>Clear All Notifications</t>
  </si>
  <si>
    <t>1. View notifications
2. Click 'Clear All'
3. Confirm
4. Verify empty</t>
  </si>
  <si>
    <t>All notifications cleared</t>
  </si>
  <si>
    <t>TC1103</t>
  </si>
  <si>
    <t>Push Notification Permission</t>
  </si>
  <si>
    <t>Enable Push Notifications</t>
  </si>
  <si>
    <t>1. Browser prompts
2. Click Allow
3. Permission granted
4. Verify enabled</t>
  </si>
  <si>
    <t>Push notifications enabled</t>
  </si>
  <si>
    <t>TC1104</t>
  </si>
  <si>
    <t>View Support Page</t>
  </si>
  <si>
    <t>1. Navigate to /support
2. View FAQ
3. Check contact options
4. View resources</t>
  </si>
  <si>
    <t>https://nutrio.me/support</t>
  </si>
  <si>
    <t>Support page with resources</t>
  </si>
  <si>
    <t>TC1105</t>
  </si>
  <si>
    <t>Contact Support Team</t>
  </si>
  <si>
    <t>1. Go to support
2. Fill contact form
3. Select issue type
4. Submit ticket</t>
  </si>
  <si>
    <t>Support ticket created</t>
  </si>
  <si>
    <t>TC1106</t>
  </si>
  <si>
    <t>View FAQ</t>
  </si>
  <si>
    <t>View Frequently Asked Questions</t>
  </si>
  <si>
    <t>1. Go to /faq
2. Browse questions
3. Click to expand
4. Read answers</t>
  </si>
  <si>
    <t>https://nutrio.me/faq</t>
  </si>
  <si>
    <t>FAQ displayed with answers</t>
  </si>
  <si>
    <t>TC1107</t>
  </si>
  <si>
    <t>Search FAQ</t>
  </si>
  <si>
    <t>1. Go to FAQ
2. Enter search term
3. View results
4. Click relevant</t>
  </si>
  <si>
    <t>FAQ search results displayed</t>
  </si>
  <si>
    <t>TC1150</t>
  </si>
  <si>
    <t>View Invoices</t>
  </si>
  <si>
    <t>1. Navigate to /invoices
2. View all invoices
3. Check dates
4. View amounts</t>
  </si>
  <si>
    <t>All invoices listed</t>
  </si>
  <si>
    <t>TC1151</t>
  </si>
  <si>
    <t>Download Invoice PDF</t>
  </si>
  <si>
    <t>1. Find invoice
2. Click 'Download'
3. PDF downloads
4. Open and verify</t>
  </si>
  <si>
    <t>Invoice PDF downloaded</t>
  </si>
  <si>
    <t>TC1152</t>
  </si>
  <si>
    <t>View Invoice Details</t>
  </si>
  <si>
    <t>1. Click invoice
2. View details
3. Check line items
4. Verify totals</t>
  </si>
  <si>
    <t>Invoice details displayed</t>
  </si>
  <si>
    <t>TC1153</t>
  </si>
  <si>
    <t>Email Invoice</t>
  </si>
  <si>
    <t>Email Invoice to Self</t>
  </si>
  <si>
    <t>1. Open invoice
2. Click 'Email'
3. Enter email
4. Send</t>
  </si>
  <si>
    <t>Invoice emailed successfully</t>
  </si>
  <si>
    <t>TC1200</t>
  </si>
  <si>
    <t>TC1201</t>
  </si>
  <si>
    <t>Generate AI Meal Plan</t>
  </si>
  <si>
    <t>1. Go to planner
2. Click generate
3. AI creates plan
4. Review suggestions</t>
  </si>
  <si>
    <t>TC1202</t>
  </si>
  <si>
    <t>Customize AI Plan</t>
  </si>
  <si>
    <t>Customize AI Meal Plan</t>
  </si>
  <si>
    <t>1. View AI plan
2. Swap meal
3. Adjust portions
4. Save customized plan</t>
  </si>
  <si>
    <t>AI plan customized and saved</t>
  </si>
  <si>
    <t>TC1203</t>
  </si>
  <si>
    <t>1. Log weight weekly
2. View progress
3. Check AI suggestions
4. Apply adjustment</t>
  </si>
  <si>
    <t>TC1204</t>
  </si>
  <si>
    <t>View Adaptive Goal Suggestions</t>
  </si>
  <si>
    <t>1. View goals
2. Check adaptive section
3. View AI suggestion
4. Accept or reject</t>
  </si>
  <si>
    <t>Adaptive goal suggestions displayed</t>
  </si>
  <si>
    <t>TC1205</t>
  </si>
  <si>
    <t>Meal Image Analysis</t>
  </si>
  <si>
    <t>Analyze Meal Photo</t>
  </si>
  <si>
    <t>1. Upload meal photo
2. AI analyzes
3. Nutrition estimate
4. Confirm or adjust</t>
  </si>
  <si>
    <t>Meal photo analyzed, nutrition estimated</t>
  </si>
  <si>
    <t>TC1206</t>
  </si>
  <si>
    <t>Nutrition Insights</t>
  </si>
  <si>
    <t>View AI Nutrition Insights</t>
  </si>
  <si>
    <t>AI nutrition insights displayed</t>
  </si>
  <si>
    <t>TC1250</t>
  </si>
  <si>
    <t>Static</t>
  </si>
  <si>
    <t>About Page</t>
  </si>
  <si>
    <t>View About Page</t>
  </si>
  <si>
    <t>1. Navigate to /about
2. View company info
3. Check mission
4. View team</t>
  </si>
  <si>
    <t>https://nutrio.me/about</t>
  </si>
  <si>
    <t>About page displayed</t>
  </si>
  <si>
    <t>TC1251</t>
  </si>
  <si>
    <t>Contact Page</t>
  </si>
  <si>
    <t>View Contact Page</t>
  </si>
  <si>
    <t>1. Go to /contact
2. View contact form
3. Check contact info
4. View map</t>
  </si>
  <si>
    <t>https://nutrio.me/contact</t>
  </si>
  <si>
    <t>Contact page displayed</t>
  </si>
  <si>
    <t>TC1252</t>
  </si>
  <si>
    <t>Privacy Policy</t>
  </si>
  <si>
    <t>View Privacy Policy</t>
  </si>
  <si>
    <t>1. Go to /privacy
2. Read privacy policy
3. Check sections</t>
  </si>
  <si>
    <t>https://nutrio.me/privacy</t>
  </si>
  <si>
    <t>Privacy policy displayed</t>
  </si>
  <si>
    <t>TC1253</t>
  </si>
  <si>
    <t>Terms of Service</t>
  </si>
  <si>
    <t>View Terms of Service</t>
  </si>
  <si>
    <t>1. Go to /terms
2. Read terms
3. Check sections</t>
  </si>
  <si>
    <t>https://nutrio.me/terms</t>
  </si>
  <si>
    <t>Terms displayed</t>
  </si>
  <si>
    <t>TC1254</t>
  </si>
  <si>
    <t>404 Page</t>
  </si>
  <si>
    <t>View 404 Error Page</t>
  </si>
  <si>
    <t>1. Navigate to invalid URL
2. View 404 page
3. Check navigation
4. Click home</t>
  </si>
  <si>
    <t>https://nutrio.me/invalid</t>
  </si>
  <si>
    <t>Custom 404 page displayed</t>
  </si>
  <si>
    <t>TC1300</t>
  </si>
  <si>
    <t>Mobile</t>
  </si>
  <si>
    <t>PWA Install</t>
  </si>
  <si>
    <t>Install as PWA</t>
  </si>
  <si>
    <t>1. Open in browser
2. Click 'Add to Home'
3. Install
4. Open from icon</t>
  </si>
  <si>
    <t>https://nutrio.me</t>
  </si>
  <si>
    <t>PWA installed and opens</t>
  </si>
  <si>
    <t>TC1301</t>
  </si>
  <si>
    <t>Offline Mode</t>
  </si>
  <si>
    <t>Offline Capability</t>
  </si>
  <si>
    <t>1. Disconnect internet
2. Open app
3. View cached content
4. Try actions</t>
  </si>
  <si>
    <t>Offline mode handled gracefully</t>
  </si>
  <si>
    <t>TC1302</t>
  </si>
  <si>
    <t>Native Share</t>
  </si>
  <si>
    <t>Use Native Share Sheet</t>
  </si>
  <si>
    <t>1. On mobile
2. Click share
3. Native sheet opens
4. Select app</t>
  </si>
  <si>
    <t>Native share sheet opens</t>
  </si>
  <si>
    <t>TC1303</t>
  </si>
  <si>
    <t>Camera Upload</t>
  </si>
  <si>
    <t>Upload Photo from Camera</t>
  </si>
  <si>
    <t>1. Click upload
2. Select camera
3. Take photo
4. Upload</t>
  </si>
  <si>
    <t>Camera photo uploaded</t>
  </si>
  <si>
    <t>TC1304</t>
  </si>
  <si>
    <t>Push Notifications Mobile</t>
  </si>
  <si>
    <t>Receive Mobile Push</t>
  </si>
  <si>
    <t>1. Enable push
2. Trigger event
3. Receive notification
4. Tap to open</t>
  </si>
  <si>
    <t>Mobile push received</t>
  </si>
  <si>
    <t>TC1305</t>
  </si>
  <si>
    <t>Haptic Feedback</t>
  </si>
  <si>
    <t>Haptic Feedback on Actions</t>
  </si>
  <si>
    <t>1. Use on mobile
2. Complete action
3. Feel haptic
4. Verify feedback</t>
  </si>
  <si>
    <t>Haptic feedback on supported actions</t>
  </si>
  <si>
    <t>TC1350</t>
  </si>
  <si>
    <t>WhatsApp Notification</t>
  </si>
  <si>
    <t>Receive WhatsApp Notification</t>
  </si>
  <si>
    <t>1. Enable WhatsApp
2. Trigger event
3. Check WhatsApp
4. Verify message</t>
  </si>
  <si>
    <t>WhatsApp notification received</t>
  </si>
  <si>
    <t>TC1351</t>
  </si>
  <si>
    <t>Email Notification</t>
  </si>
  <si>
    <t>Receive Email Notification</t>
  </si>
  <si>
    <t>1. Enable email
2. Trigger event
3. Check inbox
4. Verify email</t>
  </si>
  <si>
    <t>Email notification received</t>
  </si>
  <si>
    <t>TC1352</t>
  </si>
  <si>
    <t>Push Notification</t>
  </si>
  <si>
    <t>Receive Browser Push</t>
  </si>
  <si>
    <t>1. Enable push
2. Trigger event
3. Receive push
4. Click to open</t>
  </si>
  <si>
    <t>Push notification received</t>
  </si>
  <si>
    <t>TC1353</t>
  </si>
  <si>
    <t>Deep Link from Push</t>
  </si>
  <si>
    <t>Open from Push Notification</t>
  </si>
  <si>
    <t>1. Receive push
2. Tap notification
3. App opens
4. Navigate to relevant page</t>
  </si>
  <si>
    <t>Deep link opens correct page</t>
  </si>
  <si>
    <t>TC1354</t>
  </si>
  <si>
    <t>Sadad Payment Flow</t>
  </si>
  <si>
    <t>Complete Sadad Payment Flow</t>
  </si>
  <si>
    <t>1. Checkout with Sadad
2. Redirect to Sadad
3. Complete
4. Webhook received</t>
  </si>
  <si>
    <t>Sadad flow completes</t>
  </si>
  <si>
    <t>TC1355</t>
  </si>
  <si>
    <t>Maps Integration</t>
  </si>
  <si>
    <t>View Map with Location</t>
  </si>
  <si>
    <t>1. Open tracking
2. View map
3. Check location
4. Get directions</t>
  </si>
  <si>
    <t>Map displays correctly</t>
  </si>
  <si>
    <t>TC076</t>
  </si>
  <si>
    <t>Admin Login</t>
  </si>
  <si>
    <t>1. Navigate to /admin
2. Enter Email: admin@nutrio.com / Password: Khamees1992#
3. Login</t>
  </si>
  <si>
    <t>https://nutrio.me/admin/auth</t>
  </si>
  <si>
    <t>Admin logged in, dashboard displayed</t>
  </si>
  <si>
    <t>TC077</t>
  </si>
  <si>
    <t>Admin Login - Invalid</t>
  </si>
  <si>
    <t>1. Enter wrong password
2. Try to login</t>
  </si>
  <si>
    <t>Access denied, error shown</t>
  </si>
  <si>
    <t>TC078</t>
  </si>
  <si>
    <t>Admin Logout</t>
  </si>
  <si>
    <t>1. Click Logout</t>
  </si>
  <si>
    <t>Logged out, redirected to login</t>
  </si>
  <si>
    <t>TC079</t>
  </si>
  <si>
    <t>Role Check</t>
  </si>
  <si>
    <t>Non-Admin Access Denied</t>
  </si>
  <si>
    <t>1. Login as customer
2. Try to access /admin</t>
  </si>
  <si>
    <t>Access denied, redirected to dashboard</t>
  </si>
  <si>
    <t>TC080</t>
  </si>
  <si>
    <t>Admin Dashboard Load</t>
  </si>
  <si>
    <t>1. Login as admin
2. View dashboard</t>
  </si>
  <si>
    <t>https://nutrio.me/admin/dashboard</t>
  </si>
  <si>
    <t>Dashboard shows: total users, orders, revenue, restaurants</t>
  </si>
  <si>
    <t>TC081</t>
  </si>
  <si>
    <t>1. Verify all stats
2. Check graphs/charts</t>
  </si>
  <si>
    <t>All metrics accurate and up-to-date</t>
  </si>
  <si>
    <t>TC082</t>
  </si>
  <si>
    <t>Admin Quick Actions</t>
  </si>
  <si>
    <t>1. Click on each quick action button</t>
  </si>
  <si>
    <t>Navigates to correct section</t>
  </si>
  <si>
    <t>TC083</t>
  </si>
  <si>
    <t>Recent Activity</t>
  </si>
  <si>
    <t>View Recent Activity</t>
  </si>
  <si>
    <t>1. Scroll to recent activity
2. View latest actions</t>
  </si>
  <si>
    <t>https://nutrio.me/admin/dashboard/[id]</t>
  </si>
  <si>
    <t>Recent orders, signups, restaurant applications shown</t>
  </si>
  <si>
    <t>TC084</t>
  </si>
  <si>
    <t>Users</t>
  </si>
  <si>
    <t>View Users</t>
  </si>
  <si>
    <t>View All Users</t>
  </si>
  <si>
    <t>1. Go to Users page
2. View user list</t>
  </si>
  <si>
    <t>https://nutrio.me/admin/users/[id]</t>
  </si>
  <si>
    <t>All users displayed with roles, status, subscription</t>
  </si>
  <si>
    <t>TC085</t>
  </si>
  <si>
    <t>Search User</t>
  </si>
  <si>
    <t>Search for User</t>
  </si>
  <si>
    <t>1. Enter name/email in search
2. Press Enter</t>
  </si>
  <si>
    <t>https://nutrio.me/admin/users?q=[search-term]</t>
  </si>
  <si>
    <t>Matching users displayed</t>
  </si>
  <si>
    <t>TC086</t>
  </si>
  <si>
    <t>Filter Users</t>
  </si>
  <si>
    <t>Filter Users by Status</t>
  </si>
  <si>
    <t>1. Select filter (Active/Inactive/Subscribed)
2. Apply</t>
  </si>
  <si>
    <t>https://nutrio.me/admin/users?filter=[value]</t>
  </si>
  <si>
    <t>Filtered user list displayed</t>
  </si>
  <si>
    <t>TC087</t>
  </si>
  <si>
    <t>View User Details</t>
  </si>
  <si>
    <t>1. Click on user
2. View details page</t>
  </si>
  <si>
    <t>Full user info: profile, orders, subscription, referrals</t>
  </si>
  <si>
    <t>TC088</t>
  </si>
  <si>
    <t>Edit User</t>
  </si>
  <si>
    <t>Edit User Information</t>
  </si>
  <si>
    <t>1. Open user details
2. Click Edit
3. Change info
4. Save</t>
  </si>
  <si>
    <t>https://nutrio.me/admin/users/[id]/edit</t>
  </si>
  <si>
    <t>User information updated</t>
  </si>
  <si>
    <t>TC089</t>
  </si>
  <si>
    <t>Deactivate User</t>
  </si>
  <si>
    <t>Deactivate User Account</t>
  </si>
  <si>
    <t>1. Find user
2. Click Deactivate
3. Confirm</t>
  </si>
  <si>
    <t>https://nutrio.me/admin/users</t>
  </si>
  <si>
    <t>User account deactivated</t>
  </si>
  <si>
    <t>TC090</t>
  </si>
  <si>
    <t>Delete User</t>
  </si>
  <si>
    <t>Delete User Account</t>
  </si>
  <si>
    <t>1. Find user
2. Click Delete
3. Confirm deletion</t>
  </si>
  <si>
    <t>User permanently deleted</t>
  </si>
  <si>
    <t>TC091</t>
  </si>
  <si>
    <t>Restaurants</t>
  </si>
  <si>
    <t>View All</t>
  </si>
  <si>
    <t>View All Restaurants</t>
  </si>
  <si>
    <t>1. Go to Restaurants page
2. View list</t>
  </si>
  <si>
    <t>https://nutrio.me/admin/restaurants/[id]</t>
  </si>
  <si>
    <t>All restaurants displayed with status, ratings, earnings</t>
  </si>
  <si>
    <t>TC092</t>
  </si>
  <si>
    <t>View Pending</t>
  </si>
  <si>
    <t>View Pending Applications</t>
  </si>
  <si>
    <t>1. Click Pending tab
2. View pending restaurants</t>
  </si>
  <si>
    <t>All pending applications displayed</t>
  </si>
  <si>
    <t>TC093</t>
  </si>
  <si>
    <t>Approve</t>
  </si>
  <si>
    <t>Approve Restaurant</t>
  </si>
  <si>
    <t>1. Open pending restaurant
2. Review details
3. Set payout rate
4. Click Approve</t>
  </si>
  <si>
    <t>https://nutrio.me/admin/restaurants</t>
  </si>
  <si>
    <t>Restaurant approved, status changes to active</t>
  </si>
  <si>
    <t>TC094</t>
  </si>
  <si>
    <t>Reject</t>
  </si>
  <si>
    <t>Reject Restaurant Application</t>
  </si>
  <si>
    <t>1. Open pending restaurant
2. Click Reject
3. Add reason
4. Confirm</t>
  </si>
  <si>
    <t>Application rejected, restaurant notified</t>
  </si>
  <si>
    <t>TC095</t>
  </si>
  <si>
    <t>View Details</t>
  </si>
  <si>
    <t>View Restaurant Details</t>
  </si>
  <si>
    <t>1. Click on restaurant
2. View full profile</t>
  </si>
  <si>
    <t>All restaurant info: orders, earnings, ratings, menu</t>
  </si>
  <si>
    <t>TC096</t>
  </si>
  <si>
    <t>Edit Restaurant</t>
  </si>
  <si>
    <t>Edit Restaurant Information</t>
  </si>
  <si>
    <t>1. Open restaurant
2. Click Edit
3. Modify details
4. Save</t>
  </si>
  <si>
    <t>https://nutrio.me/admin/restaurants/[id]/edit</t>
  </si>
  <si>
    <t>Restaurant information updated</t>
  </si>
  <si>
    <t>TC097</t>
  </si>
  <si>
    <t>Set Payout</t>
  </si>
  <si>
    <t>Set Restaurant Payout Rate</t>
  </si>
  <si>
    <t>1. Open restaurant
2. Edit payout rate
3. Save</t>
  </si>
  <si>
    <t>New payout rate applied</t>
  </si>
  <si>
    <t>TC098</t>
  </si>
  <si>
    <t>Suspend</t>
  </si>
  <si>
    <t>Suspend Restaurant</t>
  </si>
  <si>
    <t>1. Find restaurant
2. Click Suspend
3. Add reason
4. Confirm</t>
  </si>
  <si>
    <t>Restaurant suspended, cannot receive orders</t>
  </si>
  <si>
    <t>TC099</t>
  </si>
  <si>
    <t>Reactivate</t>
  </si>
  <si>
    <t>Reactivate Restaurant</t>
  </si>
  <si>
    <t>1. Find suspended restaurant
2. Click Reactivate
3. Confirm</t>
  </si>
  <si>
    <t>Restaurant reactivated, can receive orders</t>
  </si>
  <si>
    <t>TC100</t>
  </si>
  <si>
    <t>Delete</t>
  </si>
  <si>
    <t>Delete Restaurant</t>
  </si>
  <si>
    <t>1. Find restaurant
2. Click Delete
3. Confirm</t>
  </si>
  <si>
    <t>Restaurant removed from platform</t>
  </si>
  <si>
    <t>TC101</t>
  </si>
  <si>
    <t>View All Orders</t>
  </si>
  <si>
    <t>1. Go to Orders page
2. View all orders</t>
  </si>
  <si>
    <t>https://nutrio.me/admin/orders/[id]</t>
  </si>
  <si>
    <t>All orders displayed with filters and search</t>
  </si>
  <si>
    <t>TC102</t>
  </si>
  <si>
    <t>Filter Status</t>
  </si>
  <si>
    <t>Filter by Order Status</t>
  </si>
  <si>
    <t>1. Select status filter
2. Apply</t>
  </si>
  <si>
    <t>https://nutrio.me/admin/orders?filter=[value]</t>
  </si>
  <si>
    <t>Orders filtered by status</t>
  </si>
  <si>
    <t>TC103</t>
  </si>
  <si>
    <t>Search Order</t>
  </si>
  <si>
    <t>Search for Order</t>
  </si>
  <si>
    <t>1. Enter order ID or customer
2. Search</t>
  </si>
  <si>
    <t>https://nutrio.me/admin/orders?q=[search-term]</t>
  </si>
  <si>
    <t>Matching orders displayed</t>
  </si>
  <si>
    <t>TC104</t>
  </si>
  <si>
    <t>1. Click on order
2. View details</t>
  </si>
  <si>
    <t>Full order info: items, customer, restaurant, status, payment</t>
  </si>
  <si>
    <t>TC105</t>
  </si>
  <si>
    <t>1. Open order
2. Change status
3. Save</t>
  </si>
  <si>
    <t>https://nutrio.me/admin/orders/[id]/edit</t>
  </si>
  <si>
    <t>Order status updated</t>
  </si>
  <si>
    <t>TC106</t>
  </si>
  <si>
    <t>1. Open order
2. Click Cancel
3. Add reason
4. Confirm</t>
  </si>
  <si>
    <t>https://nutrio.me/admin/orders</t>
  </si>
  <si>
    <t>Order cancelled, refund processed</t>
  </si>
  <si>
    <t>TC107</t>
  </si>
  <si>
    <t>Refund</t>
  </si>
  <si>
    <t>Process Refund</t>
  </si>
  <si>
    <t>1. Open order
2. Click Refund
3. Enter amount
4. Confirm</t>
  </si>
  <si>
    <t>Refund processed, customer notified</t>
  </si>
  <si>
    <t>TC108</t>
  </si>
  <si>
    <t>Assign Driver</t>
  </si>
  <si>
    <t>Assign Driver to Order</t>
  </si>
  <si>
    <t>1. Open order
2. Click Assign Driver
3. Select driver
4. Save</t>
  </si>
  <si>
    <t>Driver assigned, notified</t>
  </si>
  <si>
    <t>TC109</t>
  </si>
  <si>
    <t>Subscriptions</t>
  </si>
  <si>
    <t>View All Subscriptions</t>
  </si>
  <si>
    <t>1. Go to Subscriptions page
2. View list</t>
  </si>
  <si>
    <t>https://nutrio.me/admin/subscriptions/[id]</t>
  </si>
  <si>
    <t>All active subscriptions displayed</t>
  </si>
  <si>
    <t>TC110</t>
  </si>
  <si>
    <t>1. Click Plans tab
2. View all tiers</t>
  </si>
  <si>
    <t>All plans with pricing displayed</t>
  </si>
  <si>
    <t>TC111</t>
  </si>
  <si>
    <t>Edit Plan</t>
  </si>
  <si>
    <t>Edit Subscription Plan</t>
  </si>
  <si>
    <t>1. Click on plan
2. Edit price/features
3. Save</t>
  </si>
  <si>
    <t>https://nutrio.me/admin/subscriptions/[id]/edit</t>
  </si>
  <si>
    <t>Plan updated</t>
  </si>
  <si>
    <t>TC112</t>
  </si>
  <si>
    <t>Add Plan</t>
  </si>
  <si>
    <t>Add New Subscription Plan</t>
  </si>
  <si>
    <t>1. Click Add Plan
2. Fill details
3. Save</t>
  </si>
  <si>
    <t>https://nutrio.me/admin/subscriptions/new</t>
  </si>
  <si>
    <t>New plan created</t>
  </si>
  <si>
    <t>TC113</t>
  </si>
  <si>
    <t>Cancel Sub</t>
  </si>
  <si>
    <t>Cancel Customer Subscription</t>
  </si>
  <si>
    <t>1. Find subscription
2. Click Cancel
3. Confirm</t>
  </si>
  <si>
    <t>https://nutrio.me/admin/subscriptions</t>
  </si>
  <si>
    <t>Subscription cancelled</t>
  </si>
  <si>
    <t>TC114</t>
  </si>
  <si>
    <t>Extend</t>
  </si>
  <si>
    <t>Extend Subscription</t>
  </si>
  <si>
    <t>1. Open subscription
2. Add extension days
3. Save</t>
  </si>
  <si>
    <t>Subscription extended</t>
  </si>
  <si>
    <t>TC115</t>
  </si>
  <si>
    <t>Content</t>
  </si>
  <si>
    <t>View Meals</t>
  </si>
  <si>
    <t>View All Meals</t>
  </si>
  <si>
    <t>1. Go to Content &gt; Meals
2. View all meals</t>
  </si>
  <si>
    <t>https://nutrio.me/admin/content/[id]</t>
  </si>
  <si>
    <t>All meals from all restaurants displayed</t>
  </si>
  <si>
    <t>TC116</t>
  </si>
  <si>
    <t>Edit Meal</t>
  </si>
  <si>
    <t>Edit Any Meal</t>
  </si>
  <si>
    <t>1. Find meal
2. Click Edit
3. Modify
4. Save</t>
  </si>
  <si>
    <t>https://nutrio.me/admin/content/[id]/edit</t>
  </si>
  <si>
    <t>Meal updated</t>
  </si>
  <si>
    <t>TC117</t>
  </si>
  <si>
    <t>Delete Meal</t>
  </si>
  <si>
    <t>1. Find meal
2. Click Delete
3. Confirm</t>
  </si>
  <si>
    <t>https://nutrio.me/admin/content</t>
  </si>
  <si>
    <t>Meal deleted</t>
  </si>
  <si>
    <t>TC118</t>
  </si>
  <si>
    <t>Diet Tags</t>
  </si>
  <si>
    <t>Manage Diet Tags</t>
  </si>
  <si>
    <t>1. Go to Diet Tags
2. Add/Edit/Delete tags</t>
  </si>
  <si>
    <t>Tags updated across platform</t>
  </si>
  <si>
    <t>TC119</t>
  </si>
  <si>
    <t>Announcements</t>
  </si>
  <si>
    <t>Create Announcement</t>
  </si>
  <si>
    <t>1. Go to Announcements
2. Create new
3. Publish</t>
  </si>
  <si>
    <t>https://nutrio.me/admin/content/new</t>
  </si>
  <si>
    <t>Announcement visible to users</t>
  </si>
  <si>
    <t>TC120</t>
  </si>
  <si>
    <t>Reports</t>
  </si>
  <si>
    <t>View Reports</t>
  </si>
  <si>
    <t>View Analytics Reports</t>
  </si>
  <si>
    <t>1. Go to Reports page
2. View charts and data</t>
  </si>
  <si>
    <t>Analytics displayed: revenue, orders, users, growth</t>
  </si>
  <si>
    <t>TC121</t>
  </si>
  <si>
    <t>Revenue Report</t>
  </si>
  <si>
    <t>Generate Revenue Report</t>
  </si>
  <si>
    <t>1. Select date range
2. Click Generate
3. View report</t>
  </si>
  <si>
    <t>Revenue report generated</t>
  </si>
  <si>
    <t>TC122</t>
  </si>
  <si>
    <t>Export</t>
  </si>
  <si>
    <t>Export Report to CSV/Excel</t>
  </si>
  <si>
    <t>1. Generate report
2. Click Export
3. Select format
4. Download</t>
  </si>
  <si>
    <t>Report downloaded</t>
  </si>
  <si>
    <t>TC123</t>
  </si>
  <si>
    <t>Restaurant Performance</t>
  </si>
  <si>
    <t>View Restaurant Performance</t>
  </si>
  <si>
    <t>1. Go to Restaurant Reports
2. View performance metrics</t>
  </si>
  <si>
    <t>Per-restaurant stats displayed</t>
  </si>
  <si>
    <t>TC124</t>
  </si>
  <si>
    <t>Payouts</t>
  </si>
  <si>
    <t>View Pending Payouts</t>
  </si>
  <si>
    <t>1. Go to Payouts page
2. View pending list</t>
  </si>
  <si>
    <t>https://nutrio.me/admin/payouts/[id]</t>
  </si>
  <si>
    <t>All pending payouts displayed</t>
  </si>
  <si>
    <t>TC125</t>
  </si>
  <si>
    <t>Process Payout</t>
  </si>
  <si>
    <t>Process Weekly Payout</t>
  </si>
  <si>
    <t>1. Select restaurants
2. Click Process
3. Confirm</t>
  </si>
  <si>
    <t>https://nutrio.me/admin/payouts</t>
  </si>
  <si>
    <t>Payouts processed, restaurants notified</t>
  </si>
  <si>
    <t>TC126</t>
  </si>
  <si>
    <t>1. Click History
2. View past payouts</t>
  </si>
  <si>
    <t>All processed payouts listed</t>
  </si>
  <si>
    <t>TC127</t>
  </si>
  <si>
    <t>Adjust Payout</t>
  </si>
  <si>
    <t>Adjust Restaurant Payout</t>
  </si>
  <si>
    <t>1. Find restaurant
2. Edit payout amount
3. Add note
4. Save</t>
  </si>
  <si>
    <t>Payout adjusted with audit trail</t>
  </si>
  <si>
    <t>TC128</t>
  </si>
  <si>
    <t>General</t>
  </si>
  <si>
    <t>General Settings</t>
  </si>
  <si>
    <t>1. Go to Settings
2. Modify general settings
3. Save</t>
  </si>
  <si>
    <t>https://nutrio.me/admin/settings</t>
  </si>
  <si>
    <t>TC129</t>
  </si>
  <si>
    <t>Payment</t>
  </si>
  <si>
    <t>Payment Settings</t>
  </si>
  <si>
    <t>1. Go to Payment Settings
2. Configure Sadad
3. Save</t>
  </si>
  <si>
    <t>Payment settings updated</t>
  </si>
  <si>
    <t>TC130</t>
  </si>
  <si>
    <t>1. Go to Notifications
2. Configure templates
3. Save</t>
  </si>
  <si>
    <t>Notification settings saved</t>
  </si>
  <si>
    <t>TC131</t>
  </si>
  <si>
    <t>Referral Settings</t>
  </si>
  <si>
    <t>1. Go to Referral Settings
2. Set reward amounts
3. Save</t>
  </si>
  <si>
    <t>Referral settings updated</t>
  </si>
  <si>
    <t>TC253</t>
  </si>
  <si>
    <t>Review Application</t>
  </si>
  <si>
    <t>Review Restaurant Application Details</t>
  </si>
  <si>
    <t>1. Open pending application
2. View all 5 steps data
3. Check documents
4. Verify bank details
5. Review photos</t>
  </si>
  <si>
    <t>Complete application data displayed</t>
  </si>
  <si>
    <t>TC254</t>
  </si>
  <si>
    <t>Request More Info</t>
  </si>
  <si>
    <t>Request Additional Information</t>
  </si>
  <si>
    <t>1. Review application
2. Click Request Info
3. Specify what's needed
4. Send request
5. Restaurant notified</t>
  </si>
  <si>
    <t>https://nutrio.me/admin/restaurants/new</t>
  </si>
  <si>
    <t>Request sent to restaurant</t>
  </si>
  <si>
    <t>TC255</t>
  </si>
  <si>
    <t>Approve with Custom Payout</t>
  </si>
  <si>
    <t>Approve with Custom Payout Rate</t>
  </si>
  <si>
    <t>1. Review application
2. Set custom payout rate
3. Add internal notes
4. Click Approve
5. Restaurant notified</t>
  </si>
  <si>
    <t>Approved with custom payout rate</t>
  </si>
  <si>
    <t>TC256</t>
  </si>
  <si>
    <t>Bulk Approve</t>
  </si>
  <si>
    <t>Bulk Approve Multiple Restaurants</t>
  </si>
  <si>
    <t>1. Select multiple pending
2. Click Bulk Approve
3. Set default payout
4. Confirm
5. All approved</t>
  </si>
  <si>
    <t>All selected restaurants approved</t>
  </si>
  <si>
    <t>TC257</t>
  </si>
  <si>
    <t>View Detailed Restaurant Performance</t>
  </si>
  <si>
    <t>1. Open restaurant
2. View orders trend
3. View earnings trend
4. Check rating history
5. Compare with average</t>
  </si>
  <si>
    <t>Detailed performance metrics displayed</t>
  </si>
  <si>
    <t>TC258</t>
  </si>
  <si>
    <t>Calculate Payouts</t>
  </si>
  <si>
    <t>Calculate Weekly Payouts</t>
  </si>
  <si>
    <t>1. Go to payouts
2. Select week
3. Click Calculate
4. Review all calculations
5. Check for discrepancies</t>
  </si>
  <si>
    <t>Payouts calculated for all restaurants</t>
  </si>
  <si>
    <t>TC259</t>
  </si>
  <si>
    <t>Preview Payouts</t>
  </si>
  <si>
    <t>Preview Before Processing</t>
  </si>
  <si>
    <t>1. Calculate payouts
2. Click Preview
3. Review each restaurant
4. Check amounts
5. Verify accuracy</t>
  </si>
  <si>
    <t>Preview displayed with all details</t>
  </si>
  <si>
    <t>Process Individual</t>
  </si>
  <si>
    <t>Process Individual Payout</t>
  </si>
  <si>
    <t>1. Find specific restaurant
2. Click Process
3. Confirm amount
4. Mark as paid
5. Generate receipt</t>
  </si>
  <si>
    <t>Individual payout processed</t>
  </si>
  <si>
    <t>Export Payout Data</t>
  </si>
  <si>
    <t>Export Payout Data for Accounting</t>
  </si>
  <si>
    <t>1. Select date range
2. Click Export
3. Choose format (Excel/PDF)
4. Download
5. Verify data integrity</t>
  </si>
  <si>
    <t>Payout data exported</t>
  </si>
  <si>
    <t>Handle Dispute</t>
  </si>
  <si>
    <t>Handle Payout Dispute</t>
  </si>
  <si>
    <t>1. Receive dispute
2. Review order details
3. Check calculation
4. Resolve dispute
5. Adjust if needed</t>
  </si>
  <si>
    <t>Dispute resolved with documentation</t>
  </si>
  <si>
    <t>Impersonate User</t>
  </si>
  <si>
    <t>Impersonate Customer Account</t>
  </si>
  <si>
    <t>1. Find user
2. Click Impersonate
3. View app as user
4. Debug issues
5. Exit impersonation</t>
  </si>
  <si>
    <t>Logged in as user, can view their experience</t>
  </si>
  <si>
    <t>Reset User Password</t>
  </si>
  <si>
    <t>1. Find user
2. Click Reset Password
3. Generate temp password
4. Send to user
5. Force change on login</t>
  </si>
  <si>
    <t>Password reset, user notified</t>
  </si>
  <si>
    <t>TC265</t>
  </si>
  <si>
    <t>View User Activity</t>
  </si>
  <si>
    <t>View Complete User Activity Log</t>
  </si>
  <si>
    <t>1. Open user
2. Click Activity Log
3. View all actions
4. Filter by date
5. Export log</t>
  </si>
  <si>
    <t>Complete activity history displayed</t>
  </si>
  <si>
    <t>TC266</t>
  </si>
  <si>
    <t>Bulk Edit Meals</t>
  </si>
  <si>
    <t>Bulk Edit Multiple Meals</t>
  </si>
  <si>
    <t>1. Select multiple meals
2. Click Bulk Edit
3. Change common field
4. Apply to all
5. Verify changes</t>
  </si>
  <si>
    <t>All selected meals updated</t>
  </si>
  <si>
    <t>TC267</t>
  </si>
  <si>
    <t>Moderate Reviews</t>
  </si>
  <si>
    <t>Moderate Customer Reviews</t>
  </si>
  <si>
    <t>1. Go to reviews
2. Filter inappropriate
3. Review content
4. Approve or remove
5. Notify if removed</t>
  </si>
  <si>
    <t>Review moderated</t>
  </si>
  <si>
    <t>TC268</t>
  </si>
  <si>
    <t>Create Promo</t>
  </si>
  <si>
    <t>Create Promotional Banner</t>
  </si>
  <si>
    <t>1. Go to content
2. Click Banners
3. Upload image
4. Set link
5. Set dates
6. Publish</t>
  </si>
  <si>
    <t>Banner live on app</t>
  </si>
  <si>
    <t>TC269</t>
  </si>
  <si>
    <t>Diet Tags Management</t>
  </si>
  <si>
    <t>Manage Dietary Tags</t>
  </si>
  <si>
    <t>1. Go to diet tags
2. Add new tag
3. Edit existing
4. Delete unused
5. Reorder list</t>
  </si>
  <si>
    <t>Tags updated system-wide</t>
  </si>
  <si>
    <t>Revenue Trends</t>
  </si>
  <si>
    <t>View Revenue Trends</t>
  </si>
  <si>
    <t>1. Go to analytics
2. Select date range
3. View revenue chart
4. Compare periods
5. Export data</t>
  </si>
  <si>
    <t>https://nutrio.me/admin/analytics/[id]</t>
  </si>
  <si>
    <t>Revenue trends displayed</t>
  </si>
  <si>
    <t>Customer Retention</t>
  </si>
  <si>
    <t>View Customer Retention Metrics</t>
  </si>
  <si>
    <t>1. Go to analytics
2. Click Retention
3. View cohort analysis
4. Check churn rate
5. Identify trends</t>
  </si>
  <si>
    <t>Retention metrics displayed</t>
  </si>
  <si>
    <t>Peak Hours</t>
  </si>
  <si>
    <t>View Peak Order Hours</t>
  </si>
  <si>
    <t>1. Go to analytics
2. Click Peak Hours
3. View heatmap
4. Identify busy times
5. Plan capacity</t>
  </si>
  <si>
    <t>Peak hours heatmap displayed</t>
  </si>
  <si>
    <t>Export Full Report</t>
  </si>
  <si>
    <t>Export Complete Analytics Report</t>
  </si>
  <si>
    <t>1. Go to analytics
2. Select all metrics
3. Choose date range
4. Click Export
5. Download comprehensive PDF</t>
  </si>
  <si>
    <t>https://nutrio.me/admin/analytics</t>
  </si>
  <si>
    <t>Full analytics report exported</t>
  </si>
  <si>
    <t>Configure Sadad</t>
  </si>
  <si>
    <t>Configure Sadad Payment Gateway</t>
  </si>
  <si>
    <t>1. Go to payment settings
2. Enter Sadad credentials
3. Test connection
4. Set webhook
5. Save config</t>
  </si>
  <si>
    <t>Sadad configured and tested</t>
  </si>
  <si>
    <t>Notification Templates</t>
  </si>
  <si>
    <t>Edit Notification Templates</t>
  </si>
  <si>
    <t>1. Go to notifications
2. Select template
3. Edit message
4. Add variables
5. Save template</t>
  </si>
  <si>
    <t>https://nutrio.me/admin/settings/[id]/edit</t>
  </si>
  <si>
    <t>Template updated</t>
  </si>
  <si>
    <t>Referral Rewards</t>
  </si>
  <si>
    <t>Configure Referral Program</t>
  </si>
  <si>
    <t>1. Go to referral settings
2. Set referrer reward
3. Set referee reward
4. Set limits
5. Enable/disable</t>
  </si>
  <si>
    <t>Referral settings saved</t>
  </si>
  <si>
    <t>System Maintenance</t>
  </si>
  <si>
    <t>Toggle Maintenance Mode</t>
  </si>
  <si>
    <t>1. Go to system settings
2. Enable maintenance
3. Set message
4. Save
5. Verify site shows maintenance</t>
  </si>
  <si>
    <t>Maintenance mode activated</t>
  </si>
  <si>
    <t>TC328</t>
  </si>
  <si>
    <t>Retention Analytics</t>
  </si>
  <si>
    <t>View Customer Retention Analytics</t>
  </si>
  <si>
    <t>1. Go to Analytics
2. Click Retention
3. View cohort analysis
4. Check churn rate</t>
  </si>
  <si>
    <t>https://nutrio.me/admin/analytics/retention</t>
  </si>
  <si>
    <t>Retention metrics and cohorts displayed</t>
  </si>
  <si>
    <t>TC329</t>
  </si>
  <si>
    <t>AI Engine Monitor</t>
  </si>
  <si>
    <t>Monitor AI Engine Performance</t>
  </si>
  <si>
    <t>1. Go to AI Monitor
2. View accuracy metrics
3. Check recommendation quality
4. Review adjustments</t>
  </si>
  <si>
    <t>https://nutrio.me/admin/ai-monitor</t>
  </si>
  <si>
    <t>AI performance metrics displayed</t>
  </si>
  <si>
    <t>Freeze Management</t>
  </si>
  <si>
    <t>Manage Subscription Freezes</t>
  </si>
  <si>
    <t>1. Go to Freeze Management
2. View frozen subscriptions
3. Edit freeze dates
4. Cancel freeze if needed</t>
  </si>
  <si>
    <t>https://nutrio.me/admin/subscriptions/freeze</t>
  </si>
  <si>
    <t>Frozen subscriptions managed</t>
  </si>
  <si>
    <t>Streak Rewards</t>
  </si>
  <si>
    <t>Manage Streak Rewards</t>
  </si>
  <si>
    <t>1. Go to Streak Rewards
2. View current rewards
3. Edit reward thresholds
4. Add new rewards</t>
  </si>
  <si>
    <t>https://nutrio.me/admin/streak-rewards</t>
  </si>
  <si>
    <t>Streak rewards configured</t>
  </si>
  <si>
    <t>Manage Milestones</t>
  </si>
  <si>
    <t>1. Go to Milestones
2. View all milestones
3. Edit criteria
4. Toggle active status</t>
  </si>
  <si>
    <t>https://nutrio.me/admin/milestones</t>
  </si>
  <si>
    <t>Milestones configured</t>
  </si>
  <si>
    <t>TC333</t>
  </si>
  <si>
    <t>Featured</t>
  </si>
  <si>
    <t>Manage Featured Restaurants</t>
  </si>
  <si>
    <t>1. Go to Featured
2. Add featured restaurant
3. Set priority
4. Schedule feature period</t>
  </si>
  <si>
    <t>https://nutrio.me/admin/featured</t>
  </si>
  <si>
    <t>Featured restaurants updated</t>
  </si>
  <si>
    <t>TC334</t>
  </si>
  <si>
    <t>Affiliate Applications</t>
  </si>
  <si>
    <t>Review Affiliate Applications</t>
  </si>
  <si>
    <t>1. Go to Affiliate Applications
2. Review pending apps
3. Approve or reject
4. Send notification</t>
  </si>
  <si>
    <t>https://nutrio.me/admin/affiliates/applications</t>
  </si>
  <si>
    <t>Applications reviewed and processed</t>
  </si>
  <si>
    <t>TC335</t>
  </si>
  <si>
    <t>Affiliate Payouts</t>
  </si>
  <si>
    <t>Process Affiliate Payouts</t>
  </si>
  <si>
    <t>1. Go to Affiliate Payouts
2. View pending
3. Process payouts
4. Mark as paid</t>
  </si>
  <si>
    <t>https://nutrio.me/admin/affiliates/payouts</t>
  </si>
  <si>
    <t>Affiliate payouts processed</t>
  </si>
  <si>
    <t>TC336</t>
  </si>
  <si>
    <t>IP Management</t>
  </si>
  <si>
    <t>IP Restriction</t>
  </si>
  <si>
    <t>Manage IP Restrictions</t>
  </si>
  <si>
    <t>1. Go to IP Management
2. View blocked IPs
3. Add new restriction
4. Test access</t>
  </si>
  <si>
    <t>https://nutrio.me/admin/ip-management</t>
  </si>
  <si>
    <t>IP restrictions applied</t>
  </si>
  <si>
    <t>TC337</t>
  </si>
  <si>
    <t>Exports</t>
  </si>
  <si>
    <t>Data Exports</t>
  </si>
  <si>
    <t>Export Platform Data</t>
  </si>
  <si>
    <t>1. Go to Exports
2. Select data type
3. Set date range
4. Generate export</t>
  </si>
  <si>
    <t>https://nutrio.me/admin/exports</t>
  </si>
  <si>
    <t>Export generated and downloaded</t>
  </si>
  <si>
    <t>Login as Admin</t>
  </si>
  <si>
    <t>1. Navigate to /admin
2. Enter admin credentials
3. Login</t>
  </si>
  <si>
    <t>Admin logged in, dashboard shown</t>
  </si>
  <si>
    <t>Invalid Admin Login</t>
  </si>
  <si>
    <t>Login with Invalid Credentials</t>
  </si>
  <si>
    <t>Prevent Non-Admin Access</t>
  </si>
  <si>
    <t>1. Login as customer
2. Try /admin
3. Verify redirect</t>
  </si>
  <si>
    <t>https://nutrio.me/admin</t>
  </si>
  <si>
    <t>Redirected to customer dashboard</t>
  </si>
  <si>
    <t>1. Click logout
2. Verify redirect
3. Try access</t>
  </si>
  <si>
    <t>Logged out, access denied</t>
  </si>
  <si>
    <t>Admin Session Timeout</t>
  </si>
  <si>
    <t>1. Login
2. Idle 30 mins
3. Try action</t>
  </si>
  <si>
    <t>Session expired, login required</t>
  </si>
  <si>
    <t>Load Admin Dashboard</t>
  </si>
  <si>
    <t>1. Login as admin
2. View dashboard
3. Check stats</t>
  </si>
  <si>
    <t>Dashboard with stats displayed</t>
  </si>
  <si>
    <t>View Statistics</t>
  </si>
  <si>
    <t>View Dashboard Statistics</t>
  </si>
  <si>
    <t>1. View dashboard
2. Check user count
3. Check order count
4. Check revenue</t>
  </si>
  <si>
    <t>All statistics displayed accurately</t>
  </si>
  <si>
    <t>1. Click quick action
2. Navigate to section
3. Verify</t>
  </si>
  <si>
    <t>Quick action navigates correctly</t>
  </si>
  <si>
    <t>1. View dashboard
2. Check recent orders
3. Check signups
4. Check applications</t>
  </si>
  <si>
    <t>Recent activity displayed</t>
  </si>
  <si>
    <t>Charts Display</t>
  </si>
  <si>
    <t>View Dashboard Charts</t>
  </si>
  <si>
    <t>1. View dashboard
2. Check revenue chart
3. Check orders chart</t>
  </si>
  <si>
    <t>Charts displayed correctly</t>
  </si>
  <si>
    <t>TC420</t>
  </si>
  <si>
    <t>View All Users List</t>
  </si>
  <si>
    <t>1. Go to Users
2. View list
3. Check pagination</t>
  </si>
  <si>
    <t>All users displayed</t>
  </si>
  <si>
    <t>TC421</t>
  </si>
  <si>
    <t>Search Users</t>
  </si>
  <si>
    <t>1. Enter search term
2. Search
3. View results</t>
  </si>
  <si>
    <t>TC422</t>
  </si>
  <si>
    <t>1. Select filter
2. Apply
3. View filtered</t>
  </si>
  <si>
    <t>Filtered users displayed</t>
  </si>
  <si>
    <t>TC423</t>
  </si>
  <si>
    <t>View User Detail Page</t>
  </si>
  <si>
    <t>1. Click user
2. View details
3. Check profile
4. Check orders</t>
  </si>
  <si>
    <t>User details displayed</t>
  </si>
  <si>
    <t>TC424</t>
  </si>
  <si>
    <t>1. Open user
2. Click Edit
3. Change info
4. Save</t>
  </si>
  <si>
    <t>User updated successfully</t>
  </si>
  <si>
    <t>TC425</t>
  </si>
  <si>
    <t>1. Find user
2. Click Deactivate
3. Confirm
4. Verify</t>
  </si>
  <si>
    <t>User deactivated</t>
  </si>
  <si>
    <t>TC426</t>
  </si>
  <si>
    <t>Reactivate User</t>
  </si>
  <si>
    <t>1. Find deactivated user
2. Click Activate
3. Confirm</t>
  </si>
  <si>
    <t>User reactivated</t>
  </si>
  <si>
    <t>TC427</t>
  </si>
  <si>
    <t>Permanently Delete User</t>
  </si>
  <si>
    <t>1. Find user
2. Click Delete
3. Confirm
4. Verify</t>
  </si>
  <si>
    <t>User deleted</t>
  </si>
  <si>
    <t>TC428</t>
  </si>
  <si>
    <t>Impersonate User Account</t>
  </si>
  <si>
    <t>1. Find user
2. Click Impersonate
3. View as user
4. Exit</t>
  </si>
  <si>
    <t>Viewing app as user</t>
  </si>
  <si>
    <t>TC429</t>
  </si>
  <si>
    <t>1. Find user
2. Click Reset Password
3. Generate temp
4. Notify</t>
  </si>
  <si>
    <t>TC430</t>
  </si>
  <si>
    <t>View User Activity Log</t>
  </si>
  <si>
    <t>1. Open user
2. Click Activity
3. View log
4. Filter</t>
  </si>
  <si>
    <t>Activity log displayed</t>
  </si>
  <si>
    <t>TC431</t>
  </si>
  <si>
    <t>Export Users</t>
  </si>
  <si>
    <t>Export Users List</t>
  </si>
  <si>
    <t>1. Go to users
2. Click Export
3. Select format
4. Download</t>
  </si>
  <si>
    <t>Users exported</t>
  </si>
  <si>
    <t>TC440</t>
  </si>
  <si>
    <t>1. Go to Restaurants
2. View list
3. Check status</t>
  </si>
  <si>
    <t>All restaurants displayed</t>
  </si>
  <si>
    <t>TC441</t>
  </si>
  <si>
    <t>1. Click Pending tab
2. View pending
3. Check details</t>
  </si>
  <si>
    <t>Pending applications displayed</t>
  </si>
  <si>
    <t>TC442</t>
  </si>
  <si>
    <t>Review Restaurant Application</t>
  </si>
  <si>
    <t>1. Open pending
2. Review details
3. Check documents
4. Check photos</t>
  </si>
  <si>
    <t>Application details displayed</t>
  </si>
  <si>
    <t>TC443</t>
  </si>
  <si>
    <t>1. Review application
2. Set payout rate
3. Click Approve
4. Confirm</t>
  </si>
  <si>
    <t>Restaurant approved</t>
  </si>
  <si>
    <t>TC444</t>
  </si>
  <si>
    <t>Reject Restaurant</t>
  </si>
  <si>
    <t>Reject Application</t>
  </si>
  <si>
    <t>1. Review application
2. Click Reject
3. Add reason
4. Confirm</t>
  </si>
  <si>
    <t>Application rejected</t>
  </si>
  <si>
    <t>TC445</t>
  </si>
  <si>
    <t>Request Additional Info</t>
  </si>
  <si>
    <t>1. Review application
2. Click Request Info
3. Specify needs
4. Send</t>
  </si>
  <si>
    <t>TC446</t>
  </si>
  <si>
    <t>Bulk Approve Restaurants</t>
  </si>
  <si>
    <t>1. Select multiple
2. Click Bulk Approve
3. Set rate
4. Confirm</t>
  </si>
  <si>
    <t>All selected approved</t>
  </si>
  <si>
    <t>TC447</t>
  </si>
  <si>
    <t>1. Click restaurant
2. View profile
3. Check menu
4. Check earnings</t>
  </si>
  <si>
    <t>Restaurant details displayed</t>
  </si>
  <si>
    <t>TC448</t>
  </si>
  <si>
    <t>1. Open restaurant
2. Click Edit
3. Modify
4. Save</t>
  </si>
  <si>
    <t>Restaurant updated</t>
  </si>
  <si>
    <t>TC449</t>
  </si>
  <si>
    <t>Set Payout Rate</t>
  </si>
  <si>
    <t>Payout rate updated</t>
  </si>
  <si>
    <t>Restaurant suspended</t>
  </si>
  <si>
    <t>1. Find suspended
2. Click Reactivate
3. Confirm</t>
  </si>
  <si>
    <t>Restaurant reactivated</t>
  </si>
  <si>
    <t>Restaurant deleted</t>
  </si>
  <si>
    <t>View Performance</t>
  </si>
  <si>
    <t>1. Open restaurant
2. View performance
3. Check trends
4. Compare</t>
  </si>
  <si>
    <t>Performance metrics displayed</t>
  </si>
  <si>
    <t>1. Go to Orders
2. View list
3. Check filters</t>
  </si>
  <si>
    <t>All orders displayed</t>
  </si>
  <si>
    <t>1. Select status
2. Apply filter
3. View results</t>
  </si>
  <si>
    <t>Filtered orders displayed</t>
  </si>
  <si>
    <t>TC465</t>
  </si>
  <si>
    <t>Order cancelled</t>
  </si>
  <si>
    <t>TC466</t>
  </si>
  <si>
    <t>Process Order Refund</t>
  </si>
  <si>
    <t>Refund processed</t>
  </si>
  <si>
    <t>TC467</t>
  </si>
  <si>
    <t>1. Open order
2. Click Assign
3. Select driver
4. Save</t>
  </si>
  <si>
    <t>Driver assigned</t>
  </si>
  <si>
    <t>TC468</t>
  </si>
  <si>
    <t>1. Open order
2. View timeline
3. Check history</t>
  </si>
  <si>
    <t>TC469</t>
  </si>
  <si>
    <t>Bulk Status Update</t>
  </si>
  <si>
    <t>Bulk Update Order Status</t>
  </si>
  <si>
    <t>1. Select multiple
2. Click bulk action
3. Select status
4. Confirm</t>
  </si>
  <si>
    <t>All selected updated</t>
  </si>
  <si>
    <t>TC480</t>
  </si>
  <si>
    <t>1. Go to Subscriptions
2. View list
3. Check filters</t>
  </si>
  <si>
    <t>All subscriptions displayed</t>
  </si>
  <si>
    <t>TC481</t>
  </si>
  <si>
    <t>1. Click Plans tab
2. View all tiers
3. Check pricing</t>
  </si>
  <si>
    <t>All plans displayed</t>
  </si>
  <si>
    <t>TC482</t>
  </si>
  <si>
    <t>1. Click plan
2. Edit details
3. Save changes</t>
  </si>
  <si>
    <t>TC483</t>
  </si>
  <si>
    <t>Add New Plan</t>
  </si>
  <si>
    <t>1. Click Add
2. Fill details
3. Save</t>
  </si>
  <si>
    <t>TC484</t>
  </si>
  <si>
    <t>TC485</t>
  </si>
  <si>
    <t>1. Open subscription
2. Add days
3. Save</t>
  </si>
  <si>
    <t>TC486</t>
  </si>
  <si>
    <t>Manage Frozen Subscriptions</t>
  </si>
  <si>
    <t>1. Go to Freeze Management
2. View frozen
3. Edit dates
4. Cancel freeze</t>
  </si>
  <si>
    <t>https://nutrio.me/admin/freeze-management</t>
  </si>
  <si>
    <t>Freeze managed</t>
  </si>
  <si>
    <t>TC487</t>
  </si>
  <si>
    <t>Subscription Dashboard</t>
  </si>
  <si>
    <t>View Subscription Dashboard</t>
  </si>
  <si>
    <t>1. Go to subscription dashboard
2. View stats
3. Check churn
4. View revenue</t>
  </si>
  <si>
    <t>https://nutrio.me/admin/subscriptions/dashboard</t>
  </si>
  <si>
    <t>Dashboard displayed</t>
  </si>
  <si>
    <t>TC490</t>
  </si>
  <si>
    <t>1. Go to Payouts
2. View pending
3. Check amounts</t>
  </si>
  <si>
    <t>Pending payouts displayed</t>
  </si>
  <si>
    <t>TC491</t>
  </si>
  <si>
    <t>1. Select week
2. Click Calculate
3. Review
4. Verify</t>
  </si>
  <si>
    <t>Payouts calculated</t>
  </si>
  <si>
    <t>TC492</t>
  </si>
  <si>
    <t>1. Calculate
2. Click Preview
3. Review each
4. Verify</t>
  </si>
  <si>
    <t>TC493</t>
  </si>
  <si>
    <t>Payouts processed</t>
  </si>
  <si>
    <t>TC494</t>
  </si>
  <si>
    <t>1. Find restaurant
2. Click Process
3. Confirm
4. Mark paid</t>
  </si>
  <si>
    <t>TC495</t>
  </si>
  <si>
    <t>1. Click History
2. View past
3. Check status</t>
  </si>
  <si>
    <t>History displayed</t>
  </si>
  <si>
    <t>TC496</t>
  </si>
  <si>
    <t>Adjust Payout Amount</t>
  </si>
  <si>
    <t>1. Find payout
2. Edit amount
3. Add note
4. Save</t>
  </si>
  <si>
    <t>Payout adjusted</t>
  </si>
  <si>
    <t>TC497</t>
  </si>
  <si>
    <t>1. Receive dispute
2. Review
3. Resolve
4. Adjust if needed</t>
  </si>
  <si>
    <t>Dispute resolved</t>
  </si>
  <si>
    <t>TC498</t>
  </si>
  <si>
    <t>1. Select range
2. Click Export
3. Download</t>
  </si>
  <si>
    <t>Data exported</t>
  </si>
  <si>
    <t>View Applications</t>
  </si>
  <si>
    <t>View Affiliate Applications</t>
  </si>
  <si>
    <t>1. Go to Affiliate Applications
2. View pending
3. Review</t>
  </si>
  <si>
    <t>https://nutrio.me/admin/affiliate-applications</t>
  </si>
  <si>
    <t>Applications displayed</t>
  </si>
  <si>
    <t>Approve Application</t>
  </si>
  <si>
    <t>Approve Affiliate</t>
  </si>
  <si>
    <t>1. Review app
2. Click Approve
3. Confirm</t>
  </si>
  <si>
    <t>Application approved</t>
  </si>
  <si>
    <t>Reject Affiliate</t>
  </si>
  <si>
    <t>1. Review app
2. Click Reject
3. Add reason
4. Confirm</t>
  </si>
  <si>
    <t>View Affiliate Payouts</t>
  </si>
  <si>
    <t>1. Go to Affiliate Payouts
2. View pending
3. Check amounts</t>
  </si>
  <si>
    <t>https://nutrio.me/admin/affiliate-payouts</t>
  </si>
  <si>
    <t>Payouts displayed</t>
  </si>
  <si>
    <t>Process Affiliate Payout</t>
  </si>
  <si>
    <t>1. Select affiliates
2. Process
3. Confirm
4. Mark paid</t>
  </si>
  <si>
    <t>View Analytics Dashboard</t>
  </si>
  <si>
    <t>1. Go to Analytics
2. View charts
3. Check metrics</t>
  </si>
  <si>
    <t>1. Go to analytics
2. Select range
3. View revenue
4. Compare periods</t>
  </si>
  <si>
    <t>View Retention Metrics</t>
  </si>
  <si>
    <t>1. Click Retention
2. View cohorts
3. Check churn</t>
  </si>
  <si>
    <t>https://nutrio.me/admin/retention-analytics</t>
  </si>
  <si>
    <t>View Peak Hours</t>
  </si>
  <si>
    <t>1. Click Peak Hours
2. View heatmap
3. Identify busy</t>
  </si>
  <si>
    <t>Peak hours displayed</t>
  </si>
  <si>
    <t>Export Report</t>
  </si>
  <si>
    <t>Export Analytics Report</t>
  </si>
  <si>
    <t>1. Select metrics
2. Select range
3. Click Export
4. Download</t>
  </si>
  <si>
    <t>Report exported</t>
  </si>
  <si>
    <t>1. Go to Content &gt; Meals
2. View all
3. Check filters</t>
  </si>
  <si>
    <t>All meals displayed</t>
  </si>
  <si>
    <t>1. Select multiple
2. Click Bulk Edit
3. Change field
4. Apply</t>
  </si>
  <si>
    <t>1. Go to Diet Tags
2. Add new
3. Edit
4. Delete</t>
  </si>
  <si>
    <t>https://nutrio.me/admin/diet-tags</t>
  </si>
  <si>
    <t>Tags updated</t>
  </si>
  <si>
    <t>Manage Featured</t>
  </si>
  <si>
    <t>1. Go to Featured
2. Add restaurant
3. Set priority
4. Schedule</t>
  </si>
  <si>
    <t>Featured updated</t>
  </si>
  <si>
    <t>TC526</t>
  </si>
  <si>
    <t>1. Go to Reviews
2. Filter inappropriate
3. Review
4. Approve/Remove</t>
  </si>
  <si>
    <t>Reviews moderated</t>
  </si>
  <si>
    <t>TC527</t>
  </si>
  <si>
    <t>1. Go to Banners
2. Upload image
3. Set link
4. Publish</t>
  </si>
  <si>
    <t>Banner published</t>
  </si>
  <si>
    <t>TC530</t>
  </si>
  <si>
    <t>1. Go to Streak Rewards
2. View rewards
3. Edit thresholds
4. Add new</t>
  </si>
  <si>
    <t>TC531</t>
  </si>
  <si>
    <t>1. Go to Milestones
2. View all
3. Edit criteria
4. Toggle status</t>
  </si>
  <si>
    <t>TC540</t>
  </si>
  <si>
    <t>Monitor AI Performance</t>
  </si>
  <si>
    <t>1. Go to AI Monitor
2. View accuracy
3. Check recommendations
4. Review adjustments</t>
  </si>
  <si>
    <t>AI metrics displayed</t>
  </si>
  <si>
    <t>TC550</t>
  </si>
  <si>
    <t>Update General Settings</t>
  </si>
  <si>
    <t>1. Go to Settings
2. Modify general
3. Save</t>
  </si>
  <si>
    <t>TC551</t>
  </si>
  <si>
    <t>Configure Payment</t>
  </si>
  <si>
    <t>1. Go to Payment
2. Configure Sadad
3. Test
4. Save</t>
  </si>
  <si>
    <t>Payment configured</t>
  </si>
  <si>
    <t>TC552</t>
  </si>
  <si>
    <t>Configure Sadad Gateway</t>
  </si>
  <si>
    <t>1. Enter credentials
2. Test connection
3. Set webhook
4. Save</t>
  </si>
  <si>
    <t>Sadad configured</t>
  </si>
  <si>
    <t>TC553</t>
  </si>
  <si>
    <t>1. Go to Notifications
2. Select template
3. Edit
4. Save</t>
  </si>
  <si>
    <t>TC554</t>
  </si>
  <si>
    <t>1. Go to Referral
2. Set rewards
3. Set limits
4. Save</t>
  </si>
  <si>
    <t>Referral configured</t>
  </si>
  <si>
    <t>TC555</t>
  </si>
  <si>
    <t>Maintenance Mode</t>
  </si>
  <si>
    <t>1. Go to System
2. Enable maintenance
3. Set message
4. Save</t>
  </si>
  <si>
    <t>Maintenance activated</t>
  </si>
  <si>
    <t>TC560</t>
  </si>
  <si>
    <t>1. Go to Exports
2. Select type
3. Set range
4. Generate</t>
  </si>
  <si>
    <t>Export generated</t>
  </si>
  <si>
    <t>TC570</t>
  </si>
  <si>
    <t>IP</t>
  </si>
  <si>
    <t>View Blocked IPs</t>
  </si>
  <si>
    <t>1. Go to IP Management
2. View blocked
3. Check reasons</t>
  </si>
  <si>
    <t>Blocked IPs displayed</t>
  </si>
  <si>
    <t>TC571</t>
  </si>
  <si>
    <t>Block IP</t>
  </si>
  <si>
    <t>Block IP Address</t>
  </si>
  <si>
    <t>1. Add IP
2. Set reason
3. Save</t>
  </si>
  <si>
    <t>IP blocked</t>
  </si>
  <si>
    <t>TC572</t>
  </si>
  <si>
    <t>Unblock IP</t>
  </si>
  <si>
    <t>1. Find blocked
2. Click Unblock
3. Confirm</t>
  </si>
  <si>
    <t>IP unblocked</t>
  </si>
  <si>
    <t>TC580</t>
  </si>
  <si>
    <t>Drivers</t>
  </si>
  <si>
    <t>View All Drivers</t>
  </si>
  <si>
    <t>1. Go to Drivers
2. View list
3. Check status</t>
  </si>
  <si>
    <t>https://nutrio.me/admin/drivers</t>
  </si>
  <si>
    <t>All drivers displayed</t>
  </si>
  <si>
    <t>TC581</t>
  </si>
  <si>
    <t>Add Driver</t>
  </si>
  <si>
    <t>Add New Driver</t>
  </si>
  <si>
    <t>Driver added</t>
  </si>
  <si>
    <t>TC582</t>
  </si>
  <si>
    <t>Edit Driver</t>
  </si>
  <si>
    <t>1. Find driver
2. Edit
3. Save</t>
  </si>
  <si>
    <t>Driver updated</t>
  </si>
  <si>
    <t>TC583</t>
  </si>
  <si>
    <t>Deactivate Driver</t>
  </si>
  <si>
    <t>1. Find driver
2. Deactivate
3. Confirm</t>
  </si>
  <si>
    <t>Driver deactivated</t>
  </si>
  <si>
    <t>TC590</t>
  </si>
  <si>
    <t>Deliveries</t>
  </si>
  <si>
    <t>View Deliveries</t>
  </si>
  <si>
    <t>View All Deliveries</t>
  </si>
  <si>
    <t>1. Go to Deliveries
2. View list
3. Check status</t>
  </si>
  <si>
    <t>https://nutrio.me/admin/deliveries</t>
  </si>
  <si>
    <t>All deliveries displayed</t>
  </si>
  <si>
    <t>TC591</t>
  </si>
  <si>
    <t>Track Delivery</t>
  </si>
  <si>
    <t>1. Open delivery
2. View map
3. Track driver</t>
  </si>
  <si>
    <t>Map tracking displayed</t>
  </si>
  <si>
    <t>TC595</t>
  </si>
  <si>
    <t>View Support Tickets</t>
  </si>
  <si>
    <t>1. Go to Support
2. View tickets
3. Check status</t>
  </si>
  <si>
    <t>https://nutrio.me/admin/support</t>
  </si>
  <si>
    <t>Tickets displayed</t>
  </si>
  <si>
    <t>TC596</t>
  </si>
  <si>
    <t>Respond to Ticket</t>
  </si>
  <si>
    <t>1. Open ticket
2. Read issue
3. Respond
4. Send</t>
  </si>
  <si>
    <t>Response sent</t>
  </si>
  <si>
    <t>TC597</t>
  </si>
  <si>
    <t>Close Ticket</t>
  </si>
  <si>
    <t>Close Support Ticket</t>
  </si>
  <si>
    <t>1. Open ticket
2. Resolve
3. Close
4. Confirm</t>
  </si>
  <si>
    <t>Ticket closed</t>
  </si>
  <si>
    <t>TC598</t>
  </si>
  <si>
    <t>View Admin Notifications</t>
  </si>
  <si>
    <t>https://nutrio.me/admin/notifications</t>
  </si>
  <si>
    <t>TC132</t>
  </si>
  <si>
    <t>Driver Login</t>
  </si>
  <si>
    <t>1. Navigate to /driver/auth
2. Enter Email: driver@nutriofuel.com / Password: Driver123!
3. Login</t>
  </si>
  <si>
    <t>https://nutrio.me/driver/auth</t>
  </si>
  <si>
    <t>Driver logged in, dashboard displayed</t>
  </si>
  <si>
    <t>TC133</t>
  </si>
  <si>
    <t>Driver Logout</t>
  </si>
  <si>
    <t>Driver logged out</t>
  </si>
  <si>
    <t>TC134</t>
  </si>
  <si>
    <t>Driver Dashboard Load</t>
  </si>
  <si>
    <t>1. Login as driver
2. View dashboard</t>
  </si>
  <si>
    <t>https://nutrio.me/driver/dashboard</t>
  </si>
  <si>
    <t>Dashboard shows: available orders, today's earnings, active deliveries</t>
  </si>
  <si>
    <t>TC135</t>
  </si>
  <si>
    <t>View Driver Stats</t>
  </si>
  <si>
    <t>1. Check today's stats
2. View earnings</t>
  </si>
  <si>
    <t>https://nutrio.me/driver/dashboard/[id]</t>
  </si>
  <si>
    <t>Correct stats displayed</t>
  </si>
  <si>
    <t>TC136</t>
  </si>
  <si>
    <t>View Available</t>
  </si>
  <si>
    <t>View Available Deliveries</t>
  </si>
  <si>
    <t>1. Go to Deliveries
2. View available orders</t>
  </si>
  <si>
    <t>https://nutrio.me/driver/deliveries/[id]</t>
  </si>
  <si>
    <t>Orders ready for pickup displayed</t>
  </si>
  <si>
    <t>TC137</t>
  </si>
  <si>
    <t>Accept Delivery</t>
  </si>
  <si>
    <t>Accept Delivery Order</t>
  </si>
  <si>
    <t>1. View available orders
2. Click Accept
3. Confirm</t>
  </si>
  <si>
    <t>https://nutrio.me/driver/deliveries</t>
  </si>
  <si>
    <t>Order assigned to driver</t>
  </si>
  <si>
    <t>TC138</t>
  </si>
  <si>
    <t>View Active Deliveries</t>
  </si>
  <si>
    <t>1. Go to Active tab
2. View current deliveries</t>
  </si>
  <si>
    <t>Accepted orders displayed with pickup details</t>
  </si>
  <si>
    <t>TC139</t>
  </si>
  <si>
    <t>Navigate</t>
  </si>
  <si>
    <t>Navigate to Pickup</t>
  </si>
  <si>
    <t>1. Open active delivery
2. Click Navigate to Restaurant
3. Open maps</t>
  </si>
  <si>
    <t>Maps opens with route to restaurant</t>
  </si>
  <si>
    <t>TC140</t>
  </si>
  <si>
    <t>Mark Picked Up</t>
  </si>
  <si>
    <t>Mark Order as Picked Up</t>
  </si>
  <si>
    <t>1. Arrive at restaurant
2. Pick up order
3. Click Picked Up</t>
  </si>
  <si>
    <t>Status updated, customer notified</t>
  </si>
  <si>
    <t>TC141</t>
  </si>
  <si>
    <t>Navigate Delivery</t>
  </si>
  <si>
    <t>Navigate to Customer</t>
  </si>
  <si>
    <t>1. Click Navigate to Customer
2. Open maps</t>
  </si>
  <si>
    <t>Maps opens with route to customer</t>
  </si>
  <si>
    <t>TC142</t>
  </si>
  <si>
    <t>Mark Delivered</t>
  </si>
  <si>
    <t>Mark Order as Delivered</t>
  </si>
  <si>
    <t>1. Arrive at customer
2. Deliver order
3. Click Delivered
4. Optional: Photo</t>
  </si>
  <si>
    <t>Status updated, delivery complete</t>
  </si>
  <si>
    <t>TC143</t>
  </si>
  <si>
    <t>View Delivery History</t>
  </si>
  <si>
    <t>1. Go to History tab
2. View past deliveries</t>
  </si>
  <si>
    <t>Completed deliveries with earnings displayed</t>
  </si>
  <si>
    <t>TC144</t>
  </si>
  <si>
    <t>Delivery Details</t>
  </si>
  <si>
    <t>View Delivery Details</t>
  </si>
  <si>
    <t>1. Click on any delivery
2. View details</t>
  </si>
  <si>
    <t>Full info: restaurant, customer, address, items, earnings</t>
  </si>
  <si>
    <t>TC145</t>
  </si>
  <si>
    <t>https://nutrio.me/driver/earnings/[id]</t>
  </si>
  <si>
    <t>Today's earnings, weekly, total displayed</t>
  </si>
  <si>
    <t>TC146</t>
  </si>
  <si>
    <t>History</t>
  </si>
  <si>
    <t>View Earnings History</t>
  </si>
  <si>
    <t>1. View earnings breakdown
2. Check per-delivery earnings</t>
  </si>
  <si>
    <t>Accurate earnings history</t>
  </si>
  <si>
    <t>TC147</t>
  </si>
  <si>
    <t>Payout</t>
  </si>
  <si>
    <t>View Payout Status</t>
  </si>
  <si>
    <t>1. Check payout section
2. View pending/completed payouts</t>
  </si>
  <si>
    <t>Payout status displayed</t>
  </si>
  <si>
    <t>TC148</t>
  </si>
  <si>
    <t>View Driver Profile</t>
  </si>
  <si>
    <t>1. Go to Profile
2. View info</t>
  </si>
  <si>
    <t>https://nutrio.me/driver/profile/[id]</t>
  </si>
  <si>
    <t>Driver details, vehicle info, ratings displayed</t>
  </si>
  <si>
    <t>TC149</t>
  </si>
  <si>
    <t>Edit</t>
  </si>
  <si>
    <t>1. Click Edit
2. Update info
3. Save</t>
  </si>
  <si>
    <t>https://nutrio.me/driver/profile/[id]/edit</t>
  </si>
  <si>
    <t>TC150</t>
  </si>
  <si>
    <t>Update Vehicle</t>
  </si>
  <si>
    <t>Update Vehicle Information</t>
  </si>
  <si>
    <t>1. Edit vehicle details
2. Save</t>
  </si>
  <si>
    <t>Vehicle info updated</t>
  </si>
  <si>
    <t>TC151</t>
  </si>
  <si>
    <t>Set Status</t>
  </si>
  <si>
    <t>Set Driver Status</t>
  </si>
  <si>
    <t>1. Toggle Online/Offline
2. Confirm</t>
  </si>
  <si>
    <t>https://nutrio.me/driver/profile</t>
  </si>
  <si>
    <t>Status updated, affects order availability</t>
  </si>
  <si>
    <t>TC152</t>
  </si>
  <si>
    <t>Bank Info</t>
  </si>
  <si>
    <t>1. Edit bank info
2. Save</t>
  </si>
  <si>
    <t>Bank details updated for payouts</t>
  </si>
  <si>
    <t>Forgot Password</t>
  </si>
  <si>
    <t>Driver Forgot Password</t>
  </si>
  <si>
    <t>1. Click Forgot Password
2. Enter email
3. Check email
4. Reset password</t>
  </si>
  <si>
    <t>View Earnings Summary on Dashboard</t>
  </si>
  <si>
    <t>1. Login as driver
2. View today's earnings
3. View this week
4. View completion rate</t>
  </si>
  <si>
    <t>Earnings stats displayed accurately</t>
  </si>
  <si>
    <t>Active Delivery</t>
  </si>
  <si>
    <t>View Active Delivery on Dashboard</t>
  </si>
  <si>
    <t>1. Have active delivery
2. Check dashboard
3. View customer info
4. View navigation button</t>
  </si>
  <si>
    <t>Active delivery details shown</t>
  </si>
  <si>
    <t>Filter Available</t>
  </si>
  <si>
    <t>Filter Available Deliveries</t>
  </si>
  <si>
    <t>1. Go to available deliveries
2. Filter by distance
3. Filter by payout
4. Sort by nearest</t>
  </si>
  <si>
    <t>https://nutrio.me/driver/deliveries?filter=[value]</t>
  </si>
  <si>
    <t>Deliveries filtered according to criteria</t>
  </si>
  <si>
    <t>Accept Multiple</t>
  </si>
  <si>
    <t>Accept Multiple Deliveries (Batch)</t>
  </si>
  <si>
    <t>1. View available orders
2. Accept order 1
3. Accept order 2 (nearby)
4. View optimized route</t>
  </si>
  <si>
    <t>Multiple orders accepted, route optimized</t>
  </si>
  <si>
    <t>Reject Order</t>
  </si>
  <si>
    <t>Reject Delivery Order</t>
  </si>
  <si>
    <t>1. See available order
2. Click Reject
3. Select reason
4. Confirm</t>
  </si>
  <si>
    <t>Order rejected, reason recorded</t>
  </si>
  <si>
    <t>Pickup Navigation</t>
  </si>
  <si>
    <t>Navigate to Restaurant Pickup</t>
  </si>
  <si>
    <t>1. Accept order
2. Click Navigate to Restaurant
3. Maps opens with route
4. Follow navigation</t>
  </si>
  <si>
    <t>Navigation to restaurant started</t>
  </si>
  <si>
    <t>Customer Navigation</t>
  </si>
  <si>
    <t>Navigate to Customer Delivery</t>
  </si>
  <si>
    <t>1. Mark picked up
2. Click Navigate to Customer
3. Maps opens with route
4. Follow navigation</t>
  </si>
  <si>
    <t>Navigation to customer started</t>
  </si>
  <si>
    <t>Call Customer</t>
  </si>
  <si>
    <t>Call Customer from Delivery</t>
  </si>
  <si>
    <t>1. Open active delivery
2. Click Call Customer
3. Phone app opens
4. Call connected</t>
  </si>
  <si>
    <t>Phone app opens with customer number</t>
  </si>
  <si>
    <t>Call Restaurant</t>
  </si>
  <si>
    <t>Call Restaurant from Delivery</t>
  </si>
  <si>
    <t>1. Open active delivery
2. Click Call Restaurant
3. Phone app opens
4. Call connected</t>
  </si>
  <si>
    <t>Phone app opens with restaurant number</t>
  </si>
  <si>
    <t>Delivery Photo</t>
  </si>
  <si>
    <t>Take Delivery Confirmation Photo</t>
  </si>
  <si>
    <t>1. Arrive at customer
2. Deliver order
3. Click Take Photo
4. Capture delivery photo
5. Mark delivered</t>
  </si>
  <si>
    <t>Photo captured and uploaded</t>
  </si>
  <si>
    <t>Customer Not Available</t>
  </si>
  <si>
    <t>Handle Customer Not Available</t>
  </si>
  <si>
    <t>1. Arrive at location
2. Customer not available
3. Click Customer Not Available
4. Follow protocol
5. Return order</t>
  </si>
  <si>
    <t>Protocol initiated, support notified</t>
  </si>
  <si>
    <t>Wrong Address</t>
  </si>
  <si>
    <t>Handle Wrong Address</t>
  </si>
  <si>
    <t>1. Arrive at address
2. Customer at different location
3. Contact support
4. Get new address
5. Navigate to new location</t>
  </si>
  <si>
    <t>https://nutrio.me/driver/deliveries/new</t>
  </si>
  <si>
    <t>Support provides updated address</t>
  </si>
  <si>
    <t>Daily Breakdown</t>
  </si>
  <si>
    <t>View Daily Earnings Breakdown</t>
  </si>
  <si>
    <t>1. Go to earnings
2. Select date
3. View all deliveries that day
4. Check tips received</t>
  </si>
  <si>
    <t>Daily breakdown with all deliveries</t>
  </si>
  <si>
    <t>Weekly Summary</t>
  </si>
  <si>
    <t>View Weekly Earnings Summary</t>
  </si>
  <si>
    <t>1. Go to earnings
2. View this week
3. See total deliveries
4. See total hours
5. See hourly rate</t>
  </si>
  <si>
    <t>Weekly summary with all metrics</t>
  </si>
  <si>
    <t>Payout Status</t>
  </si>
  <si>
    <t>Check Payout Status</t>
  </si>
  <si>
    <t>1. Go to earnings
2. View payout history
3. Check pending payout
4. Verify bank account</t>
  </si>
  <si>
    <t>https://nutrio.me/driver/earnings</t>
  </si>
  <si>
    <t>Instant Pay</t>
  </si>
  <si>
    <t>Request Instant Pay (if available)</t>
  </si>
  <si>
    <t>1. Have earnings available
2. Click Instant Pay
3. Confirm fee
4. Transfer to wallet/bank</t>
  </si>
  <si>
    <t>Instant payout processed</t>
  </si>
  <si>
    <t>1. Go to profile
2. Click Vehicle
3. Update vehicle type
4. Update license plate
5. Upload vehicle photo
6. Save</t>
  </si>
  <si>
    <t>Vehicle information updated</t>
  </si>
  <si>
    <t>Update Documents</t>
  </si>
  <si>
    <t>Upload Driver Documents</t>
  </si>
  <si>
    <t>1. Go to documents
2. Upload driver's license
3. Upload vehicle registration
4. Upload insurance
5. Submit for verification</t>
  </si>
  <si>
    <t>Documents uploaded and pending verification</t>
  </si>
  <si>
    <t>Working Hours</t>
  </si>
  <si>
    <t>Set Working Hours</t>
  </si>
  <si>
    <t>1. Go to availability
2. Set active hours
3. Mark days off
4. Set break times
5. Save schedule</t>
  </si>
  <si>
    <t>Working hours saved</t>
  </si>
  <si>
    <t>Go Offline</t>
  </si>
  <si>
    <t>Go Offline/Online</t>
  </si>
  <si>
    <t>1. Toggle online status
2. When offline, not receive orders
3. Toggle back online
4. Start receiving orders</t>
  </si>
  <si>
    <t>Online/offline status toggles correctly</t>
  </si>
  <si>
    <t>Contact Support from App</t>
  </si>
  <si>
    <t>1. Go to support
2. Select issue type
3. Describe issue
4. Attach photo if needed
5. Submit</t>
  </si>
  <si>
    <t>https://nutrio.me/driver/support</t>
  </si>
  <si>
    <t>Emergency Button</t>
  </si>
  <si>
    <t>Use Emergency Button</t>
  </si>
  <si>
    <t>1. Click emergency
2. Select emergency type
3. Confirm
4. Support contacted immediately</t>
  </si>
  <si>
    <t>Emergency alert sent to support</t>
  </si>
  <si>
    <t>Login as Driver</t>
  </si>
  <si>
    <t>1. Navigate to /driver/auth
2. Enter credentials
3. Login</t>
  </si>
  <si>
    <t>Driver logged in</t>
  </si>
  <si>
    <t>1. Click Logout
2. Verify redirect</t>
  </si>
  <si>
    <t>Password reset</t>
  </si>
  <si>
    <t>Load Driver Dashboard</t>
  </si>
  <si>
    <t>1. Login as driver
2. View dashboard
3. Check stats</t>
  </si>
  <si>
    <t>1. View dashboard
2. Check today's
3. Check weekly</t>
  </si>
  <si>
    <t>View Active Delivery</t>
  </si>
  <si>
    <t>1. Have active delivery
2. View dashboard
3. Check info</t>
  </si>
  <si>
    <t>Active delivery shown</t>
  </si>
  <si>
    <t>Completion Rate</t>
  </si>
  <si>
    <t>View Completion Rate</t>
  </si>
  <si>
    <t>1. View dashboard
2. Check rate
3. View stats</t>
  </si>
  <si>
    <t>Completion rate displayed</t>
  </si>
  <si>
    <t>1. Go to Deliveries
2. View available
3. Check orders</t>
  </si>
  <si>
    <t>Available orders displayed</t>
  </si>
  <si>
    <t>Filter by Distance/Payout</t>
  </si>
  <si>
    <t>1. Apply filter
2. View results
3. Check sorting</t>
  </si>
  <si>
    <t>Deliveries filtered</t>
  </si>
  <si>
    <t>1. View available
2. Click Accept
3. Confirm</t>
  </si>
  <si>
    <t>Delivery assigned</t>
  </si>
  <si>
    <t>Accept Multiple Deliveries</t>
  </si>
  <si>
    <t>1. Accept order 1
2. Accept nearby order 2
3. View route</t>
  </si>
  <si>
    <t>Multiple orders accepted</t>
  </si>
  <si>
    <t>Reject Delivery</t>
  </si>
  <si>
    <t>1. See order
2. Click Reject
3. Select reason
4. Confirm</t>
  </si>
  <si>
    <t>Order rejected</t>
  </si>
  <si>
    <t>1. Go to Active tab
2. View current
3. Check pickup</t>
  </si>
  <si>
    <t>Active deliveries displayed</t>
  </si>
  <si>
    <t>Navigate to Restaurant</t>
  </si>
  <si>
    <t>1. Open delivery
2. Click Navigate
3. Maps opens
4. Follow route</t>
  </si>
  <si>
    <t>Navigation started</t>
  </si>
  <si>
    <t>Mark as Picked Up</t>
  </si>
  <si>
    <t>1. Click Navigate to Customer
2. Maps opens
3. Follow route</t>
  </si>
  <si>
    <t>1. Open delivery
2. Click Call
3. Phone opens</t>
  </si>
  <si>
    <t>Phone opens with number</t>
  </si>
  <si>
    <t>1. Open delivery
2. Click Call Restaurant
3. Phone opens</t>
  </si>
  <si>
    <t>Phone opens</t>
  </si>
  <si>
    <t>Mark as Delivered</t>
  </si>
  <si>
    <t>1. Arrive at customer
2. Deliver order
3. Click Delivered</t>
  </si>
  <si>
    <t>Take Photo</t>
  </si>
  <si>
    <t>Take Delivery Photo</t>
  </si>
  <si>
    <t>1. Click Take Photo
2. Capture
3. Upload</t>
  </si>
  <si>
    <t>1. Customer not there
2. Click Not Available
3. Follow protocol</t>
  </si>
  <si>
    <t>Protocol initiated</t>
  </si>
  <si>
    <t>1. Wrong address
2. Contact support
3. Get new address
4. Navigate</t>
  </si>
  <si>
    <t>Support provides address</t>
  </si>
  <si>
    <t>1. Go to History
2. View past
3. Check earnings</t>
  </si>
  <si>
    <t>1. Click delivery
2. View details
3. Check restaurant
4. Check customer</t>
  </si>
  <si>
    <t>View Daily Breakdown</t>
  </si>
  <si>
    <t>1. Select date
2. View deliveries
3. Check tips</t>
  </si>
  <si>
    <t>Daily breakdown displayed</t>
  </si>
  <si>
    <t>View Weekly Summary</t>
  </si>
  <si>
    <t>1. View this week
2. Check deliveries
3. Check hours
4. Check rate</t>
  </si>
  <si>
    <t>Weekly summary displayed</t>
  </si>
  <si>
    <t>1. View history
2. Check pending
3. Verify bank</t>
  </si>
  <si>
    <t>Request Instant Pay</t>
  </si>
  <si>
    <t>1. Have earnings
2. Click Instant Pay
3. Confirm
4. Transfer</t>
  </si>
  <si>
    <t>1. Go to Profile
2. View info
3. Check vehicle</t>
  </si>
  <si>
    <t>Update Vehicle Info</t>
  </si>
  <si>
    <t>1. Click Vehicle
2. Update type
3. Update plate
4. Upload photo</t>
  </si>
  <si>
    <t>Vehicle updated</t>
  </si>
  <si>
    <t>Upload Documents</t>
  </si>
  <si>
    <t>1. Go to documents
2. Upload license
3. Upload registration
4. Upload insurance</t>
  </si>
  <si>
    <t>Documents uploaded</t>
  </si>
  <si>
    <t>1. Go to availability
2. Set hours
3. Mark days off
4. Save</t>
  </si>
  <si>
    <t>Toggle Online/Offline</t>
  </si>
  <si>
    <t>1. Toggle online
2. Verify status
3. Toggle offline</t>
  </si>
  <si>
    <t>Status toggled</t>
  </si>
  <si>
    <t>1. Click Change Password
2. Enter current
3. Enter new
4. Save</t>
  </si>
  <si>
    <t>https://nutrio.me/driver/notifications</t>
  </si>
  <si>
    <t>1. Go to Settings
2. View options</t>
  </si>
  <si>
    <t>https://nutrio.me/driver/settings</t>
  </si>
  <si>
    <t>1. Modify
2. Save</t>
  </si>
  <si>
    <t>1. Go to support
2. Select issue
3. Describe
4. Submit</t>
  </si>
  <si>
    <t>1. Click Emergency
2. Select type
3. Confirm
4. Support contacted</t>
  </si>
  <si>
    <t>Emergency alert sent</t>
  </si>
  <si>
    <t>View Payouts</t>
  </si>
  <si>
    <t>1. Go to Payouts
2. View history
3. Check status</t>
  </si>
  <si>
    <t>https://nutrio.me/driver/payouts</t>
  </si>
  <si>
    <t>Email Notifications Sent</t>
  </si>
  <si>
    <t>1. Trigger events (order, signup, etc.)
2. Check email delivery</t>
  </si>
  <si>
    <t>Emails delivered correctly</t>
  </si>
  <si>
    <t>WhatsApp</t>
  </si>
  <si>
    <t>WhatsApp Notifications Sent</t>
  </si>
  <si>
    <t>1. Trigger WhatsApp events
2. Verify delivery</t>
  </si>
  <si>
    <t>WhatsApp messages delivered</t>
  </si>
  <si>
    <t>Push</t>
  </si>
  <si>
    <t>1. Trigger notification
2. Verify browser push</t>
  </si>
  <si>
    <t>Push notifications received</t>
  </si>
  <si>
    <t>Payments</t>
  </si>
  <si>
    <t>Sadad</t>
  </si>
  <si>
    <t>Sadad Payment Integration</t>
  </si>
  <si>
    <t>1. Checkout with Sadad
2. Complete payment
3. Verify webhook</t>
  </si>
  <si>
    <t>Payment processed, subscription activated</t>
  </si>
  <si>
    <t>Refund Processing</t>
  </si>
  <si>
    <t>1. Process refund
2. Verify amount returned</t>
  </si>
  <si>
    <t>Refund processed correctly</t>
  </si>
  <si>
    <t>Security</t>
  </si>
  <si>
    <t>RLS</t>
  </si>
  <si>
    <t>Row Level Security</t>
  </si>
  <si>
    <t>1. Login as different users
2. Try to access unauthorized data</t>
  </si>
  <si>
    <t>Access denied for unauthorized data</t>
  </si>
  <si>
    <t>Authentication Required</t>
  </si>
  <si>
    <t>1. Try to access protected routes without login
2. Verify redirect</t>
  </si>
  <si>
    <t>Redirected to login page</t>
  </si>
  <si>
    <t>Performance</t>
  </si>
  <si>
    <t>Load Time</t>
  </si>
  <si>
    <t>Page Load Performance</t>
  </si>
  <si>
    <t>1. Measure load times for key pages
2. Verify under 3 seconds</t>
  </si>
  <si>
    <t>All pages load within acceptable time</t>
  </si>
  <si>
    <t>Responsive</t>
  </si>
  <si>
    <t>Mobile Responsiveness</t>
  </si>
  <si>
    <t>1. Open site on mobile device
2. Test all features</t>
  </si>
  <si>
    <t>All features work on mobile</t>
  </si>
  <si>
    <t>Data</t>
  </si>
  <si>
    <t>Backup</t>
  </si>
  <si>
    <t>Data Backup Verification</t>
  </si>
  <si>
    <t>1. Check backup logs
2. Verify recent backups</t>
  </si>
  <si>
    <t>Backups running successfully</t>
  </si>
  <si>
    <t>TC278</t>
  </si>
  <si>
    <t>SQL Injection</t>
  </si>
  <si>
    <t>Test SQL Injection Protection</t>
  </si>
  <si>
    <t>1. Try SQL injection in form fields
2. Enter special characters
3. Submit form
4. Verify blocked
5. Check error handling</t>
  </si>
  <si>
    <t>Injection attempts blocked</t>
  </si>
  <si>
    <t>TC279</t>
  </si>
  <si>
    <t>XSS Protection</t>
  </si>
  <si>
    <t>Test XSS Protection</t>
  </si>
  <si>
    <t>1. Enter script tags in inputs
2. Submit form
3. Verify scripts sanitized
4. Check output encoding</t>
  </si>
  <si>
    <t>XSS attempts blocked/sanitized</t>
  </si>
  <si>
    <t>Brute Force</t>
  </si>
  <si>
    <t>Test Brute Force Protection</t>
  </si>
  <si>
    <t>1. Attempt multiple wrong passwords
2. Verify account lockout
3. Check rate limiting
4. Verify CAPTCHA shown</t>
  </si>
  <si>
    <t>Account temporarily locked after failed attempts</t>
  </si>
  <si>
    <t>Test Session Timeout</t>
  </si>
  <si>
    <t>1. Login
2. Leave idle for 30 mins
3. Try action
4. Verify redirected to login
5. Re-authenticate required</t>
  </si>
  <si>
    <t>Page Load</t>
  </si>
  <si>
    <t>Test Page Load Times</t>
  </si>
  <si>
    <t>1. Navigate to key pages
2. Measure load time
3. Check under 3 seconds
4. Test on slow connection
5. Verify optimization</t>
  </si>
  <si>
    <t>Concurrent Users</t>
  </si>
  <si>
    <t>Test with Concurrent Users</t>
  </si>
  <si>
    <t>1. Simulate multiple users
2. Place simultaneous orders
3. Check system stability
4. Verify no data corruption
5. Monitor response times</t>
  </si>
  <si>
    <t>System handles concurrent load</t>
  </si>
  <si>
    <t>Database Performance</t>
  </si>
  <si>
    <t>Test Database Query Performance</t>
  </si>
  <si>
    <t>1. Run complex queries
2. Check response times
3. Monitor index usage
4. Verify optimization
5. Check for slow queries</t>
  </si>
  <si>
    <t>Database queries optimized</t>
  </si>
  <si>
    <t>Errors</t>
  </si>
  <si>
    <t>404 Handling</t>
  </si>
  <si>
    <t>Test 404 Error Page</t>
  </si>
  <si>
    <t>1. Navigate to non-existent page
2. Verify 404 page shown
3. Check navigation options
4. Verify helpful message
5. Test back button</t>
  </si>
  <si>
    <t>500 Handling</t>
  </si>
  <si>
    <t>Test 500 Error Page</t>
  </si>
  <si>
    <t>1. Trigger server error
2. Verify 500 page shown
3. Check error logged
4. Verify user-friendly message
5. No sensitive data leaked</t>
  </si>
  <si>
    <t>Error handled gracefully</t>
  </si>
  <si>
    <t>Network Error</t>
  </si>
  <si>
    <t>Handle Network Disconnection</t>
  </si>
  <si>
    <t>1. Disconnect internet
2. Try action
3. Verify offline message
4. Reconnect
5. Verify sync resumes</t>
  </si>
  <si>
    <t>Offline state handled, syncs on reconnect</t>
  </si>
  <si>
    <t>Responsive Layout</t>
  </si>
  <si>
    <t>Test Responsive Layout</t>
  </si>
  <si>
    <t>1. Open on mobile
2. Check layout adapts
3. Test all features
4. Verify touch targets
5. Test portrait/landscape</t>
  </si>
  <si>
    <t>Layout responsive on all devices</t>
  </si>
  <si>
    <t>Touch Gestures</t>
  </si>
  <si>
    <t>Test Touch Gestures</t>
  </si>
  <si>
    <t>1. Swipe to navigate
2. Pinch to zoom images
3. Pull to refresh
4. Long press actions
5. Verify smooth animations</t>
  </si>
  <si>
    <t>Touch gestures work correctly</t>
  </si>
  <si>
    <t>Test PWA Install</t>
  </si>
  <si>
    <t>1. Open in mobile browser
2. Click Add to Home Screen
3. Install app
4. Open from icon
5. Verify offline capability</t>
  </si>
  <si>
    <t>PWA installs and works offline</t>
  </si>
  <si>
    <t>Test Sadad Payment Flow</t>
  </si>
  <si>
    <t>1. Checkout
2. Select Sadad
3. Complete payment
4. Verify webhook received
5. Confirm order status</t>
  </si>
  <si>
    <t>Payment processed, order confirmed</t>
  </si>
  <si>
    <t>WhatsApp API</t>
  </si>
  <si>
    <t>Test WhatsApp Notification Delivery</t>
  </si>
  <si>
    <t>1. Trigger notification
2. Check WhatsApp API
3. Verify message sent
4. Check delivery status
5. Confirm received</t>
  </si>
  <si>
    <t>WhatsApp message delivered</t>
  </si>
  <si>
    <t>TC293</t>
  </si>
  <si>
    <t>Email Service</t>
  </si>
  <si>
    <t>Test Email Delivery</t>
  </si>
  <si>
    <t>1. Trigger email
2. Check email queue
3. Verify sent
4. Check inbox
5. Confirm formatting</t>
  </si>
  <si>
    <t>Email delivered correctly</t>
  </si>
  <si>
    <t>TC294</t>
  </si>
  <si>
    <t>Maps API</t>
  </si>
  <si>
    <t>Test Maps Integration</t>
  </si>
  <si>
    <t>1. Open delivery navigation
2. Load map
3. Show route
4. Get directions
5. Calculate ETA</t>
  </si>
  <si>
    <t>Maps load and route displayed</t>
  </si>
  <si>
    <t>TC295</t>
  </si>
  <si>
    <t>Image Upload</t>
  </si>
  <si>
    <t>Test Image Upload and Processing</t>
  </si>
  <si>
    <t>1. Upload image
2. Check compression
3. Verify thumbnail
4. Test CDN delivery
5. Check optimization</t>
  </si>
  <si>
    <t>Image uploaded and optimized</t>
  </si>
  <si>
    <t>TC342</t>
  </si>
  <si>
    <t>Financial</t>
  </si>
  <si>
    <t>Credit Transaction Atomicity</t>
  </si>
  <si>
    <t>Test Credit Deduction Atomicity</t>
  </si>
  <si>
    <t>1. Create test order
2. Deduct credit
3. Verify balance
4. Attempt double deduction</t>
  </si>
  <si>
    <t>https://nutrio.me/api/rpc</t>
  </si>
  <si>
    <t>Credit deducted atomically, no double-spending</t>
  </si>
  <si>
    <t>TC343</t>
  </si>
  <si>
    <t>Commission Enforcement</t>
  </si>
  <si>
    <t>Verify 10% Commission Rate</t>
  </si>
  <si>
    <t>1. Create order
2. Check earnings record
3. Verify 10% commission
4. Check restaurant payout</t>
  </si>
  <si>
    <t>Commission calculated at exactly 10%</t>
  </si>
  <si>
    <t>TC344</t>
  </si>
  <si>
    <t>Nutrition Calculation Accuracy</t>
  </si>
  <si>
    <t>Test BMR/TDEE Calculations</t>
  </si>
  <si>
    <t>1. Create profile
2. Check BMR calculation
3. Verify TDEE with activity
4. Check macro ratios</t>
  </si>
  <si>
    <t>Calculations accurate within tolerance</t>
  </si>
  <si>
    <t>TC345</t>
  </si>
  <si>
    <t>Meal Plan Compliance</t>
  </si>
  <si>
    <t>Test Macro Compliance &gt;90%</t>
  </si>
  <si>
    <t>1. Generate meal plan
2. Calculate macro totals
3. Compare to targets
4. Verify &gt;90% compliance</t>
  </si>
  <si>
    <t>Meal plan achieves &gt;90% compliance</t>
  </si>
  <si>
    <t>TC346</t>
  </si>
  <si>
    <t>Load</t>
  </si>
  <si>
    <t>Concurrent Meal Completion</t>
  </si>
  <si>
    <t>Test Concurrent Meal Completions</t>
  </si>
  <si>
    <t>1. Simulate 10 concurrent users
2. Complete same meal
3. Verify only 1 success
4. Check idempotency</t>
  </si>
  <si>
    <t>Race conditions prevented</t>
  </si>
  <si>
    <t>TC347</t>
  </si>
  <si>
    <t>Payment Double-spending</t>
  </si>
  <si>
    <t>Test Payment Double-spending Prevention</t>
  </si>
  <si>
    <t>1. Initiate payment
2. Attempt 50 concurrent processes
3. Verify only 1 succeeds
4. Check balance</t>
  </si>
  <si>
    <t>Double-spending prevented</t>
  </si>
  <si>
    <t>Test Email Notifications</t>
  </si>
  <si>
    <t>1. Trigger event
2. Check email queue
3. Verify sent
4. Check inbox</t>
  </si>
  <si>
    <t>Email delivered</t>
  </si>
  <si>
    <t>Test WhatsApp Notifications</t>
  </si>
  <si>
    <t>1. Trigger WhatsApp event
2. Check API
3. Verify sent
4. Check delivery</t>
  </si>
  <si>
    <t>WhatsApp delivered</t>
  </si>
  <si>
    <t>Test Push Notifications</t>
  </si>
  <si>
    <t>1. Trigger push
2. Verify browser
3. Check received</t>
  </si>
  <si>
    <t>Sadad Integration</t>
  </si>
  <si>
    <t>1. Checkout with Sadad
2. Complete
3. Verify webhook
4. Confirm status</t>
  </si>
  <si>
    <t>Payment processed</t>
  </si>
  <si>
    <t>Test Refund</t>
  </si>
  <si>
    <t>1. Process refund
2. Verify amount
3. Check balance</t>
  </si>
  <si>
    <t>Webhook Handling</t>
  </si>
  <si>
    <t>Test Payment Webhooks</t>
  </si>
  <si>
    <t>1. Trigger webhook
2. Verify received
3. Process
4. Confirm</t>
  </si>
  <si>
    <t>Webhook processed</t>
  </si>
  <si>
    <t>RLS Policies</t>
  </si>
  <si>
    <t>Test Row Level Security</t>
  </si>
  <si>
    <t>1. Login as user A
2. Try access user B data
3. Verify denied</t>
  </si>
  <si>
    <t>Access denied</t>
  </si>
  <si>
    <t>Auth Required</t>
  </si>
  <si>
    <t>Test Auth Required Routes</t>
  </si>
  <si>
    <t>1. Try access protected route
2. Verify redirect
3. Login
4. Access granted</t>
  </si>
  <si>
    <t>Redirected to login</t>
  </si>
  <si>
    <t>1. Try SQL injection
2. Enter special chars
3. Submit
4. Verify blocked</t>
  </si>
  <si>
    <t>Injection blocked</t>
  </si>
  <si>
    <t>1. Enter script tags
2. Submit
3. Verify sanitized
4. Check output</t>
  </si>
  <si>
    <t>XSS blocked</t>
  </si>
  <si>
    <t>1. Attempt wrong passwords
2. Verify lockout
3. Check rate limiting</t>
  </si>
  <si>
    <t>Account locked</t>
  </si>
  <si>
    <t>1. Login
2. Idle 30 mins
3. Try action
4. Verify expired</t>
  </si>
  <si>
    <t>Session expired</t>
  </si>
  <si>
    <t>Page Load Time</t>
  </si>
  <si>
    <t>1. Navigate to pages
2. Measure load
3. Check under 3s</t>
  </si>
  <si>
    <t>Pages load quickly</t>
  </si>
  <si>
    <t>Test Concurrent Users</t>
  </si>
  <si>
    <t>1. Simulate multiple users
2. Place orders
3. Check stability</t>
  </si>
  <si>
    <t>System stable</t>
  </si>
  <si>
    <t>Test Database Queries</t>
  </si>
  <si>
    <t>1. Run complex queries
2. Check response
3. Monitor indexes</t>
  </si>
  <si>
    <t>Queries optimized</t>
  </si>
  <si>
    <t>API Response Time</t>
  </si>
  <si>
    <t>Test API Response Times</t>
  </si>
  <si>
    <t>1. Call APIs
2. Measure response
3. Check under 500ms</t>
  </si>
  <si>
    <t>APIs responsive</t>
  </si>
  <si>
    <t>Test 404 Page</t>
  </si>
  <si>
    <t>1. Navigate to invalid
2. View 404
3. Check navigation</t>
  </si>
  <si>
    <t>Custom 404 displayed</t>
  </si>
  <si>
    <t>Test 500 Error</t>
  </si>
  <si>
    <t>1. Trigger error
2. View 500
3. Check logged</t>
  </si>
  <si>
    <t>Error handled</t>
  </si>
  <si>
    <t>1. Disconnect
2. Try action
3. View offline
4. Reconnect
5. Sync</t>
  </si>
  <si>
    <t>Offline handled</t>
  </si>
  <si>
    <t>TC350</t>
  </si>
  <si>
    <t>1. Open on mobile
2. Check layout
3. Test features
4. Verify touch</t>
  </si>
  <si>
    <t>Layout responsive</t>
  </si>
  <si>
    <t>TC351</t>
  </si>
  <si>
    <t>1. Swipe
2. Pinch
3. Pull to refresh
4. Long press</t>
  </si>
  <si>
    <t>Gestures work</t>
  </si>
  <si>
    <t>TC352</t>
  </si>
  <si>
    <t>1. Open in browser
2. Add to home
3. Install
4. Open from icon</t>
  </si>
  <si>
    <t>PWA installed</t>
  </si>
  <si>
    <t>TC360</t>
  </si>
  <si>
    <t>Test WhatsApp API</t>
  </si>
  <si>
    <t>1. Trigger notification
2. Check API
3. Verify sent
4. Confirm</t>
  </si>
  <si>
    <t>Message delivered</t>
  </si>
  <si>
    <t>TC361</t>
  </si>
  <si>
    <t>Test Email Service</t>
  </si>
  <si>
    <t>1. Trigger email
2. Check queue
3. Verify sent
4. Check inbox</t>
  </si>
  <si>
    <t>TC362</t>
  </si>
  <si>
    <t>1. Open tracking
2. Load map
3. Show route
4. Get ETA</t>
  </si>
  <si>
    <t>Maps load</t>
  </si>
  <si>
    <t>TC363</t>
  </si>
  <si>
    <t>Test Image Upload</t>
  </si>
  <si>
    <t>1. Upload image
2. Check compression
3. Verify thumbnail
4. Test CDN</t>
  </si>
  <si>
    <t>Image uploaded</t>
  </si>
  <si>
    <t>TC370</t>
  </si>
  <si>
    <t>Credit Atomicity</t>
  </si>
  <si>
    <t>1. Create order
2. Deduct credit
3. Verify balance
4. Try double</t>
  </si>
  <si>
    <t>No double-spending</t>
  </si>
  <si>
    <t>TC371</t>
  </si>
  <si>
    <t>Commission Rate</t>
  </si>
  <si>
    <t>Verify 10% Commission</t>
  </si>
  <si>
    <t>1. Create order
2. Check earnings
3. Verify 10%
4. Check payout</t>
  </si>
  <si>
    <t>Commission correct</t>
  </si>
  <si>
    <t>TC372</t>
  </si>
  <si>
    <t>Audit Trail</t>
  </si>
  <si>
    <t>Verify Audit Trail</t>
  </si>
  <si>
    <t>1. Make transaction
2. Check logs
3. Verify immutable
4. Try delete</t>
  </si>
  <si>
    <t>Audit complete</t>
  </si>
  <si>
    <t>TC373</t>
  </si>
  <si>
    <t>Payout Calculation</t>
  </si>
  <si>
    <t>Test Payout Calculation</t>
  </si>
  <si>
    <t>1. Calculate payout
2. Verify amount
3. Check fees
4. Confirm</t>
  </si>
  <si>
    <t>Calculation correct</t>
  </si>
  <si>
    <t>TC380</t>
  </si>
  <si>
    <t>BMR Calculation</t>
  </si>
  <si>
    <t>Test BMR Accuracy</t>
  </si>
  <si>
    <t>1. Create profile
2. Check BMR
3. Verify formula
4. Compare</t>
  </si>
  <si>
    <t>BMR accurate</t>
  </si>
  <si>
    <t>TC381</t>
  </si>
  <si>
    <t>TDEE Calculation</t>
  </si>
  <si>
    <t>Test TDEE Accuracy</t>
  </si>
  <si>
    <t>1. Check TDEE
2. Verify multiplier
3. Compare expected</t>
  </si>
  <si>
    <t>TDEE accurate</t>
  </si>
  <si>
    <t>TC382</t>
  </si>
  <si>
    <t>Macro Compliance</t>
  </si>
  <si>
    <t>1. Generate plan
2. Calculate macros
3. Compare targets
4. Verify &gt;90%</t>
  </si>
  <si>
    <t>Compliance &gt;90%</t>
  </si>
  <si>
    <t>TC383</t>
  </si>
  <si>
    <t>Meal Recommendation</t>
  </si>
  <si>
    <t>Test Recommendation Quality</t>
  </si>
  <si>
    <t>1. Get recommendations
2. Check relevance
3. Verify diversity</t>
  </si>
  <si>
    <t>Recommendations relevant</t>
  </si>
  <si>
    <t>TC390</t>
  </si>
  <si>
    <t>Test Concurrent Completions</t>
  </si>
  <si>
    <t>1. Simulate 10 users
2. Complete same meal
3. Verify 1 success</t>
  </si>
  <si>
    <t>Race condition prevented</t>
  </si>
  <si>
    <t>TC391</t>
  </si>
  <si>
    <t>Test Double-spending</t>
  </si>
  <si>
    <t>1. Initiate payment
2. 50 concurrent
3. Verify 1 success</t>
  </si>
  <si>
    <t>TC392</t>
  </si>
  <si>
    <t>API Rate Limiting</t>
  </si>
  <si>
    <t>Test API Rate Limits</t>
  </si>
  <si>
    <t>1. Call API repeatedly
2. Reach limit
3. Verify 429
4. Wait
5. Retry</t>
  </si>
  <si>
    <t>Rate limiting works</t>
  </si>
  <si>
    <t>Backup Verification</t>
  </si>
  <si>
    <t>Verify Backups</t>
  </si>
  <si>
    <t>1. Check backup logs
2. Verify recent
3. Test restore</t>
  </si>
  <si>
    <t>Backups running</t>
  </si>
  <si>
    <t>Test User Data Export</t>
  </si>
  <si>
    <t>1. Request export
2. Generate
3. Download
4. Verify data</t>
  </si>
  <si>
    <t>Export complete</t>
  </si>
  <si>
    <t>Edge</t>
  </si>
  <si>
    <t>Auto-assign Driver</t>
  </si>
  <si>
    <t>Test Auto-assign</t>
  </si>
  <si>
    <t>1. Create order
2. Trigger function
3. Verify assignment</t>
  </si>
  <si>
    <t>Meal Reminders</t>
  </si>
  <si>
    <t>Test Meal Reminders</t>
  </si>
  <si>
    <t>1. Schedule reminder
2. Wait for time
3. Verify sent</t>
  </si>
  <si>
    <t>Reminder sent</t>
  </si>
  <si>
    <t>IP Check</t>
  </si>
  <si>
    <t>Test IP Location Check</t>
  </si>
  <si>
    <t>1. Login from Qatar
2. Verify allowed
3. Try from outside
4. Verify blocked</t>
  </si>
  <si>
    <t>IP check works</t>
  </si>
  <si>
    <t>Health Score Calculation</t>
  </si>
  <si>
    <t>Test Health Score Calc</t>
  </si>
  <si>
    <t>1. Log meals
2. Trigger function
3. Calculate
4. Verify score</t>
  </si>
  <si>
    <t>Score calculated</t>
  </si>
  <si>
    <t>Image Analysis</t>
  </si>
  <si>
    <t>Test Meal Image Analysis</t>
  </si>
  <si>
    <t>1. Upload photo
2. Analyze
3. Get nutrition
4. Verify</t>
  </si>
  <si>
    <t>Analysis complete</t>
  </si>
  <si>
    <t>Realtime</t>
  </si>
  <si>
    <t>WebSocket Connection</t>
  </si>
  <si>
    <t>Test WebSocket</t>
  </si>
  <si>
    <t>1. Open tracking
2. Connect WS
3. Receive update</t>
  </si>
  <si>
    <t>WS connected</t>
  </si>
  <si>
    <t>Status Updates</t>
  </si>
  <si>
    <t>Test Real-time Status</t>
  </si>
  <si>
    <t>1. Update status
2. Verify broadcast
3. Client receives</t>
  </si>
  <si>
    <t>Update received</t>
  </si>
  <si>
    <t>Total Tests</t>
  </si>
  <si>
    <t>Note: Each test case now has a direct Link/URL column for easy access</t>
  </si>
  <si>
    <t>1. Navigate to /auth
2. Enter valid email
3. Enter valid password
4. Click Sign In</t>
  </si>
  <si>
    <t>1. Navigate to /partner/auth
2. Enter partner email
3. Enter password
4. Click Sign In</t>
  </si>
  <si>
    <t>1. Navigate to /driver/auth
2. Enter driver credentials
3. Login</t>
  </si>
  <si>
    <t xml:space="preserve"> </t>
  </si>
  <si>
    <t>canceld</t>
  </si>
  <si>
    <t xml:space="preserve">no payment gateway </t>
  </si>
  <si>
    <t xml:space="preserve">we need to think about this as user cant make payment for extra thing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</si>
</sst>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u/>
      <sz val="11"/>
      <color rgb="FF0563C1"/>
      <name val="Calibri"/>
    </font>
    <font>
      <i/>
      <sz val="11"/>
      <color rgb="FF666666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0"/>
      <name val="Calibri"/>
    </font>
    <font>
      <b/>
      <sz val="10"/>
      <color rgb="FF006100"/>
      <name val="Calibri"/>
    </font>
    <font>
      <b/>
      <sz val="10"/>
      <color rgb="FFFFFFFF"/>
      <name val="Calibri"/>
    </font>
    <font>
      <b/>
      <sz val="10"/>
      <color rgb="FF9C0006"/>
      <name val="Calibri"/>
    </font>
    <font>
      <b/>
      <sz val="10"/>
      <name val="Calibri"/>
    </font>
    <font>
      <b/>
      <sz val="16"/>
      <color rgb="FF1F4E79"/>
      <name val="Calibri"/>
    </font>
    <font>
      <sz val="11"/>
      <color rgb="FF9C5700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1"/>
      <color rgb="FF9C57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E3A5F"/>
        <bgColor rgb="FF1E3A5F"/>
      </patternFill>
    </fill>
    <fill>
      <patternFill patternType="solid">
        <fgColor rgb="FFFFA500"/>
        <bgColor rgb="FFFFA5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2E5077"/>
        <bgColor rgb="FF2E5077"/>
      </patternFill>
    </fill>
    <fill>
      <patternFill patternType="solid">
        <fgColor rgb="FF4472C4"/>
        <bgColor rgb="FF4472C4"/>
      </patternFill>
    </fill>
    <fill>
      <patternFill patternType="solid">
        <fgColor rgb="FF1F4E79"/>
        <bgColor rgb="FF1F4E79"/>
      </patternFill>
    </fill>
    <fill>
      <patternFill patternType="solid">
        <fgColor rgb="FFC6EFCE"/>
        <bgColor rgb="FFC6EFCE"/>
      </patternFill>
    </fill>
    <fill>
      <patternFill patternType="solid">
        <fgColor rgb="FFED7D31"/>
        <bgColor rgb="FFED7D31"/>
      </patternFill>
    </fill>
    <fill>
      <patternFill patternType="solid">
        <fgColor rgb="FFFFC7CE"/>
        <bgColor rgb="FFFFC7CE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C00000"/>
        <bgColor rgb="FFC00000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2">
    <xf numFmtId="0" fontId="0" fillId="0" borderId="0"/>
    <xf numFmtId="0" fontId="16" fillId="16" borderId="0" applyNumberFormat="0" applyBorder="0" applyAlignment="0" applyProtection="0"/>
  </cellStyleXfs>
  <cellXfs count="37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1" xfId="0" applyFont="1" applyFill="1" applyBorder="1" applyAlignment="1">
      <alignment horizont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5" fillId="0" borderId="1" xfId="0" applyFont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7" borderId="2" xfId="0" applyFont="1" applyFill="1" applyBorder="1" applyAlignment="1">
      <alignment horizontal="center"/>
    </xf>
    <xf numFmtId="0" fontId="0" fillId="0" borderId="2" xfId="0" applyBorder="1"/>
    <xf numFmtId="0" fontId="1" fillId="0" borderId="2" xfId="0" applyFont="1" applyBorder="1"/>
    <xf numFmtId="0" fontId="4" fillId="6" borderId="2" xfId="0" applyFont="1" applyFill="1" applyBorder="1"/>
    <xf numFmtId="0" fontId="9" fillId="8" borderId="3" xfId="0" applyFont="1" applyFill="1" applyBorder="1" applyAlignment="1">
      <alignment horizontal="center" vertical="center" wrapText="1"/>
    </xf>
    <xf numFmtId="0" fontId="10" fillId="15" borderId="4" xfId="0" applyFont="1" applyFill="1" applyBorder="1" applyAlignment="1">
      <alignment horizontal="center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0" fontId="14" fillId="12" borderId="4" xfId="0" applyFont="1" applyFill="1" applyBorder="1" applyAlignment="1">
      <alignment horizontal="center" vertical="center" wrapText="1"/>
    </xf>
    <xf numFmtId="0" fontId="12" fillId="14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center" vertical="center" wrapText="1"/>
    </xf>
    <xf numFmtId="0" fontId="13" fillId="11" borderId="4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0" fillId="0" borderId="0" xfId="0"/>
    <xf numFmtId="0" fontId="16" fillId="16" borderId="4" xfId="1" applyBorder="1" applyAlignment="1">
      <alignment horizontal="center" vertical="center" wrapText="1"/>
    </xf>
    <xf numFmtId="0" fontId="16" fillId="16" borderId="4" xfId="1" applyBorder="1" applyAlignment="1">
      <alignment horizontal="left" vertical="center" wrapText="1"/>
    </xf>
    <xf numFmtId="0" fontId="19" fillId="16" borderId="4" xfId="1" applyFont="1" applyBorder="1" applyAlignment="1">
      <alignment horizontal="center" vertical="center" wrapText="1"/>
    </xf>
    <xf numFmtId="0" fontId="18" fillId="17" borderId="4" xfId="0" applyFont="1" applyFill="1" applyBorder="1" applyAlignment="1">
      <alignment horizontal="left" vertical="center" wrapText="1"/>
    </xf>
    <xf numFmtId="0" fontId="10" fillId="17" borderId="4" xfId="0" applyFont="1" applyFill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 wrapText="1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17" Type="http://schemas.openxmlformats.org/officeDocument/2006/relationships/hyperlink" Target="https://your-domain.com/admin/content" TargetMode="External"/><Relationship Id="rId299" Type="http://schemas.openxmlformats.org/officeDocument/2006/relationships/hyperlink" Target="https://your-domain.com/driver/deliveries/new" TargetMode="External"/><Relationship Id="rId21" Type="http://schemas.openxmlformats.org/officeDocument/2006/relationships/hyperlink" Target="https://your-domain.com/meals?filter=%5bvalue%5d" TargetMode="External"/><Relationship Id="rId63" Type="http://schemas.openxmlformats.org/officeDocument/2006/relationships/hyperlink" Target="https://your-domain.com/partner/menu" TargetMode="External"/><Relationship Id="rId159" Type="http://schemas.openxmlformats.org/officeDocument/2006/relationships/hyperlink" Target="https://your-domain.com/" TargetMode="External"/><Relationship Id="rId324" Type="http://schemas.openxmlformats.org/officeDocument/2006/relationships/hyperlink" Target="https://your-domain.com/admin/content/%5bid%5d" TargetMode="External"/><Relationship Id="rId170" Type="http://schemas.openxmlformats.org/officeDocument/2006/relationships/hyperlink" Target="https://your-domain.com/partner/dashboard/%5bid%5d/edit" TargetMode="External"/><Relationship Id="rId226" Type="http://schemas.openxmlformats.org/officeDocument/2006/relationships/hyperlink" Target="https://your-domain.com/partner/orders/%5bid%5d" TargetMode="External"/><Relationship Id="rId268" Type="http://schemas.openxmlformats.org/officeDocument/2006/relationships/hyperlink" Target="https://your-domain.com/meals/%5bid%5d" TargetMode="External"/><Relationship Id="rId32" Type="http://schemas.openxmlformats.org/officeDocument/2006/relationships/hyperlink" Target="https://your-domain.com/orders" TargetMode="External"/><Relationship Id="rId74" Type="http://schemas.openxmlformats.org/officeDocument/2006/relationships/hyperlink" Target="https://your-domain.com/partner/profile/%5bid%5d/edit" TargetMode="External"/><Relationship Id="rId128" Type="http://schemas.openxmlformats.org/officeDocument/2006/relationships/hyperlink" Target="https://your-domain.com/admin/settings" TargetMode="External"/><Relationship Id="rId335" Type="http://schemas.openxmlformats.org/officeDocument/2006/relationships/hyperlink" Target="https://your-domain.com/" TargetMode="External"/><Relationship Id="rId5" Type="http://schemas.openxmlformats.org/officeDocument/2006/relationships/hyperlink" Target="https://your-domain.com/auth" TargetMode="External"/><Relationship Id="rId181" Type="http://schemas.openxmlformats.org/officeDocument/2006/relationships/hyperlink" Target="https://your-domain.com/partner/orders" TargetMode="External"/><Relationship Id="rId237" Type="http://schemas.openxmlformats.org/officeDocument/2006/relationships/hyperlink" Target="https://your-domain.com/partner/payouts/%5bid%5d" TargetMode="External"/><Relationship Id="rId279" Type="http://schemas.openxmlformats.org/officeDocument/2006/relationships/hyperlink" Target="https://your-domain.com/subscription" TargetMode="External"/><Relationship Id="rId43" Type="http://schemas.openxmlformats.org/officeDocument/2006/relationships/hyperlink" Target="https://your-domain.com/wallet/%5bid%5d" TargetMode="External"/><Relationship Id="rId139" Type="http://schemas.openxmlformats.org/officeDocument/2006/relationships/hyperlink" Target="https://your-domain.com/driver/deliveries" TargetMode="External"/><Relationship Id="rId290" Type="http://schemas.openxmlformats.org/officeDocument/2006/relationships/hyperlink" Target="https://your-domain.com/driver/deliveries?filter=%5bvalue%5d" TargetMode="External"/><Relationship Id="rId304" Type="http://schemas.openxmlformats.org/officeDocument/2006/relationships/hyperlink" Target="https://your-domain.com/driver/profile/%5bid%5d/edit" TargetMode="External"/><Relationship Id="rId346" Type="http://schemas.openxmlformats.org/officeDocument/2006/relationships/hyperlink" Target="https://your-domain.com/" TargetMode="External"/><Relationship Id="rId85" Type="http://schemas.openxmlformats.org/officeDocument/2006/relationships/hyperlink" Target="https://your-domain.com/admin/users?q=%5bsearch-term%5d" TargetMode="External"/><Relationship Id="rId150" Type="http://schemas.openxmlformats.org/officeDocument/2006/relationships/hyperlink" Target="https://your-domain.com/driver/profile/%5bid%5d/edit" TargetMode="External"/><Relationship Id="rId192" Type="http://schemas.openxmlformats.org/officeDocument/2006/relationships/hyperlink" Target="https://your-domain.com/partner/payouts" TargetMode="External"/><Relationship Id="rId206" Type="http://schemas.openxmlformats.org/officeDocument/2006/relationships/hyperlink" Target="https://your-domain.com/partner/analytics/%5bid%5d" TargetMode="External"/><Relationship Id="rId248" Type="http://schemas.openxmlformats.org/officeDocument/2006/relationships/hyperlink" Target="https://your-domain.com/partner/profile" TargetMode="External"/><Relationship Id="rId12" Type="http://schemas.openxmlformats.org/officeDocument/2006/relationships/hyperlink" Target="https://your-domain.com/subscription" TargetMode="External"/><Relationship Id="rId108" Type="http://schemas.openxmlformats.org/officeDocument/2006/relationships/hyperlink" Target="https://your-domain.com/admin/orders" TargetMode="External"/><Relationship Id="rId315" Type="http://schemas.openxmlformats.org/officeDocument/2006/relationships/hyperlink" Target="https://your-domain.com/admin/payouts" TargetMode="External"/><Relationship Id="rId54" Type="http://schemas.openxmlformats.org/officeDocument/2006/relationships/hyperlink" Target="https://your-domain.com/partner/orders" TargetMode="External"/><Relationship Id="rId96" Type="http://schemas.openxmlformats.org/officeDocument/2006/relationships/hyperlink" Target="https://your-domain.com/admin/restaurants/%5bid%5d/edit" TargetMode="External"/><Relationship Id="rId161" Type="http://schemas.openxmlformats.org/officeDocument/2006/relationships/hyperlink" Target="https://your-domain.com/" TargetMode="External"/><Relationship Id="rId217" Type="http://schemas.openxmlformats.org/officeDocument/2006/relationships/hyperlink" Target="https://your-domain.com/partner/dashboard/%5bid%5d/edit" TargetMode="External"/><Relationship Id="rId259" Type="http://schemas.openxmlformats.org/officeDocument/2006/relationships/hyperlink" Target="https://your-domain.com/wallet" TargetMode="External"/><Relationship Id="rId23" Type="http://schemas.openxmlformats.org/officeDocument/2006/relationships/hyperlink" Target="https://your-domain.com/meals?filter=%5bvalue%5d" TargetMode="External"/><Relationship Id="rId119" Type="http://schemas.openxmlformats.org/officeDocument/2006/relationships/hyperlink" Target="https://your-domain.com/admin/content/new" TargetMode="External"/><Relationship Id="rId270" Type="http://schemas.openxmlformats.org/officeDocument/2006/relationships/hyperlink" Target="https://your-domain.com/orders" TargetMode="External"/><Relationship Id="rId326" Type="http://schemas.openxmlformats.org/officeDocument/2006/relationships/hyperlink" Target="https://your-domain.com/admin/content" TargetMode="External"/><Relationship Id="rId65" Type="http://schemas.openxmlformats.org/officeDocument/2006/relationships/hyperlink" Target="https://your-domain.com/partner/payouts/%5bid%5d" TargetMode="External"/><Relationship Id="rId130" Type="http://schemas.openxmlformats.org/officeDocument/2006/relationships/hyperlink" Target="https://your-domain.com/admin/settings" TargetMode="External"/><Relationship Id="rId172" Type="http://schemas.openxmlformats.org/officeDocument/2006/relationships/hyperlink" Target="https://your-domain.com/partner/dashboard/%5bid%5d" TargetMode="External"/><Relationship Id="rId228" Type="http://schemas.openxmlformats.org/officeDocument/2006/relationships/hyperlink" Target="https://your-domain.com/partner/orders" TargetMode="External"/><Relationship Id="rId281" Type="http://schemas.openxmlformats.org/officeDocument/2006/relationships/hyperlink" Target="https://your-domain.com/profile/new" TargetMode="External"/><Relationship Id="rId337" Type="http://schemas.openxmlformats.org/officeDocument/2006/relationships/hyperlink" Target="https://your-domain.com/" TargetMode="External"/><Relationship Id="rId34" Type="http://schemas.openxmlformats.org/officeDocument/2006/relationships/hyperlink" Target="https://your-domain.com/orders" TargetMode="External"/><Relationship Id="rId76" Type="http://schemas.openxmlformats.org/officeDocument/2006/relationships/hyperlink" Target="https://your-domain.com/admin/auth" TargetMode="External"/><Relationship Id="rId141" Type="http://schemas.openxmlformats.org/officeDocument/2006/relationships/hyperlink" Target="https://your-domain.com/driver/deliveries" TargetMode="External"/><Relationship Id="rId7" Type="http://schemas.openxmlformats.org/officeDocument/2006/relationships/hyperlink" Target="https://your-domain.com/dashboard" TargetMode="External"/><Relationship Id="rId183" Type="http://schemas.openxmlformats.org/officeDocument/2006/relationships/hyperlink" Target="https://your-domain.com/partner/menu" TargetMode="External"/><Relationship Id="rId239" Type="http://schemas.openxmlformats.org/officeDocument/2006/relationships/hyperlink" Target="https://your-domain.com/partner/payouts" TargetMode="External"/><Relationship Id="rId250" Type="http://schemas.openxmlformats.org/officeDocument/2006/relationships/hyperlink" Target="https://your-domain.com/partner/profile" TargetMode="External"/><Relationship Id="rId292" Type="http://schemas.openxmlformats.org/officeDocument/2006/relationships/hyperlink" Target="https://your-domain.com/driver/deliveries" TargetMode="External"/><Relationship Id="rId306" Type="http://schemas.openxmlformats.org/officeDocument/2006/relationships/hyperlink" Target="https://your-domain.com/driver/profile" TargetMode="External"/><Relationship Id="rId45" Type="http://schemas.openxmlformats.org/officeDocument/2006/relationships/hyperlink" Target="https://your-domain.com/wallet/%5bid%5d" TargetMode="External"/><Relationship Id="rId87" Type="http://schemas.openxmlformats.org/officeDocument/2006/relationships/hyperlink" Target="https://your-domain.com/admin/users/%5bid%5d" TargetMode="External"/><Relationship Id="rId110" Type="http://schemas.openxmlformats.org/officeDocument/2006/relationships/hyperlink" Target="https://your-domain.com/admin/subscriptions/%5bid%5d" TargetMode="External"/><Relationship Id="rId348" Type="http://schemas.openxmlformats.org/officeDocument/2006/relationships/hyperlink" Target="https://your-domain.com/" TargetMode="External"/><Relationship Id="rId152" Type="http://schemas.openxmlformats.org/officeDocument/2006/relationships/hyperlink" Target="https://your-domain.com/driver/profile/%5bid%5d" TargetMode="External"/><Relationship Id="rId194" Type="http://schemas.openxmlformats.org/officeDocument/2006/relationships/hyperlink" Target="https://your-domain.com/partner/payouts" TargetMode="External"/><Relationship Id="rId208" Type="http://schemas.openxmlformats.org/officeDocument/2006/relationships/hyperlink" Target="https://your-domain.com/partner/support" TargetMode="External"/><Relationship Id="rId261" Type="http://schemas.openxmlformats.org/officeDocument/2006/relationships/hyperlink" Target="https://your-domain.com/profile?tab=referral" TargetMode="External"/><Relationship Id="rId14" Type="http://schemas.openxmlformats.org/officeDocument/2006/relationships/hyperlink" Target="https://your-domain.com/subscription" TargetMode="External"/><Relationship Id="rId56" Type="http://schemas.openxmlformats.org/officeDocument/2006/relationships/hyperlink" Target="https://your-domain.com/partner/orders/%5bid%5d" TargetMode="External"/><Relationship Id="rId317" Type="http://schemas.openxmlformats.org/officeDocument/2006/relationships/hyperlink" Target="https://your-domain.com/admin/payouts" TargetMode="External"/><Relationship Id="rId8" Type="http://schemas.openxmlformats.org/officeDocument/2006/relationships/hyperlink" Target="https://your-domain.com/dashboard" TargetMode="External"/><Relationship Id="rId98" Type="http://schemas.openxmlformats.org/officeDocument/2006/relationships/hyperlink" Target="https://your-domain.com/admin/restaurants" TargetMode="External"/><Relationship Id="rId121" Type="http://schemas.openxmlformats.org/officeDocument/2006/relationships/hyperlink" Target="https://your-domain.com/" TargetMode="External"/><Relationship Id="rId142" Type="http://schemas.openxmlformats.org/officeDocument/2006/relationships/hyperlink" Target="https://your-domain.com/driver/deliveries" TargetMode="External"/><Relationship Id="rId163" Type="http://schemas.openxmlformats.org/officeDocument/2006/relationships/hyperlink" Target="https://your-domain.com/partner/auth" TargetMode="External"/><Relationship Id="rId184" Type="http://schemas.openxmlformats.org/officeDocument/2006/relationships/hyperlink" Target="https://your-domain.com/partner/menu" TargetMode="External"/><Relationship Id="rId219" Type="http://schemas.openxmlformats.org/officeDocument/2006/relationships/hyperlink" Target="https://your-domain.com/partner/dashboard/%5bid%5d" TargetMode="External"/><Relationship Id="rId230" Type="http://schemas.openxmlformats.org/officeDocument/2006/relationships/hyperlink" Target="https://your-domain.com/partner/menu" TargetMode="External"/><Relationship Id="rId251" Type="http://schemas.openxmlformats.org/officeDocument/2006/relationships/hyperlink" Target="https://your-domain.com/partner/analytics/%5bid%5d" TargetMode="External"/><Relationship Id="rId25" Type="http://schemas.openxmlformats.org/officeDocument/2006/relationships/hyperlink" Target="https://your-domain.com/meals/%5bid%5d" TargetMode="External"/><Relationship Id="rId46" Type="http://schemas.openxmlformats.org/officeDocument/2006/relationships/hyperlink" Target="https://your-domain.com/partner/auth" TargetMode="External"/><Relationship Id="rId67" Type="http://schemas.openxmlformats.org/officeDocument/2006/relationships/hyperlink" Target="https://your-domain.com/partner/payouts/%5bid%5d" TargetMode="External"/><Relationship Id="rId272" Type="http://schemas.openxmlformats.org/officeDocument/2006/relationships/hyperlink" Target="https://your-domain.com/orders" TargetMode="External"/><Relationship Id="rId293" Type="http://schemas.openxmlformats.org/officeDocument/2006/relationships/hyperlink" Target="https://your-domain.com/driver/deliveries" TargetMode="External"/><Relationship Id="rId307" Type="http://schemas.openxmlformats.org/officeDocument/2006/relationships/hyperlink" Target="https://your-domain.com/driver/profile" TargetMode="External"/><Relationship Id="rId328" Type="http://schemas.openxmlformats.org/officeDocument/2006/relationships/hyperlink" Target="https://your-domain.com/admin/analytics/%5bid%5d" TargetMode="External"/><Relationship Id="rId349" Type="http://schemas.openxmlformats.org/officeDocument/2006/relationships/hyperlink" Target="https://your-domain.com/" TargetMode="External"/><Relationship Id="rId88" Type="http://schemas.openxmlformats.org/officeDocument/2006/relationships/hyperlink" Target="https://your-domain.com/admin/users/%5bid%5d/edit" TargetMode="External"/><Relationship Id="rId111" Type="http://schemas.openxmlformats.org/officeDocument/2006/relationships/hyperlink" Target="https://your-domain.com/admin/subscriptions/%5bid%5d/edit" TargetMode="External"/><Relationship Id="rId132" Type="http://schemas.openxmlformats.org/officeDocument/2006/relationships/hyperlink" Target="https://your-domain.com/driver/auth" TargetMode="External"/><Relationship Id="rId153" Type="http://schemas.openxmlformats.org/officeDocument/2006/relationships/hyperlink" Target="https://your-domain.com/" TargetMode="External"/><Relationship Id="rId174" Type="http://schemas.openxmlformats.org/officeDocument/2006/relationships/hyperlink" Target="https://your-domain.com/partner/orders" TargetMode="External"/><Relationship Id="rId195" Type="http://schemas.openxmlformats.org/officeDocument/2006/relationships/hyperlink" Target="https://your-domain.com/partner/payouts" TargetMode="External"/><Relationship Id="rId209" Type="http://schemas.openxmlformats.org/officeDocument/2006/relationships/hyperlink" Target="https://your-domain.com/partner/support" TargetMode="External"/><Relationship Id="rId220" Type="http://schemas.openxmlformats.org/officeDocument/2006/relationships/hyperlink" Target="https://your-domain.com/partner/dashboard" TargetMode="External"/><Relationship Id="rId241" Type="http://schemas.openxmlformats.org/officeDocument/2006/relationships/hyperlink" Target="https://your-domain.com/partner/payouts" TargetMode="External"/><Relationship Id="rId15" Type="http://schemas.openxmlformats.org/officeDocument/2006/relationships/hyperlink" Target="https://your-domain.com/subscription" TargetMode="External"/><Relationship Id="rId36" Type="http://schemas.openxmlformats.org/officeDocument/2006/relationships/hyperlink" Target="https://your-domain.com/profile/%5bid%5d" TargetMode="External"/><Relationship Id="rId57" Type="http://schemas.openxmlformats.org/officeDocument/2006/relationships/hyperlink" Target="https://your-domain.com/partner/orders" TargetMode="External"/><Relationship Id="rId262" Type="http://schemas.openxmlformats.org/officeDocument/2006/relationships/hyperlink" Target="https://your-domain.com/profile?tab=referral" TargetMode="External"/><Relationship Id="rId283" Type="http://schemas.openxmlformats.org/officeDocument/2006/relationships/hyperlink" Target="https://your-domain.com/profile" TargetMode="External"/><Relationship Id="rId318" Type="http://schemas.openxmlformats.org/officeDocument/2006/relationships/hyperlink" Target="https://your-domain.com/admin/payouts" TargetMode="External"/><Relationship Id="rId339" Type="http://schemas.openxmlformats.org/officeDocument/2006/relationships/hyperlink" Target="https://your-domain.com/" TargetMode="External"/><Relationship Id="rId78" Type="http://schemas.openxmlformats.org/officeDocument/2006/relationships/hyperlink" Target="https://your-domain.com/admin/auth" TargetMode="External"/><Relationship Id="rId99" Type="http://schemas.openxmlformats.org/officeDocument/2006/relationships/hyperlink" Target="https://your-domain.com/admin/restaurants" TargetMode="External"/><Relationship Id="rId101" Type="http://schemas.openxmlformats.org/officeDocument/2006/relationships/hyperlink" Target="https://your-domain.com/admin/orders/%5bid%5d" TargetMode="External"/><Relationship Id="rId122" Type="http://schemas.openxmlformats.org/officeDocument/2006/relationships/hyperlink" Target="https://your-domain.com/" TargetMode="External"/><Relationship Id="rId143" Type="http://schemas.openxmlformats.org/officeDocument/2006/relationships/hyperlink" Target="https://your-domain.com/driver/deliveries/%5bid%5d" TargetMode="External"/><Relationship Id="rId164" Type="http://schemas.openxmlformats.org/officeDocument/2006/relationships/hyperlink" Target="https://your-domain.com/partner/onboarding" TargetMode="External"/><Relationship Id="rId185" Type="http://schemas.openxmlformats.org/officeDocument/2006/relationships/hyperlink" Target="https://your-domain.com/partner/menu" TargetMode="External"/><Relationship Id="rId350" Type="http://schemas.openxmlformats.org/officeDocument/2006/relationships/hyperlink" Target="https://your-domain.com/" TargetMode="External"/><Relationship Id="rId9" Type="http://schemas.openxmlformats.org/officeDocument/2006/relationships/hyperlink" Target="https://your-domain.com/subscription/%5bid%5d" TargetMode="External"/><Relationship Id="rId210" Type="http://schemas.openxmlformats.org/officeDocument/2006/relationships/hyperlink" Target="https://your-domain.com/partner/auth" TargetMode="External"/><Relationship Id="rId26" Type="http://schemas.openxmlformats.org/officeDocument/2006/relationships/hyperlink" Target="https://your-domain.com/meals/new" TargetMode="External"/><Relationship Id="rId231" Type="http://schemas.openxmlformats.org/officeDocument/2006/relationships/hyperlink" Target="https://your-domain.com/partner/menu" TargetMode="External"/><Relationship Id="rId252" Type="http://schemas.openxmlformats.org/officeDocument/2006/relationships/hyperlink" Target="https://your-domain.com/partner/analytics/%5bid%5d" TargetMode="External"/><Relationship Id="rId273" Type="http://schemas.openxmlformats.org/officeDocument/2006/relationships/hyperlink" Target="https://your-domain.com/orders" TargetMode="External"/><Relationship Id="rId294" Type="http://schemas.openxmlformats.org/officeDocument/2006/relationships/hyperlink" Target="https://your-domain.com/driver/deliveries" TargetMode="External"/><Relationship Id="rId308" Type="http://schemas.openxmlformats.org/officeDocument/2006/relationships/hyperlink" Target="https://your-domain.com/driver/support" TargetMode="External"/><Relationship Id="rId329" Type="http://schemas.openxmlformats.org/officeDocument/2006/relationships/hyperlink" Target="https://your-domain.com/admin/analytics/%5bid%5d" TargetMode="External"/><Relationship Id="rId47" Type="http://schemas.openxmlformats.org/officeDocument/2006/relationships/hyperlink" Target="https://your-domain.com/partner/auth" TargetMode="External"/><Relationship Id="rId68" Type="http://schemas.openxmlformats.org/officeDocument/2006/relationships/hyperlink" Target="https://your-domain.com/partner/payouts/%5bid%5d" TargetMode="External"/><Relationship Id="rId89" Type="http://schemas.openxmlformats.org/officeDocument/2006/relationships/hyperlink" Target="https://your-domain.com/admin/users" TargetMode="External"/><Relationship Id="rId112" Type="http://schemas.openxmlformats.org/officeDocument/2006/relationships/hyperlink" Target="https://your-domain.com/admin/subscriptions/new" TargetMode="External"/><Relationship Id="rId133" Type="http://schemas.openxmlformats.org/officeDocument/2006/relationships/hyperlink" Target="https://your-domain.com/driver/auth" TargetMode="External"/><Relationship Id="rId154" Type="http://schemas.openxmlformats.org/officeDocument/2006/relationships/hyperlink" Target="https://your-domain.com/" TargetMode="External"/><Relationship Id="rId175" Type="http://schemas.openxmlformats.org/officeDocument/2006/relationships/hyperlink" Target="https://your-domain.com/partner/orders?filter=%5bvalue%5d" TargetMode="External"/><Relationship Id="rId340" Type="http://schemas.openxmlformats.org/officeDocument/2006/relationships/hyperlink" Target="https://your-domain.com/" TargetMode="External"/><Relationship Id="rId196" Type="http://schemas.openxmlformats.org/officeDocument/2006/relationships/hyperlink" Target="https://your-domain.com/partner/profile" TargetMode="External"/><Relationship Id="rId200" Type="http://schemas.openxmlformats.org/officeDocument/2006/relationships/hyperlink" Target="https://your-domain.com/partner/profile" TargetMode="External"/><Relationship Id="rId16" Type="http://schemas.openxmlformats.org/officeDocument/2006/relationships/hyperlink" Target="https://your-domain.com/subscription" TargetMode="External"/><Relationship Id="rId221" Type="http://schemas.openxmlformats.org/officeDocument/2006/relationships/hyperlink" Target="https://your-domain.com/partner/orders" TargetMode="External"/><Relationship Id="rId242" Type="http://schemas.openxmlformats.org/officeDocument/2006/relationships/hyperlink" Target="https://your-domain.com/partner/payouts" TargetMode="External"/><Relationship Id="rId263" Type="http://schemas.openxmlformats.org/officeDocument/2006/relationships/hyperlink" Target="https://your-domain.com/profile?tab=referral/%5bid%5d" TargetMode="External"/><Relationship Id="rId284" Type="http://schemas.openxmlformats.org/officeDocument/2006/relationships/hyperlink" Target="https://your-domain.com/profile" TargetMode="External"/><Relationship Id="rId319" Type="http://schemas.openxmlformats.org/officeDocument/2006/relationships/hyperlink" Target="https://your-domain.com/admin/payouts" TargetMode="External"/><Relationship Id="rId37" Type="http://schemas.openxmlformats.org/officeDocument/2006/relationships/hyperlink" Target="https://your-domain.com/profile/%5bid%5d/edit" TargetMode="External"/><Relationship Id="rId58" Type="http://schemas.openxmlformats.org/officeDocument/2006/relationships/hyperlink" Target="https://your-domain.com/partner/menu/%5bid%5d" TargetMode="External"/><Relationship Id="rId79" Type="http://schemas.openxmlformats.org/officeDocument/2006/relationships/hyperlink" Target="https://your-domain.com/admin/auth" TargetMode="External"/><Relationship Id="rId102" Type="http://schemas.openxmlformats.org/officeDocument/2006/relationships/hyperlink" Target="https://your-domain.com/admin/orders?filter=%5bvalue%5d" TargetMode="External"/><Relationship Id="rId123" Type="http://schemas.openxmlformats.org/officeDocument/2006/relationships/hyperlink" Target="https://your-domain.com/" TargetMode="External"/><Relationship Id="rId144" Type="http://schemas.openxmlformats.org/officeDocument/2006/relationships/hyperlink" Target="https://your-domain.com/driver/deliveries/%5bid%5d" TargetMode="External"/><Relationship Id="rId330" Type="http://schemas.openxmlformats.org/officeDocument/2006/relationships/hyperlink" Target="https://your-domain.com/admin/analytics" TargetMode="External"/><Relationship Id="rId90" Type="http://schemas.openxmlformats.org/officeDocument/2006/relationships/hyperlink" Target="https://your-domain.com/admin/users" TargetMode="External"/><Relationship Id="rId165" Type="http://schemas.openxmlformats.org/officeDocument/2006/relationships/hyperlink" Target="https://your-domain.com/partner/onboarding" TargetMode="External"/><Relationship Id="rId186" Type="http://schemas.openxmlformats.org/officeDocument/2006/relationships/hyperlink" Target="https://your-domain.com/partner/menu" TargetMode="External"/><Relationship Id="rId351" Type="http://schemas.openxmlformats.org/officeDocument/2006/relationships/hyperlink" Target="https://your-domain.com/" TargetMode="External"/><Relationship Id="rId211" Type="http://schemas.openxmlformats.org/officeDocument/2006/relationships/hyperlink" Target="https://your-domain.com/partner/onboarding" TargetMode="External"/><Relationship Id="rId232" Type="http://schemas.openxmlformats.org/officeDocument/2006/relationships/hyperlink" Target="https://your-domain.com/partner/menu" TargetMode="External"/><Relationship Id="rId253" Type="http://schemas.openxmlformats.org/officeDocument/2006/relationships/hyperlink" Target="https://your-domain.com/partner/analytics/%5bid%5d" TargetMode="External"/><Relationship Id="rId274" Type="http://schemas.openxmlformats.org/officeDocument/2006/relationships/hyperlink" Target="https://your-domain.com/orders/%5bid%5d" TargetMode="External"/><Relationship Id="rId295" Type="http://schemas.openxmlformats.org/officeDocument/2006/relationships/hyperlink" Target="https://your-domain.com/driver/deliveries" TargetMode="External"/><Relationship Id="rId309" Type="http://schemas.openxmlformats.org/officeDocument/2006/relationships/hyperlink" Target="https://your-domain.com/driver/support" TargetMode="External"/><Relationship Id="rId27" Type="http://schemas.openxmlformats.org/officeDocument/2006/relationships/hyperlink" Target="https://your-domain.com/meals" TargetMode="External"/><Relationship Id="rId48" Type="http://schemas.openxmlformats.org/officeDocument/2006/relationships/hyperlink" Target="https://your-domain.com/partner/auth" TargetMode="External"/><Relationship Id="rId69" Type="http://schemas.openxmlformats.org/officeDocument/2006/relationships/hyperlink" Target="https://your-domain.com/partner/profile/%5bid%5d" TargetMode="External"/><Relationship Id="rId113" Type="http://schemas.openxmlformats.org/officeDocument/2006/relationships/hyperlink" Target="https://your-domain.com/admin/subscriptions" TargetMode="External"/><Relationship Id="rId134" Type="http://schemas.openxmlformats.org/officeDocument/2006/relationships/hyperlink" Target="https://your-domain.com/driver/dashboard" TargetMode="External"/><Relationship Id="rId320" Type="http://schemas.openxmlformats.org/officeDocument/2006/relationships/hyperlink" Target="https://your-domain.com/admin/users" TargetMode="External"/><Relationship Id="rId80" Type="http://schemas.openxmlformats.org/officeDocument/2006/relationships/hyperlink" Target="https://your-domain.com/admin/dashboard" TargetMode="External"/><Relationship Id="rId155" Type="http://schemas.openxmlformats.org/officeDocument/2006/relationships/hyperlink" Target="https://your-domain.com/" TargetMode="External"/><Relationship Id="rId176" Type="http://schemas.openxmlformats.org/officeDocument/2006/relationships/hyperlink" Target="https://your-domain.com/partner/orders?filter=%5bvalue%5d" TargetMode="External"/><Relationship Id="rId197" Type="http://schemas.openxmlformats.org/officeDocument/2006/relationships/hyperlink" Target="https://your-domain.com/partner/profile" TargetMode="External"/><Relationship Id="rId341" Type="http://schemas.openxmlformats.org/officeDocument/2006/relationships/hyperlink" Target="https://your-domain.com/" TargetMode="External"/><Relationship Id="rId201" Type="http://schemas.openxmlformats.org/officeDocument/2006/relationships/hyperlink" Target="https://your-domain.com/partner/profile" TargetMode="External"/><Relationship Id="rId222" Type="http://schemas.openxmlformats.org/officeDocument/2006/relationships/hyperlink" Target="https://your-domain.com/partner/orders?filter=%5bvalue%5d" TargetMode="External"/><Relationship Id="rId243" Type="http://schemas.openxmlformats.org/officeDocument/2006/relationships/hyperlink" Target="https://your-domain.com/partner/profile" TargetMode="External"/><Relationship Id="rId264" Type="http://schemas.openxmlformats.org/officeDocument/2006/relationships/hyperlink" Target="https://your-domain.com/profile?tab=referral" TargetMode="External"/><Relationship Id="rId285" Type="http://schemas.openxmlformats.org/officeDocument/2006/relationships/hyperlink" Target="https://your-domain.com/profile" TargetMode="External"/><Relationship Id="rId17" Type="http://schemas.openxmlformats.org/officeDocument/2006/relationships/hyperlink" Target="https://your-domain.com/subscription" TargetMode="External"/><Relationship Id="rId38" Type="http://schemas.openxmlformats.org/officeDocument/2006/relationships/hyperlink" Target="https://your-domain.com/profile" TargetMode="External"/><Relationship Id="rId59" Type="http://schemas.openxmlformats.org/officeDocument/2006/relationships/hyperlink" Target="https://your-domain.com/partner/menu/new" TargetMode="External"/><Relationship Id="rId103" Type="http://schemas.openxmlformats.org/officeDocument/2006/relationships/hyperlink" Target="https://your-domain.com/admin/orders?q=%5bsearch-term%5d" TargetMode="External"/><Relationship Id="rId124" Type="http://schemas.openxmlformats.org/officeDocument/2006/relationships/hyperlink" Target="https://your-domain.com/admin/payouts/%5bid%5d" TargetMode="External"/><Relationship Id="rId310" Type="http://schemas.openxmlformats.org/officeDocument/2006/relationships/hyperlink" Target="https://your-domain.com/admin/restaurants/%5bid%5d" TargetMode="External"/><Relationship Id="rId70" Type="http://schemas.openxmlformats.org/officeDocument/2006/relationships/hyperlink" Target="https://your-domain.com/partner/profile/%5bid%5d/edit" TargetMode="External"/><Relationship Id="rId91" Type="http://schemas.openxmlformats.org/officeDocument/2006/relationships/hyperlink" Target="https://your-domain.com/admin/restaurants/%5bid%5d" TargetMode="External"/><Relationship Id="rId145" Type="http://schemas.openxmlformats.org/officeDocument/2006/relationships/hyperlink" Target="https://your-domain.com/driver/earnings/%5bid%5d" TargetMode="External"/><Relationship Id="rId166" Type="http://schemas.openxmlformats.org/officeDocument/2006/relationships/hyperlink" Target="https://your-domain.com/partner/onboarding" TargetMode="External"/><Relationship Id="rId187" Type="http://schemas.openxmlformats.org/officeDocument/2006/relationships/hyperlink" Target="https://your-domain.com/partner/menu/%5bid%5d" TargetMode="External"/><Relationship Id="rId331" Type="http://schemas.openxmlformats.org/officeDocument/2006/relationships/hyperlink" Target="https://your-domain.com/admin/settings" TargetMode="External"/><Relationship Id="rId352" Type="http://schemas.openxmlformats.org/officeDocument/2006/relationships/hyperlink" Target="https://your-domain.com/" TargetMode="External"/><Relationship Id="rId1" Type="http://schemas.openxmlformats.org/officeDocument/2006/relationships/hyperlink" Target="https://your-domain.com/auth" TargetMode="External"/><Relationship Id="rId212" Type="http://schemas.openxmlformats.org/officeDocument/2006/relationships/hyperlink" Target="https://your-domain.com/partner/onboarding" TargetMode="External"/><Relationship Id="rId233" Type="http://schemas.openxmlformats.org/officeDocument/2006/relationships/hyperlink" Target="https://your-domain.com/partner/menu" TargetMode="External"/><Relationship Id="rId254" Type="http://schemas.openxmlformats.org/officeDocument/2006/relationships/hyperlink" Target="https://your-domain.com/partner/support" TargetMode="External"/><Relationship Id="rId28" Type="http://schemas.openxmlformats.org/officeDocument/2006/relationships/hyperlink" Target="https://your-domain.com/meals/new" TargetMode="External"/><Relationship Id="rId49" Type="http://schemas.openxmlformats.org/officeDocument/2006/relationships/hyperlink" Target="https://your-domain.com/partner/dashboard" TargetMode="External"/><Relationship Id="rId114" Type="http://schemas.openxmlformats.org/officeDocument/2006/relationships/hyperlink" Target="https://your-domain.com/admin/subscriptions" TargetMode="External"/><Relationship Id="rId275" Type="http://schemas.openxmlformats.org/officeDocument/2006/relationships/hyperlink" Target="https://your-domain.com/orders/new" TargetMode="External"/><Relationship Id="rId296" Type="http://schemas.openxmlformats.org/officeDocument/2006/relationships/hyperlink" Target="https://your-domain.com/driver/deliveries" TargetMode="External"/><Relationship Id="rId300" Type="http://schemas.openxmlformats.org/officeDocument/2006/relationships/hyperlink" Target="https://your-domain.com/driver/earnings/%5bid%5d" TargetMode="External"/><Relationship Id="rId60" Type="http://schemas.openxmlformats.org/officeDocument/2006/relationships/hyperlink" Target="https://your-domain.com/partner/menu/%5bid%5d/edit" TargetMode="External"/><Relationship Id="rId81" Type="http://schemas.openxmlformats.org/officeDocument/2006/relationships/hyperlink" Target="https://your-domain.com/admin/dashboard" TargetMode="External"/><Relationship Id="rId135" Type="http://schemas.openxmlformats.org/officeDocument/2006/relationships/hyperlink" Target="https://your-domain.com/driver/dashboard/%5bid%5d" TargetMode="External"/><Relationship Id="rId156" Type="http://schemas.openxmlformats.org/officeDocument/2006/relationships/hyperlink" Target="https://your-domain.com/" TargetMode="External"/><Relationship Id="rId177" Type="http://schemas.openxmlformats.org/officeDocument/2006/relationships/hyperlink" Target="https://your-domain.com/partner/orders?q=%5bsearch-term%5d" TargetMode="External"/><Relationship Id="rId198" Type="http://schemas.openxmlformats.org/officeDocument/2006/relationships/hyperlink" Target="https://your-domain.com/partner/profile" TargetMode="External"/><Relationship Id="rId321" Type="http://schemas.openxmlformats.org/officeDocument/2006/relationships/hyperlink" Target="https://your-domain.com/admin/users" TargetMode="External"/><Relationship Id="rId342" Type="http://schemas.openxmlformats.org/officeDocument/2006/relationships/hyperlink" Target="https://your-domain.com/" TargetMode="External"/><Relationship Id="rId202" Type="http://schemas.openxmlformats.org/officeDocument/2006/relationships/hyperlink" Target="https://your-domain.com/partner/profile/new" TargetMode="External"/><Relationship Id="rId223" Type="http://schemas.openxmlformats.org/officeDocument/2006/relationships/hyperlink" Target="https://your-domain.com/partner/orders?filter=%5bvalue%5d" TargetMode="External"/><Relationship Id="rId244" Type="http://schemas.openxmlformats.org/officeDocument/2006/relationships/hyperlink" Target="https://your-domain.com/partner/profile" TargetMode="External"/><Relationship Id="rId18" Type="http://schemas.openxmlformats.org/officeDocument/2006/relationships/hyperlink" Target="https://your-domain.com/subscription" TargetMode="External"/><Relationship Id="rId39" Type="http://schemas.openxmlformats.org/officeDocument/2006/relationships/hyperlink" Target="https://your-domain.com/profile/%5bid%5d/edit" TargetMode="External"/><Relationship Id="rId265" Type="http://schemas.openxmlformats.org/officeDocument/2006/relationships/hyperlink" Target="https://your-domain.com/meals/new" TargetMode="External"/><Relationship Id="rId286" Type="http://schemas.openxmlformats.org/officeDocument/2006/relationships/hyperlink" Target="https://your-domain.com/profile" TargetMode="External"/><Relationship Id="rId50" Type="http://schemas.openxmlformats.org/officeDocument/2006/relationships/hyperlink" Target="https://your-domain.com/partner/dashboard" TargetMode="External"/><Relationship Id="rId104" Type="http://schemas.openxmlformats.org/officeDocument/2006/relationships/hyperlink" Target="https://your-domain.com/admin/orders/%5bid%5d" TargetMode="External"/><Relationship Id="rId125" Type="http://schemas.openxmlformats.org/officeDocument/2006/relationships/hyperlink" Target="https://your-domain.com/admin/payouts" TargetMode="External"/><Relationship Id="rId146" Type="http://schemas.openxmlformats.org/officeDocument/2006/relationships/hyperlink" Target="https://your-domain.com/driver/earnings/%5bid%5d" TargetMode="External"/><Relationship Id="rId167" Type="http://schemas.openxmlformats.org/officeDocument/2006/relationships/hyperlink" Target="https://your-domain.com/partner/onboarding/%5bid%5d" TargetMode="External"/><Relationship Id="rId188" Type="http://schemas.openxmlformats.org/officeDocument/2006/relationships/hyperlink" Target="https://your-domain.com/partner/menu" TargetMode="External"/><Relationship Id="rId311" Type="http://schemas.openxmlformats.org/officeDocument/2006/relationships/hyperlink" Target="https://your-domain.com/admin/restaurants/new" TargetMode="External"/><Relationship Id="rId332" Type="http://schemas.openxmlformats.org/officeDocument/2006/relationships/hyperlink" Target="https://your-domain.com/admin/settings/%5bid%5d/edit" TargetMode="External"/><Relationship Id="rId71" Type="http://schemas.openxmlformats.org/officeDocument/2006/relationships/hyperlink" Target="https://your-domain.com/partner/profile/%5bid%5d" TargetMode="External"/><Relationship Id="rId92" Type="http://schemas.openxmlformats.org/officeDocument/2006/relationships/hyperlink" Target="https://your-domain.com/admin/restaurants/%5bid%5d" TargetMode="External"/><Relationship Id="rId213" Type="http://schemas.openxmlformats.org/officeDocument/2006/relationships/hyperlink" Target="https://your-domain.com/partner/onboarding" TargetMode="External"/><Relationship Id="rId234" Type="http://schemas.openxmlformats.org/officeDocument/2006/relationships/hyperlink" Target="https://your-domain.com/partner/menu/%5bid%5d" TargetMode="External"/><Relationship Id="rId2" Type="http://schemas.openxmlformats.org/officeDocument/2006/relationships/hyperlink" Target="https://your-domain.com/auth" TargetMode="External"/><Relationship Id="rId29" Type="http://schemas.openxmlformats.org/officeDocument/2006/relationships/hyperlink" Target="https://your-domain.com/orders" TargetMode="External"/><Relationship Id="rId255" Type="http://schemas.openxmlformats.org/officeDocument/2006/relationships/hyperlink" Target="https://your-domain.com/partner/support" TargetMode="External"/><Relationship Id="rId276" Type="http://schemas.openxmlformats.org/officeDocument/2006/relationships/hyperlink" Target="https://your-domain.com/subscription/%5bid%5d" TargetMode="External"/><Relationship Id="rId297" Type="http://schemas.openxmlformats.org/officeDocument/2006/relationships/hyperlink" Target="https://your-domain.com/driver/deliveries" TargetMode="External"/><Relationship Id="rId40" Type="http://schemas.openxmlformats.org/officeDocument/2006/relationships/hyperlink" Target="https://your-domain.com/profile" TargetMode="External"/><Relationship Id="rId115" Type="http://schemas.openxmlformats.org/officeDocument/2006/relationships/hyperlink" Target="https://your-domain.com/admin/content/%5bid%5d" TargetMode="External"/><Relationship Id="rId136" Type="http://schemas.openxmlformats.org/officeDocument/2006/relationships/hyperlink" Target="https://your-domain.com/driver/deliveries/%5bid%5d" TargetMode="External"/><Relationship Id="rId157" Type="http://schemas.openxmlformats.org/officeDocument/2006/relationships/hyperlink" Target="https://your-domain.com/" TargetMode="External"/><Relationship Id="rId178" Type="http://schemas.openxmlformats.org/officeDocument/2006/relationships/hyperlink" Target="https://your-domain.com/partner/orders/%5bid%5d" TargetMode="External"/><Relationship Id="rId301" Type="http://schemas.openxmlformats.org/officeDocument/2006/relationships/hyperlink" Target="https://your-domain.com/driver/earnings/%5bid%5d" TargetMode="External"/><Relationship Id="rId322" Type="http://schemas.openxmlformats.org/officeDocument/2006/relationships/hyperlink" Target="https://your-domain.com/admin/users/%5bid%5d" TargetMode="External"/><Relationship Id="rId343" Type="http://schemas.openxmlformats.org/officeDocument/2006/relationships/hyperlink" Target="https://your-domain.com/" TargetMode="External"/><Relationship Id="rId61" Type="http://schemas.openxmlformats.org/officeDocument/2006/relationships/hyperlink" Target="https://your-domain.com/partner/menu" TargetMode="External"/><Relationship Id="rId82" Type="http://schemas.openxmlformats.org/officeDocument/2006/relationships/hyperlink" Target="https://your-domain.com/admin/dashboard" TargetMode="External"/><Relationship Id="rId199" Type="http://schemas.openxmlformats.org/officeDocument/2006/relationships/hyperlink" Target="https://your-domain.com/partner/profile" TargetMode="External"/><Relationship Id="rId203" Type="http://schemas.openxmlformats.org/officeDocument/2006/relationships/hyperlink" Target="https://your-domain.com/partner/profile" TargetMode="External"/><Relationship Id="rId19" Type="http://schemas.openxmlformats.org/officeDocument/2006/relationships/hyperlink" Target="https://your-domain.com/subscription" TargetMode="External"/><Relationship Id="rId224" Type="http://schemas.openxmlformats.org/officeDocument/2006/relationships/hyperlink" Target="https://your-domain.com/partner/orders?q=%5bsearch-term%5d" TargetMode="External"/><Relationship Id="rId245" Type="http://schemas.openxmlformats.org/officeDocument/2006/relationships/hyperlink" Target="https://your-domain.com/partner/profile" TargetMode="External"/><Relationship Id="rId266" Type="http://schemas.openxmlformats.org/officeDocument/2006/relationships/hyperlink" Target="https://your-domain.com/meals" TargetMode="External"/><Relationship Id="rId287" Type="http://schemas.openxmlformats.org/officeDocument/2006/relationships/hyperlink" Target="https://your-domain.com/driver/auth" TargetMode="External"/><Relationship Id="rId30" Type="http://schemas.openxmlformats.org/officeDocument/2006/relationships/hyperlink" Target="https://your-domain.com/orders/%5bid%5d" TargetMode="External"/><Relationship Id="rId105" Type="http://schemas.openxmlformats.org/officeDocument/2006/relationships/hyperlink" Target="https://your-domain.com/admin/orders/%5bid%5d/edit" TargetMode="External"/><Relationship Id="rId126" Type="http://schemas.openxmlformats.org/officeDocument/2006/relationships/hyperlink" Target="https://your-domain.com/admin/payouts/%5bid%5d" TargetMode="External"/><Relationship Id="rId147" Type="http://schemas.openxmlformats.org/officeDocument/2006/relationships/hyperlink" Target="https://your-domain.com/driver/earnings/%5bid%5d" TargetMode="External"/><Relationship Id="rId168" Type="http://schemas.openxmlformats.org/officeDocument/2006/relationships/hyperlink" Target="https://your-domain.com/partner/onboarding/%5bid%5d" TargetMode="External"/><Relationship Id="rId312" Type="http://schemas.openxmlformats.org/officeDocument/2006/relationships/hyperlink" Target="https://your-domain.com/admin/restaurants" TargetMode="External"/><Relationship Id="rId333" Type="http://schemas.openxmlformats.org/officeDocument/2006/relationships/hyperlink" Target="https://your-domain.com/admin/settings" TargetMode="External"/><Relationship Id="rId51" Type="http://schemas.openxmlformats.org/officeDocument/2006/relationships/hyperlink" Target="https://your-domain.com/partner/dashboard" TargetMode="External"/><Relationship Id="rId72" Type="http://schemas.openxmlformats.org/officeDocument/2006/relationships/hyperlink" Target="https://your-domain.com/partner/profile" TargetMode="External"/><Relationship Id="rId93" Type="http://schemas.openxmlformats.org/officeDocument/2006/relationships/hyperlink" Target="https://your-domain.com/admin/restaurants" TargetMode="External"/><Relationship Id="rId189" Type="http://schemas.openxmlformats.org/officeDocument/2006/relationships/hyperlink" Target="https://your-domain.com/partner/menu" TargetMode="External"/><Relationship Id="rId3" Type="http://schemas.openxmlformats.org/officeDocument/2006/relationships/hyperlink" Target="https://your-domain.com/auth" TargetMode="External"/><Relationship Id="rId214" Type="http://schemas.openxmlformats.org/officeDocument/2006/relationships/hyperlink" Target="https://your-domain.com/partner/onboarding/%5bid%5d" TargetMode="External"/><Relationship Id="rId235" Type="http://schemas.openxmlformats.org/officeDocument/2006/relationships/hyperlink" Target="https://your-domain.com/partner/menu" TargetMode="External"/><Relationship Id="rId256" Type="http://schemas.openxmlformats.org/officeDocument/2006/relationships/hyperlink" Target="https://your-domain.com/partner/support" TargetMode="External"/><Relationship Id="rId277" Type="http://schemas.openxmlformats.org/officeDocument/2006/relationships/hyperlink" Target="https://your-domain.com/subscription" TargetMode="External"/><Relationship Id="rId298" Type="http://schemas.openxmlformats.org/officeDocument/2006/relationships/hyperlink" Target="https://your-domain.com/driver/deliveries" TargetMode="External"/><Relationship Id="rId116" Type="http://schemas.openxmlformats.org/officeDocument/2006/relationships/hyperlink" Target="https://your-domain.com/admin/content/%5bid%5d/edit" TargetMode="External"/><Relationship Id="rId137" Type="http://schemas.openxmlformats.org/officeDocument/2006/relationships/hyperlink" Target="https://your-domain.com/driver/deliveries" TargetMode="External"/><Relationship Id="rId158" Type="http://schemas.openxmlformats.org/officeDocument/2006/relationships/hyperlink" Target="https://your-domain.com/" TargetMode="External"/><Relationship Id="rId302" Type="http://schemas.openxmlformats.org/officeDocument/2006/relationships/hyperlink" Target="https://your-domain.com/driver/earnings" TargetMode="External"/><Relationship Id="rId323" Type="http://schemas.openxmlformats.org/officeDocument/2006/relationships/hyperlink" Target="https://your-domain.com/admin/content/%5bid%5d/edit" TargetMode="External"/><Relationship Id="rId344" Type="http://schemas.openxmlformats.org/officeDocument/2006/relationships/hyperlink" Target="https://your-domain.com/" TargetMode="External"/><Relationship Id="rId20" Type="http://schemas.openxmlformats.org/officeDocument/2006/relationships/hyperlink" Target="https://your-domain.com/meals" TargetMode="External"/><Relationship Id="rId41" Type="http://schemas.openxmlformats.org/officeDocument/2006/relationships/hyperlink" Target="https://your-domain.com/profile/%5bid%5d" TargetMode="External"/><Relationship Id="rId62" Type="http://schemas.openxmlformats.org/officeDocument/2006/relationships/hyperlink" Target="https://your-domain.com/partner/menu" TargetMode="External"/><Relationship Id="rId83" Type="http://schemas.openxmlformats.org/officeDocument/2006/relationships/hyperlink" Target="https://your-domain.com/admin/dashboard/%5bid%5d" TargetMode="External"/><Relationship Id="rId179" Type="http://schemas.openxmlformats.org/officeDocument/2006/relationships/hyperlink" Target="https://your-domain.com/partner/orders/%5bid%5d" TargetMode="External"/><Relationship Id="rId190" Type="http://schemas.openxmlformats.org/officeDocument/2006/relationships/hyperlink" Target="https://your-domain.com/partner/payouts/%5bid%5d" TargetMode="External"/><Relationship Id="rId204" Type="http://schemas.openxmlformats.org/officeDocument/2006/relationships/hyperlink" Target="https://your-domain.com/partner/analytics/%5bid%5d" TargetMode="External"/><Relationship Id="rId225" Type="http://schemas.openxmlformats.org/officeDocument/2006/relationships/hyperlink" Target="https://your-domain.com/partner/orders/%5bid%5d" TargetMode="External"/><Relationship Id="rId246" Type="http://schemas.openxmlformats.org/officeDocument/2006/relationships/hyperlink" Target="https://your-domain.com/partner/profile" TargetMode="External"/><Relationship Id="rId267" Type="http://schemas.openxmlformats.org/officeDocument/2006/relationships/hyperlink" Target="https://your-domain.com/meals" TargetMode="External"/><Relationship Id="rId288" Type="http://schemas.openxmlformats.org/officeDocument/2006/relationships/hyperlink" Target="https://your-domain.com/driver/dashboard/%5bid%5d" TargetMode="External"/><Relationship Id="rId106" Type="http://schemas.openxmlformats.org/officeDocument/2006/relationships/hyperlink" Target="https://your-domain.com/admin/orders" TargetMode="External"/><Relationship Id="rId127" Type="http://schemas.openxmlformats.org/officeDocument/2006/relationships/hyperlink" Target="https://your-domain.com/admin/payouts" TargetMode="External"/><Relationship Id="rId313" Type="http://schemas.openxmlformats.org/officeDocument/2006/relationships/hyperlink" Target="https://your-domain.com/admin/restaurants" TargetMode="External"/><Relationship Id="rId10" Type="http://schemas.openxmlformats.org/officeDocument/2006/relationships/hyperlink" Target="https://your-domain.com/subscription" TargetMode="External"/><Relationship Id="rId31" Type="http://schemas.openxmlformats.org/officeDocument/2006/relationships/hyperlink" Target="https://your-domain.com/orders/%5bid%5d" TargetMode="External"/><Relationship Id="rId52" Type="http://schemas.openxmlformats.org/officeDocument/2006/relationships/hyperlink" Target="https://your-domain.com/partner/orders/%5bid%5d" TargetMode="External"/><Relationship Id="rId73" Type="http://schemas.openxmlformats.org/officeDocument/2006/relationships/hyperlink" Target="https://your-domain.com/partner/profile" TargetMode="External"/><Relationship Id="rId94" Type="http://schemas.openxmlformats.org/officeDocument/2006/relationships/hyperlink" Target="https://your-domain.com/admin/restaurants" TargetMode="External"/><Relationship Id="rId148" Type="http://schemas.openxmlformats.org/officeDocument/2006/relationships/hyperlink" Target="https://your-domain.com/driver/profile/%5bid%5d" TargetMode="External"/><Relationship Id="rId169" Type="http://schemas.openxmlformats.org/officeDocument/2006/relationships/hyperlink" Target="https://your-domain.com/partner/onboarding" TargetMode="External"/><Relationship Id="rId334" Type="http://schemas.openxmlformats.org/officeDocument/2006/relationships/hyperlink" Target="https://your-domain.com/admin/settings" TargetMode="External"/><Relationship Id="rId4" Type="http://schemas.openxmlformats.org/officeDocument/2006/relationships/hyperlink" Target="https://your-domain.com/auth" TargetMode="External"/><Relationship Id="rId180" Type="http://schemas.openxmlformats.org/officeDocument/2006/relationships/hyperlink" Target="https://your-domain.com/partner/orders" TargetMode="External"/><Relationship Id="rId215" Type="http://schemas.openxmlformats.org/officeDocument/2006/relationships/hyperlink" Target="https://your-domain.com/partner/onboarding/%5bid%5d" TargetMode="External"/><Relationship Id="rId236" Type="http://schemas.openxmlformats.org/officeDocument/2006/relationships/hyperlink" Target="https://your-domain.com/partner/menu" TargetMode="External"/><Relationship Id="rId257" Type="http://schemas.openxmlformats.org/officeDocument/2006/relationships/hyperlink" Target="https://your-domain.com/wallet/%5bid%5d" TargetMode="External"/><Relationship Id="rId278" Type="http://schemas.openxmlformats.org/officeDocument/2006/relationships/hyperlink" Target="https://your-domain.com/subscription" TargetMode="External"/><Relationship Id="rId303" Type="http://schemas.openxmlformats.org/officeDocument/2006/relationships/hyperlink" Target="https://your-domain.com/driver/earnings" TargetMode="External"/><Relationship Id="rId42" Type="http://schemas.openxmlformats.org/officeDocument/2006/relationships/hyperlink" Target="https://your-domain.com/profile" TargetMode="External"/><Relationship Id="rId84" Type="http://schemas.openxmlformats.org/officeDocument/2006/relationships/hyperlink" Target="https://your-domain.com/admin/users/%5bid%5d" TargetMode="External"/><Relationship Id="rId138" Type="http://schemas.openxmlformats.org/officeDocument/2006/relationships/hyperlink" Target="https://your-domain.com/driver/deliveries/%5bid%5d" TargetMode="External"/><Relationship Id="rId345" Type="http://schemas.openxmlformats.org/officeDocument/2006/relationships/hyperlink" Target="https://your-domain.com/" TargetMode="External"/><Relationship Id="rId191" Type="http://schemas.openxmlformats.org/officeDocument/2006/relationships/hyperlink" Target="https://your-domain.com/partner/payouts/%5bid%5d" TargetMode="External"/><Relationship Id="rId205" Type="http://schemas.openxmlformats.org/officeDocument/2006/relationships/hyperlink" Target="https://your-domain.com/partner/analytics/%5bid%5d" TargetMode="External"/><Relationship Id="rId247" Type="http://schemas.openxmlformats.org/officeDocument/2006/relationships/hyperlink" Target="https://your-domain.com/partner/profile" TargetMode="External"/><Relationship Id="rId107" Type="http://schemas.openxmlformats.org/officeDocument/2006/relationships/hyperlink" Target="https://your-domain.com/admin/orders" TargetMode="External"/><Relationship Id="rId289" Type="http://schemas.openxmlformats.org/officeDocument/2006/relationships/hyperlink" Target="https://your-domain.com/driver/dashboard/%5bid%5d" TargetMode="External"/><Relationship Id="rId11" Type="http://schemas.openxmlformats.org/officeDocument/2006/relationships/hyperlink" Target="https://your-domain.com/subscription" TargetMode="External"/><Relationship Id="rId53" Type="http://schemas.openxmlformats.org/officeDocument/2006/relationships/hyperlink" Target="https://your-domain.com/partner/orders/%5bid%5d" TargetMode="External"/><Relationship Id="rId149" Type="http://schemas.openxmlformats.org/officeDocument/2006/relationships/hyperlink" Target="https://your-domain.com/driver/profile/%5bid%5d/edit" TargetMode="External"/><Relationship Id="rId314" Type="http://schemas.openxmlformats.org/officeDocument/2006/relationships/hyperlink" Target="https://your-domain.com/admin/restaurants/%5bid%5d" TargetMode="External"/><Relationship Id="rId95" Type="http://schemas.openxmlformats.org/officeDocument/2006/relationships/hyperlink" Target="https://your-domain.com/admin/restaurants/%5bid%5d" TargetMode="External"/><Relationship Id="rId160" Type="http://schemas.openxmlformats.org/officeDocument/2006/relationships/hyperlink" Target="https://your-domain.com/" TargetMode="External"/><Relationship Id="rId216" Type="http://schemas.openxmlformats.org/officeDocument/2006/relationships/hyperlink" Target="https://your-domain.com/partner/onboarding" TargetMode="External"/><Relationship Id="rId258" Type="http://schemas.openxmlformats.org/officeDocument/2006/relationships/hyperlink" Target="https://your-domain.com/wallet/new" TargetMode="External"/><Relationship Id="rId22" Type="http://schemas.openxmlformats.org/officeDocument/2006/relationships/hyperlink" Target="https://your-domain.com/meals?filter=%5bvalue%5d" TargetMode="External"/><Relationship Id="rId64" Type="http://schemas.openxmlformats.org/officeDocument/2006/relationships/hyperlink" Target="https://your-domain.com/partner/menu/new" TargetMode="External"/><Relationship Id="rId118" Type="http://schemas.openxmlformats.org/officeDocument/2006/relationships/hyperlink" Target="https://your-domain.com/admin/content" TargetMode="External"/><Relationship Id="rId325" Type="http://schemas.openxmlformats.org/officeDocument/2006/relationships/hyperlink" Target="https://your-domain.com/admin/content/new" TargetMode="External"/><Relationship Id="rId171" Type="http://schemas.openxmlformats.org/officeDocument/2006/relationships/hyperlink" Target="https://your-domain.com/partner/dashboard/%5bid%5d" TargetMode="External"/><Relationship Id="rId227" Type="http://schemas.openxmlformats.org/officeDocument/2006/relationships/hyperlink" Target="https://your-domain.com/partner/orders" TargetMode="External"/><Relationship Id="rId269" Type="http://schemas.openxmlformats.org/officeDocument/2006/relationships/hyperlink" Target="https://your-domain.com/meals/%5bid%5d" TargetMode="External"/><Relationship Id="rId33" Type="http://schemas.openxmlformats.org/officeDocument/2006/relationships/hyperlink" Target="https://your-domain.com/orders" TargetMode="External"/><Relationship Id="rId129" Type="http://schemas.openxmlformats.org/officeDocument/2006/relationships/hyperlink" Target="https://your-domain.com/admin/settings" TargetMode="External"/><Relationship Id="rId280" Type="http://schemas.openxmlformats.org/officeDocument/2006/relationships/hyperlink" Target="https://your-domain.com/profile/new" TargetMode="External"/><Relationship Id="rId336" Type="http://schemas.openxmlformats.org/officeDocument/2006/relationships/hyperlink" Target="https://your-domain.com/" TargetMode="External"/><Relationship Id="rId75" Type="http://schemas.openxmlformats.org/officeDocument/2006/relationships/hyperlink" Target="https://your-domain.com/partner/profile/%5bid%5d/edit" TargetMode="External"/><Relationship Id="rId140" Type="http://schemas.openxmlformats.org/officeDocument/2006/relationships/hyperlink" Target="https://your-domain.com/driver/deliveries" TargetMode="External"/><Relationship Id="rId182" Type="http://schemas.openxmlformats.org/officeDocument/2006/relationships/hyperlink" Target="https://your-domain.com/partner/menu" TargetMode="External"/><Relationship Id="rId6" Type="http://schemas.openxmlformats.org/officeDocument/2006/relationships/hyperlink" Target="https://your-domain.com/dashboard" TargetMode="External"/><Relationship Id="rId238" Type="http://schemas.openxmlformats.org/officeDocument/2006/relationships/hyperlink" Target="https://your-domain.com/partner/payouts/%5bid%5d" TargetMode="External"/><Relationship Id="rId291" Type="http://schemas.openxmlformats.org/officeDocument/2006/relationships/hyperlink" Target="https://your-domain.com/driver/deliveries" TargetMode="External"/><Relationship Id="rId305" Type="http://schemas.openxmlformats.org/officeDocument/2006/relationships/hyperlink" Target="https://your-domain.com/driver/profile" TargetMode="External"/><Relationship Id="rId347" Type="http://schemas.openxmlformats.org/officeDocument/2006/relationships/hyperlink" Target="https://your-domain.com/" TargetMode="External"/><Relationship Id="rId44" Type="http://schemas.openxmlformats.org/officeDocument/2006/relationships/hyperlink" Target="https://your-domain.com/wallet/new" TargetMode="External"/><Relationship Id="rId86" Type="http://schemas.openxmlformats.org/officeDocument/2006/relationships/hyperlink" Target="https://your-domain.com/admin/users?filter=%5bvalue%5d" TargetMode="External"/><Relationship Id="rId151" Type="http://schemas.openxmlformats.org/officeDocument/2006/relationships/hyperlink" Target="https://your-domain.com/driver/profile" TargetMode="External"/><Relationship Id="rId193" Type="http://schemas.openxmlformats.org/officeDocument/2006/relationships/hyperlink" Target="https://your-domain.com/partner/payouts" TargetMode="External"/><Relationship Id="rId207" Type="http://schemas.openxmlformats.org/officeDocument/2006/relationships/hyperlink" Target="https://your-domain.com/partner/support" TargetMode="External"/><Relationship Id="rId249" Type="http://schemas.openxmlformats.org/officeDocument/2006/relationships/hyperlink" Target="https://your-domain.com/partner/profile/new" TargetMode="External"/><Relationship Id="rId13" Type="http://schemas.openxmlformats.org/officeDocument/2006/relationships/hyperlink" Target="https://your-domain.com/subscription" TargetMode="External"/><Relationship Id="rId109" Type="http://schemas.openxmlformats.org/officeDocument/2006/relationships/hyperlink" Target="https://your-domain.com/admin/subscriptions/%5bid%5d" TargetMode="External"/><Relationship Id="rId260" Type="http://schemas.openxmlformats.org/officeDocument/2006/relationships/hyperlink" Target="https://your-domain.com/profile?tab=referral/%5bid%5d" TargetMode="External"/><Relationship Id="rId316" Type="http://schemas.openxmlformats.org/officeDocument/2006/relationships/hyperlink" Target="https://your-domain.com/admin/payouts/%5bid%5d" TargetMode="External"/><Relationship Id="rId55" Type="http://schemas.openxmlformats.org/officeDocument/2006/relationships/hyperlink" Target="https://your-domain.com/partner/orders/%5bid%5d/edit" TargetMode="External"/><Relationship Id="rId97" Type="http://schemas.openxmlformats.org/officeDocument/2006/relationships/hyperlink" Target="https://your-domain.com/admin/restaurants" TargetMode="External"/><Relationship Id="rId120" Type="http://schemas.openxmlformats.org/officeDocument/2006/relationships/hyperlink" Target="https://your-domain.com/" TargetMode="External"/><Relationship Id="rId162" Type="http://schemas.openxmlformats.org/officeDocument/2006/relationships/hyperlink" Target="https://your-domain.com/" TargetMode="External"/><Relationship Id="rId218" Type="http://schemas.openxmlformats.org/officeDocument/2006/relationships/hyperlink" Target="https://your-domain.com/partner/dashboard/%5bid%5d" TargetMode="External"/><Relationship Id="rId271" Type="http://schemas.openxmlformats.org/officeDocument/2006/relationships/hyperlink" Target="https://your-domain.com/orders" TargetMode="External"/><Relationship Id="rId24" Type="http://schemas.openxmlformats.org/officeDocument/2006/relationships/hyperlink" Target="https://your-domain.com/meals?q=%5bsearch-term%5d" TargetMode="External"/><Relationship Id="rId66" Type="http://schemas.openxmlformats.org/officeDocument/2006/relationships/hyperlink" Target="https://your-domain.com/partner/payouts/%5bid%5d" TargetMode="External"/><Relationship Id="rId131" Type="http://schemas.openxmlformats.org/officeDocument/2006/relationships/hyperlink" Target="https://your-domain.com/admin/settings" TargetMode="External"/><Relationship Id="rId327" Type="http://schemas.openxmlformats.org/officeDocument/2006/relationships/hyperlink" Target="https://your-domain.com/admin/analytics/%5bid%5d" TargetMode="External"/><Relationship Id="rId173" Type="http://schemas.openxmlformats.org/officeDocument/2006/relationships/hyperlink" Target="https://your-domain.com/partner/dashboard" TargetMode="External"/><Relationship Id="rId229" Type="http://schemas.openxmlformats.org/officeDocument/2006/relationships/hyperlink" Target="https://your-domain.com/partner/menu" TargetMode="External"/><Relationship Id="rId240" Type="http://schemas.openxmlformats.org/officeDocument/2006/relationships/hyperlink" Target="https://your-domain.com/partner/payouts" TargetMode="External"/><Relationship Id="rId35" Type="http://schemas.openxmlformats.org/officeDocument/2006/relationships/hyperlink" Target="https://your-domain.com/orders" TargetMode="External"/><Relationship Id="rId77" Type="http://schemas.openxmlformats.org/officeDocument/2006/relationships/hyperlink" Target="https://your-domain.com/admin/auth" TargetMode="External"/><Relationship Id="rId100" Type="http://schemas.openxmlformats.org/officeDocument/2006/relationships/hyperlink" Target="https://your-domain.com/admin/restaurants" TargetMode="External"/><Relationship Id="rId282" Type="http://schemas.openxmlformats.org/officeDocument/2006/relationships/hyperlink" Target="https://your-domain.com/profile/new" TargetMode="External"/><Relationship Id="rId338" Type="http://schemas.openxmlformats.org/officeDocument/2006/relationships/hyperlink" Target="https://your-domai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workbookViewId="0">
      <selection sqref="A1:F1"/>
    </sheetView>
  </sheetViews>
  <sheetFormatPr defaultRowHeight="15" x14ac:dyDescent="0.25"/>
  <cols>
    <col min="1" max="1" width="30" customWidth="1"/>
    <col min="2" max="2" width="20" customWidth="1"/>
    <col min="3" max="3" width="15" customWidth="1"/>
    <col min="4" max="4" width="30" customWidth="1"/>
  </cols>
  <sheetData>
    <row r="1" spans="1:6" ht="21" customHeight="1" x14ac:dyDescent="0.25">
      <c r="A1" s="29" t="s">
        <v>0</v>
      </c>
      <c r="B1" s="30"/>
      <c r="C1" s="30"/>
      <c r="D1" s="30"/>
      <c r="E1" s="30"/>
      <c r="F1" s="30"/>
    </row>
    <row r="3" spans="1:6" ht="18.75" customHeight="1" x14ac:dyDescent="0.3">
      <c r="A3" s="1" t="s">
        <v>1</v>
      </c>
    </row>
    <row r="4" spans="1:6" x14ac:dyDescent="0.25">
      <c r="A4" t="s">
        <v>2</v>
      </c>
      <c r="B4">
        <f>COUNTA('Test Cases'!A:A)-1</f>
        <v>352</v>
      </c>
    </row>
    <row r="5" spans="1:6" x14ac:dyDescent="0.25">
      <c r="A5" t="s">
        <v>3</v>
      </c>
      <c r="B5">
        <f>COUNTIF('Test Cases'!A:A,"*Customer*")</f>
        <v>0</v>
      </c>
    </row>
    <row r="6" spans="1:6" x14ac:dyDescent="0.25">
      <c r="A6" t="s">
        <v>4</v>
      </c>
      <c r="B6">
        <f>COUNTIF('Test Cases'!A:A,"*Partner*")</f>
        <v>0</v>
      </c>
    </row>
    <row r="7" spans="1:6" x14ac:dyDescent="0.25">
      <c r="A7" t="s">
        <v>5</v>
      </c>
      <c r="B7">
        <f>COUNTIF('Test Cases'!A:A,"*Admin*")</f>
        <v>0</v>
      </c>
    </row>
    <row r="8" spans="1:6" x14ac:dyDescent="0.25">
      <c r="A8" t="s">
        <v>6</v>
      </c>
      <c r="B8">
        <f>COUNTIF('Test Cases'!A:A,"*Driver*")</f>
        <v>0</v>
      </c>
    </row>
    <row r="10" spans="1:6" x14ac:dyDescent="0.25">
      <c r="A10" t="s">
        <v>7</v>
      </c>
      <c r="B10">
        <f>COUNTIF('Test Cases'!F:F,"PASS")</f>
        <v>0</v>
      </c>
    </row>
    <row r="11" spans="1:6" x14ac:dyDescent="0.25">
      <c r="A11" t="s">
        <v>8</v>
      </c>
      <c r="B11">
        <f>COUNTIF('Test Cases'!F:F,"FAIL")</f>
        <v>0</v>
      </c>
    </row>
    <row r="12" spans="1:6" x14ac:dyDescent="0.25">
      <c r="A12" t="s">
        <v>9</v>
      </c>
      <c r="B12">
        <f>COUNTIF('Test Cases'!F:F,"PENDING")</f>
        <v>0</v>
      </c>
    </row>
    <row r="13" spans="1:6" x14ac:dyDescent="0.25">
      <c r="A13" t="s">
        <v>10</v>
      </c>
      <c r="B13">
        <f>COUNTIF('Test Cases'!F:F,"BLOCKED")</f>
        <v>0</v>
      </c>
    </row>
    <row r="15" spans="1:6" x14ac:dyDescent="0.25">
      <c r="A15" t="s">
        <v>11</v>
      </c>
      <c r="B15" s="2">
        <f>IF(COUNTA('Test Cases'!F:F)&gt;1,COUNTIF('Test Cases'!F:F,"PASS")/(COUNTA('Test Cases'!F:F)-1),0)</f>
        <v>0</v>
      </c>
    </row>
    <row r="17" spans="1:4" ht="18.75" customHeight="1" x14ac:dyDescent="0.3">
      <c r="A17" s="1" t="s">
        <v>12</v>
      </c>
    </row>
    <row r="18" spans="1:4" x14ac:dyDescent="0.25">
      <c r="A18" t="s">
        <v>13</v>
      </c>
      <c r="B18" t="s">
        <v>14</v>
      </c>
    </row>
    <row r="19" spans="1:4" x14ac:dyDescent="0.25">
      <c r="A19" t="s">
        <v>15</v>
      </c>
    </row>
    <row r="20" spans="1:4" x14ac:dyDescent="0.25">
      <c r="A20" t="s">
        <v>16</v>
      </c>
    </row>
    <row r="21" spans="1:4" x14ac:dyDescent="0.25">
      <c r="A21" t="s">
        <v>17</v>
      </c>
    </row>
    <row r="22" spans="1:4" x14ac:dyDescent="0.25">
      <c r="A22" t="s">
        <v>18</v>
      </c>
    </row>
    <row r="23" spans="1:4" x14ac:dyDescent="0.25">
      <c r="A23" t="s">
        <v>19</v>
      </c>
    </row>
    <row r="26" spans="1:4" ht="15.75" x14ac:dyDescent="0.25">
      <c r="A26" s="13" t="s">
        <v>20</v>
      </c>
    </row>
    <row r="27" spans="1:4" x14ac:dyDescent="0.25">
      <c r="A27" s="14" t="s">
        <v>21</v>
      </c>
      <c r="B27" s="14" t="s">
        <v>22</v>
      </c>
      <c r="C27" s="14" t="s">
        <v>23</v>
      </c>
      <c r="D27" s="14" t="s">
        <v>19</v>
      </c>
    </row>
    <row r="28" spans="1:4" x14ac:dyDescent="0.25">
      <c r="A28" s="15" t="s">
        <v>24</v>
      </c>
      <c r="B28" s="15" t="s">
        <v>25</v>
      </c>
      <c r="C28" s="15" t="s">
        <v>26</v>
      </c>
      <c r="D28" s="15" t="s">
        <v>27</v>
      </c>
    </row>
    <row r="29" spans="1:4" x14ac:dyDescent="0.25">
      <c r="A29" s="15" t="s">
        <v>28</v>
      </c>
      <c r="B29" s="15" t="s">
        <v>29</v>
      </c>
      <c r="C29" s="15" t="s">
        <v>30</v>
      </c>
      <c r="D29" s="15" t="s">
        <v>31</v>
      </c>
    </row>
    <row r="30" spans="1:4" ht="18.75" customHeight="1" x14ac:dyDescent="0.3">
      <c r="A30" s="16" t="s">
        <v>32</v>
      </c>
      <c r="B30" s="15" t="s">
        <v>33</v>
      </c>
      <c r="C30" s="15" t="s">
        <v>30</v>
      </c>
      <c r="D30" s="15" t="s">
        <v>34</v>
      </c>
    </row>
    <row r="31" spans="1:4" x14ac:dyDescent="0.25">
      <c r="A31" s="17" t="s">
        <v>35</v>
      </c>
      <c r="B31" s="17" t="s">
        <v>36</v>
      </c>
      <c r="C31" s="17" t="s">
        <v>37</v>
      </c>
      <c r="D31" s="15" t="s">
        <v>38</v>
      </c>
    </row>
    <row r="32" spans="1:4" x14ac:dyDescent="0.25">
      <c r="A32" s="15" t="s">
        <v>39</v>
      </c>
      <c r="B32" s="15" t="s">
        <v>40</v>
      </c>
      <c r="C32" s="15" t="s">
        <v>37</v>
      </c>
      <c r="D32" s="15" t="s">
        <v>41</v>
      </c>
    </row>
    <row r="33" spans="1:3" x14ac:dyDescent="0.25">
      <c r="A33" s="9" t="s">
        <v>35</v>
      </c>
      <c r="B33" s="9">
        <v>124</v>
      </c>
      <c r="C33" s="9" t="s">
        <v>42</v>
      </c>
    </row>
    <row r="34" spans="1:3" x14ac:dyDescent="0.25">
      <c r="A34" s="9" t="s">
        <v>28</v>
      </c>
      <c r="B34" s="9">
        <v>81</v>
      </c>
      <c r="C34" s="9" t="s">
        <v>43</v>
      </c>
    </row>
    <row r="35" spans="1:3" x14ac:dyDescent="0.25">
      <c r="A35" s="9" t="s">
        <v>24</v>
      </c>
      <c r="B35" s="9">
        <v>44</v>
      </c>
      <c r="C35" s="9" t="s">
        <v>44</v>
      </c>
    </row>
    <row r="36" spans="1:3" x14ac:dyDescent="0.25">
      <c r="A36" s="9" t="s">
        <v>45</v>
      </c>
      <c r="B36" s="9">
        <v>28</v>
      </c>
      <c r="C36" s="9" t="s">
        <v>46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4"/>
  <sheetViews>
    <sheetView workbookViewId="0">
      <pane ySplit="1" topLeftCell="A2" activePane="bottomLeft" state="frozen"/>
      <selection pane="bottomLeft" activeCell="I6" sqref="I6"/>
    </sheetView>
  </sheetViews>
  <sheetFormatPr defaultRowHeight="15" x14ac:dyDescent="0.25"/>
  <cols>
    <col min="1" max="1" width="10" customWidth="1"/>
    <col min="2" max="2" width="12" customWidth="1"/>
    <col min="3" max="3" width="16" customWidth="1"/>
    <col min="4" max="4" width="22" customWidth="1"/>
    <col min="5" max="5" width="35" customWidth="1"/>
    <col min="6" max="6" width="50" customWidth="1"/>
    <col min="7" max="7" width="40" customWidth="1"/>
    <col min="8" max="8" width="45" customWidth="1"/>
    <col min="9" max="9" width="10" customWidth="1"/>
    <col min="10" max="10" width="15" customWidth="1"/>
    <col min="11" max="11" width="20" customWidth="1"/>
    <col min="12" max="13" width="12" customWidth="1"/>
  </cols>
  <sheetData>
    <row r="1" spans="1:13" ht="30" customHeight="1" x14ac:dyDescent="0.25">
      <c r="A1" s="18" t="s">
        <v>47</v>
      </c>
      <c r="B1" s="18" t="s">
        <v>48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53</v>
      </c>
      <c r="H1" s="18" t="s">
        <v>54</v>
      </c>
      <c r="I1" s="18" t="s">
        <v>55</v>
      </c>
      <c r="J1" s="18" t="s">
        <v>56</v>
      </c>
      <c r="K1" s="18" t="s">
        <v>19</v>
      </c>
      <c r="L1" s="18" t="s">
        <v>57</v>
      </c>
      <c r="M1" s="18" t="s">
        <v>58</v>
      </c>
    </row>
    <row r="2" spans="1:13" ht="51" x14ac:dyDescent="0.25">
      <c r="A2" s="19" t="s">
        <v>59</v>
      </c>
      <c r="B2" s="20" t="s">
        <v>35</v>
      </c>
      <c r="C2" s="20" t="s">
        <v>60</v>
      </c>
      <c r="D2" s="20" t="s">
        <v>61</v>
      </c>
      <c r="E2" s="20" t="s">
        <v>62</v>
      </c>
      <c r="F2" s="20" t="s">
        <v>63</v>
      </c>
      <c r="G2" s="20" t="s">
        <v>64</v>
      </c>
      <c r="H2" s="20" t="s">
        <v>65</v>
      </c>
      <c r="I2" s="21" t="s">
        <v>66</v>
      </c>
      <c r="J2" s="20"/>
      <c r="K2" s="20"/>
      <c r="L2" s="22" t="s">
        <v>67</v>
      </c>
      <c r="M2" s="19"/>
    </row>
    <row r="3" spans="1:13" ht="25.5" x14ac:dyDescent="0.25">
      <c r="A3" s="23" t="s">
        <v>68</v>
      </c>
      <c r="B3" s="24" t="s">
        <v>35</v>
      </c>
      <c r="C3" s="24" t="s">
        <v>60</v>
      </c>
      <c r="D3" s="24" t="s">
        <v>69</v>
      </c>
      <c r="E3" s="24" t="s">
        <v>70</v>
      </c>
      <c r="F3" s="24" t="s">
        <v>71</v>
      </c>
      <c r="G3" s="24" t="s">
        <v>64</v>
      </c>
      <c r="H3" s="24" t="s">
        <v>72</v>
      </c>
      <c r="I3" s="21" t="s">
        <v>66</v>
      </c>
      <c r="J3" s="24"/>
      <c r="K3" s="24"/>
      <c r="L3" s="22" t="s">
        <v>67</v>
      </c>
      <c r="M3" s="23"/>
    </row>
    <row r="4" spans="1:13" ht="25.5" x14ac:dyDescent="0.25">
      <c r="A4" s="19" t="s">
        <v>73</v>
      </c>
      <c r="B4" s="20" t="s">
        <v>35</v>
      </c>
      <c r="C4" s="20" t="s">
        <v>60</v>
      </c>
      <c r="D4" s="20" t="s">
        <v>74</v>
      </c>
      <c r="E4" s="20" t="s">
        <v>75</v>
      </c>
      <c r="F4" s="20" t="s">
        <v>76</v>
      </c>
      <c r="G4" s="20" t="s">
        <v>64</v>
      </c>
      <c r="H4" s="20" t="s">
        <v>77</v>
      </c>
      <c r="I4" s="21" t="s">
        <v>66</v>
      </c>
      <c r="J4" s="20"/>
      <c r="K4" s="20"/>
      <c r="L4" s="22" t="s">
        <v>67</v>
      </c>
      <c r="M4" s="19"/>
    </row>
    <row r="5" spans="1:13" ht="25.5" x14ac:dyDescent="0.25">
      <c r="A5" s="23" t="s">
        <v>78</v>
      </c>
      <c r="B5" s="24" t="s">
        <v>35</v>
      </c>
      <c r="C5" s="24" t="s">
        <v>79</v>
      </c>
      <c r="D5" s="24" t="s">
        <v>80</v>
      </c>
      <c r="E5" s="24" t="s">
        <v>81</v>
      </c>
      <c r="F5" s="24" t="s">
        <v>82</v>
      </c>
      <c r="G5" s="24" t="s">
        <v>83</v>
      </c>
      <c r="H5" s="24" t="s">
        <v>84</v>
      </c>
      <c r="I5" s="21" t="s">
        <v>66</v>
      </c>
      <c r="J5" s="24"/>
      <c r="K5" s="24"/>
      <c r="L5" s="22" t="s">
        <v>67</v>
      </c>
      <c r="M5" s="23"/>
    </row>
    <row r="6" spans="1:13" ht="25.5" x14ac:dyDescent="0.25">
      <c r="A6" s="19" t="s">
        <v>85</v>
      </c>
      <c r="B6" s="20" t="s">
        <v>35</v>
      </c>
      <c r="C6" s="20" t="s">
        <v>79</v>
      </c>
      <c r="D6" s="20" t="s">
        <v>86</v>
      </c>
      <c r="E6" s="20" t="s">
        <v>87</v>
      </c>
      <c r="F6" s="20" t="s">
        <v>88</v>
      </c>
      <c r="G6" s="20" t="s">
        <v>83</v>
      </c>
      <c r="H6" s="20" t="s">
        <v>89</v>
      </c>
      <c r="I6" s="19"/>
      <c r="J6" s="20"/>
      <c r="K6" s="20"/>
      <c r="L6" s="22" t="s">
        <v>67</v>
      </c>
      <c r="M6" s="19"/>
    </row>
    <row r="7" spans="1:13" ht="38.25" x14ac:dyDescent="0.25">
      <c r="A7" s="23" t="s">
        <v>90</v>
      </c>
      <c r="B7" s="24" t="s">
        <v>35</v>
      </c>
      <c r="C7" s="24" t="s">
        <v>79</v>
      </c>
      <c r="D7" s="24" t="s">
        <v>91</v>
      </c>
      <c r="E7" s="24" t="s">
        <v>92</v>
      </c>
      <c r="F7" s="24" t="s">
        <v>93</v>
      </c>
      <c r="G7" s="24" t="s">
        <v>83</v>
      </c>
      <c r="H7" s="24" t="s">
        <v>94</v>
      </c>
      <c r="I7" s="23"/>
      <c r="J7" s="24"/>
      <c r="K7" s="24"/>
      <c r="L7" s="25" t="s">
        <v>95</v>
      </c>
      <c r="M7" s="23"/>
    </row>
    <row r="8" spans="1:13" ht="25.5" x14ac:dyDescent="0.25">
      <c r="A8" s="19" t="s">
        <v>96</v>
      </c>
      <c r="B8" s="20" t="s">
        <v>35</v>
      </c>
      <c r="C8" s="20" t="s">
        <v>97</v>
      </c>
      <c r="D8" s="20" t="s">
        <v>98</v>
      </c>
      <c r="E8" s="20" t="s">
        <v>99</v>
      </c>
      <c r="F8" s="20" t="s">
        <v>100</v>
      </c>
      <c r="G8" s="20" t="s">
        <v>101</v>
      </c>
      <c r="H8" s="20" t="s">
        <v>102</v>
      </c>
      <c r="I8" s="19"/>
      <c r="J8" s="20"/>
      <c r="K8" s="20"/>
      <c r="L8" s="26" t="s">
        <v>103</v>
      </c>
      <c r="M8" s="19"/>
    </row>
    <row r="9" spans="1:13" ht="25.5" x14ac:dyDescent="0.25">
      <c r="A9" s="23" t="s">
        <v>104</v>
      </c>
      <c r="B9" s="24" t="s">
        <v>35</v>
      </c>
      <c r="C9" s="24" t="s">
        <v>97</v>
      </c>
      <c r="D9" s="24" t="s">
        <v>105</v>
      </c>
      <c r="E9" s="24" t="s">
        <v>106</v>
      </c>
      <c r="F9" s="24" t="s">
        <v>107</v>
      </c>
      <c r="G9" s="24" t="s">
        <v>101</v>
      </c>
      <c r="H9" s="24" t="s">
        <v>108</v>
      </c>
      <c r="I9" s="23"/>
      <c r="J9" s="24"/>
      <c r="K9" s="24"/>
      <c r="L9" s="22" t="s">
        <v>67</v>
      </c>
      <c r="M9" s="23"/>
    </row>
    <row r="10" spans="1:13" ht="38.25" x14ac:dyDescent="0.25">
      <c r="A10" s="19" t="s">
        <v>109</v>
      </c>
      <c r="B10" s="20" t="s">
        <v>35</v>
      </c>
      <c r="C10" s="20" t="s">
        <v>97</v>
      </c>
      <c r="D10" s="20" t="s">
        <v>110</v>
      </c>
      <c r="E10" s="20" t="s">
        <v>111</v>
      </c>
      <c r="F10" s="20" t="s">
        <v>112</v>
      </c>
      <c r="G10" s="20" t="s">
        <v>113</v>
      </c>
      <c r="H10" s="20" t="s">
        <v>114</v>
      </c>
      <c r="I10" s="19"/>
      <c r="J10" s="20"/>
      <c r="K10" s="20"/>
      <c r="L10" s="26" t="s">
        <v>103</v>
      </c>
      <c r="M10" s="19"/>
    </row>
    <row r="11" spans="1:13" ht="38.25" x14ac:dyDescent="0.25">
      <c r="A11" s="23" t="s">
        <v>115</v>
      </c>
      <c r="B11" s="24" t="s">
        <v>35</v>
      </c>
      <c r="C11" s="24" t="s">
        <v>97</v>
      </c>
      <c r="D11" s="24" t="s">
        <v>116</v>
      </c>
      <c r="E11" s="24" t="s">
        <v>117</v>
      </c>
      <c r="F11" s="24" t="s">
        <v>118</v>
      </c>
      <c r="G11" s="24" t="s">
        <v>119</v>
      </c>
      <c r="H11" s="24" t="s">
        <v>120</v>
      </c>
      <c r="I11" s="23"/>
      <c r="J11" s="24"/>
      <c r="K11" s="24"/>
      <c r="L11" s="26" t="s">
        <v>103</v>
      </c>
      <c r="M11" s="23"/>
    </row>
    <row r="12" spans="1:13" ht="25.5" x14ac:dyDescent="0.25">
      <c r="A12" s="19" t="s">
        <v>121</v>
      </c>
      <c r="B12" s="20" t="s">
        <v>35</v>
      </c>
      <c r="C12" s="20" t="s">
        <v>97</v>
      </c>
      <c r="D12" s="20" t="s">
        <v>122</v>
      </c>
      <c r="E12" s="20" t="s">
        <v>123</v>
      </c>
      <c r="F12" s="20" t="s">
        <v>124</v>
      </c>
      <c r="G12" s="20" t="s">
        <v>101</v>
      </c>
      <c r="H12" s="20" t="s">
        <v>125</v>
      </c>
      <c r="I12" s="19"/>
      <c r="J12" s="20"/>
      <c r="K12" s="20"/>
      <c r="L12" s="22" t="s">
        <v>67</v>
      </c>
      <c r="M12" s="19"/>
    </row>
    <row r="13" spans="1:13" ht="25.5" x14ac:dyDescent="0.25">
      <c r="A13" s="23" t="s">
        <v>126</v>
      </c>
      <c r="B13" s="24" t="s">
        <v>35</v>
      </c>
      <c r="C13" s="24" t="s">
        <v>97</v>
      </c>
      <c r="D13" s="24" t="s">
        <v>127</v>
      </c>
      <c r="E13" s="24" t="s">
        <v>128</v>
      </c>
      <c r="F13" s="24" t="s">
        <v>129</v>
      </c>
      <c r="G13" s="24" t="s">
        <v>113</v>
      </c>
      <c r="H13" s="24" t="s">
        <v>130</v>
      </c>
      <c r="I13" s="23"/>
      <c r="J13" s="24"/>
      <c r="K13" s="24"/>
      <c r="L13" s="27" t="s">
        <v>131</v>
      </c>
      <c r="M13" s="23"/>
    </row>
    <row r="14" spans="1:13" ht="25.5" x14ac:dyDescent="0.25">
      <c r="A14" s="19" t="s">
        <v>132</v>
      </c>
      <c r="B14" s="20" t="s">
        <v>35</v>
      </c>
      <c r="C14" s="20" t="s">
        <v>133</v>
      </c>
      <c r="D14" s="20" t="s">
        <v>134</v>
      </c>
      <c r="E14" s="20" t="s">
        <v>135</v>
      </c>
      <c r="F14" s="20" t="s">
        <v>136</v>
      </c>
      <c r="G14" s="20" t="s">
        <v>137</v>
      </c>
      <c r="H14" s="20" t="s">
        <v>138</v>
      </c>
      <c r="I14" s="19"/>
      <c r="J14" s="20"/>
      <c r="K14" s="20"/>
      <c r="L14" s="22" t="s">
        <v>67</v>
      </c>
      <c r="M14" s="19"/>
    </row>
    <row r="15" spans="1:13" ht="38.25" x14ac:dyDescent="0.25">
      <c r="A15" s="23" t="s">
        <v>139</v>
      </c>
      <c r="B15" s="24" t="s">
        <v>35</v>
      </c>
      <c r="C15" s="24" t="s">
        <v>133</v>
      </c>
      <c r="D15" s="24" t="s">
        <v>140</v>
      </c>
      <c r="E15" s="24" t="s">
        <v>141</v>
      </c>
      <c r="F15" s="24" t="s">
        <v>142</v>
      </c>
      <c r="G15" s="24" t="s">
        <v>143</v>
      </c>
      <c r="H15" s="24" t="s">
        <v>144</v>
      </c>
      <c r="I15" s="23"/>
      <c r="J15" s="24"/>
      <c r="K15" s="24"/>
      <c r="L15" s="22" t="s">
        <v>67</v>
      </c>
      <c r="M15" s="23"/>
    </row>
    <row r="16" spans="1:13" ht="51" x14ac:dyDescent="0.25">
      <c r="A16" s="19" t="s">
        <v>145</v>
      </c>
      <c r="B16" s="20" t="s">
        <v>35</v>
      </c>
      <c r="C16" s="20" t="s">
        <v>133</v>
      </c>
      <c r="D16" s="20" t="s">
        <v>146</v>
      </c>
      <c r="E16" s="20" t="s">
        <v>147</v>
      </c>
      <c r="F16" s="20" t="s">
        <v>148</v>
      </c>
      <c r="G16" s="20" t="s">
        <v>149</v>
      </c>
      <c r="H16" s="20" t="s">
        <v>150</v>
      </c>
      <c r="I16" s="19"/>
      <c r="J16" s="20"/>
      <c r="K16" s="20"/>
      <c r="L16" s="22" t="s">
        <v>67</v>
      </c>
      <c r="M16" s="19"/>
    </row>
    <row r="17" spans="1:13" ht="38.25" x14ac:dyDescent="0.25">
      <c r="A17" s="23" t="s">
        <v>151</v>
      </c>
      <c r="B17" s="24" t="s">
        <v>35</v>
      </c>
      <c r="C17" s="24" t="s">
        <v>133</v>
      </c>
      <c r="D17" s="24" t="s">
        <v>152</v>
      </c>
      <c r="E17" s="24" t="s">
        <v>153</v>
      </c>
      <c r="F17" s="24" t="s">
        <v>154</v>
      </c>
      <c r="G17" s="24" t="s">
        <v>155</v>
      </c>
      <c r="H17" s="24" t="s">
        <v>156</v>
      </c>
      <c r="I17" s="23"/>
      <c r="J17" s="24"/>
      <c r="K17" s="24"/>
      <c r="L17" s="25" t="s">
        <v>95</v>
      </c>
      <c r="M17" s="23"/>
    </row>
    <row r="18" spans="1:13" ht="38.25" x14ac:dyDescent="0.25">
      <c r="A18" s="19" t="s">
        <v>157</v>
      </c>
      <c r="B18" s="20" t="s">
        <v>35</v>
      </c>
      <c r="C18" s="20" t="s">
        <v>133</v>
      </c>
      <c r="D18" s="20" t="s">
        <v>158</v>
      </c>
      <c r="E18" s="20" t="s">
        <v>159</v>
      </c>
      <c r="F18" s="20" t="s">
        <v>160</v>
      </c>
      <c r="G18" s="20" t="s">
        <v>155</v>
      </c>
      <c r="H18" s="20" t="s">
        <v>161</v>
      </c>
      <c r="I18" s="19"/>
      <c r="J18" s="20"/>
      <c r="K18" s="20"/>
      <c r="L18" s="22" t="s">
        <v>67</v>
      </c>
      <c r="M18" s="19"/>
    </row>
    <row r="19" spans="1:13" ht="51" x14ac:dyDescent="0.25">
      <c r="A19" s="23" t="s">
        <v>162</v>
      </c>
      <c r="B19" s="24" t="s">
        <v>35</v>
      </c>
      <c r="C19" s="24" t="s">
        <v>133</v>
      </c>
      <c r="D19" s="24" t="s">
        <v>163</v>
      </c>
      <c r="E19" s="24" t="s">
        <v>164</v>
      </c>
      <c r="F19" s="24" t="s">
        <v>165</v>
      </c>
      <c r="G19" s="24" t="s">
        <v>155</v>
      </c>
      <c r="H19" s="24" t="s">
        <v>166</v>
      </c>
      <c r="I19" s="23"/>
      <c r="J19" s="24"/>
      <c r="K19" s="24"/>
      <c r="L19" s="25" t="s">
        <v>95</v>
      </c>
      <c r="M19" s="23"/>
    </row>
    <row r="20" spans="1:13" ht="38.25" x14ac:dyDescent="0.25">
      <c r="A20" s="19" t="s">
        <v>167</v>
      </c>
      <c r="B20" s="20" t="s">
        <v>35</v>
      </c>
      <c r="C20" s="20" t="s">
        <v>133</v>
      </c>
      <c r="D20" s="20" t="s">
        <v>168</v>
      </c>
      <c r="E20" s="20" t="s">
        <v>169</v>
      </c>
      <c r="F20" s="20" t="s">
        <v>170</v>
      </c>
      <c r="G20" s="20" t="s">
        <v>143</v>
      </c>
      <c r="H20" s="20" t="s">
        <v>171</v>
      </c>
      <c r="I20" s="19"/>
      <c r="J20" s="20"/>
      <c r="K20" s="20"/>
      <c r="L20" s="25" t="s">
        <v>95</v>
      </c>
      <c r="M20" s="19"/>
    </row>
    <row r="21" spans="1:13" ht="25.5" x14ac:dyDescent="0.25">
      <c r="A21" s="23" t="s">
        <v>172</v>
      </c>
      <c r="B21" s="24" t="s">
        <v>35</v>
      </c>
      <c r="C21" s="24" t="s">
        <v>173</v>
      </c>
      <c r="D21" s="24" t="s">
        <v>174</v>
      </c>
      <c r="E21" s="24" t="s">
        <v>175</v>
      </c>
      <c r="F21" s="24" t="s">
        <v>176</v>
      </c>
      <c r="G21" s="24" t="s">
        <v>177</v>
      </c>
      <c r="H21" s="24" t="s">
        <v>178</v>
      </c>
      <c r="I21" s="23"/>
      <c r="J21" s="24"/>
      <c r="K21" s="24"/>
      <c r="L21" s="22" t="s">
        <v>67</v>
      </c>
      <c r="M21" s="23"/>
    </row>
    <row r="22" spans="1:13" ht="25.5" x14ac:dyDescent="0.25">
      <c r="A22" s="19" t="s">
        <v>179</v>
      </c>
      <c r="B22" s="20" t="s">
        <v>35</v>
      </c>
      <c r="C22" s="20" t="s">
        <v>173</v>
      </c>
      <c r="D22" s="20" t="s">
        <v>180</v>
      </c>
      <c r="E22" s="20" t="s">
        <v>180</v>
      </c>
      <c r="F22" s="20" t="s">
        <v>181</v>
      </c>
      <c r="G22" s="20" t="s">
        <v>177</v>
      </c>
      <c r="H22" s="20" t="s">
        <v>182</v>
      </c>
      <c r="I22" s="19"/>
      <c r="J22" s="20"/>
      <c r="K22" s="20"/>
      <c r="L22" s="22" t="s">
        <v>67</v>
      </c>
      <c r="M22" s="19"/>
    </row>
    <row r="23" spans="1:13" ht="25.5" x14ac:dyDescent="0.25">
      <c r="A23" s="23" t="s">
        <v>183</v>
      </c>
      <c r="B23" s="24" t="s">
        <v>35</v>
      </c>
      <c r="C23" s="24" t="s">
        <v>173</v>
      </c>
      <c r="D23" s="24" t="s">
        <v>184</v>
      </c>
      <c r="E23" s="24" t="s">
        <v>185</v>
      </c>
      <c r="F23" s="24" t="s">
        <v>186</v>
      </c>
      <c r="G23" s="24" t="s">
        <v>177</v>
      </c>
      <c r="H23" s="24" t="s">
        <v>187</v>
      </c>
      <c r="I23" s="23"/>
      <c r="J23" s="24"/>
      <c r="K23" s="24"/>
      <c r="L23" s="25" t="s">
        <v>95</v>
      </c>
      <c r="M23" s="23"/>
    </row>
    <row r="24" spans="1:13" ht="25.5" x14ac:dyDescent="0.25">
      <c r="A24" s="19" t="s">
        <v>188</v>
      </c>
      <c r="B24" s="20" t="s">
        <v>35</v>
      </c>
      <c r="C24" s="20" t="s">
        <v>173</v>
      </c>
      <c r="D24" s="20" t="s">
        <v>86</v>
      </c>
      <c r="E24" s="20" t="s">
        <v>189</v>
      </c>
      <c r="F24" s="20" t="s">
        <v>190</v>
      </c>
      <c r="G24" s="20" t="s">
        <v>177</v>
      </c>
      <c r="H24" s="20" t="s">
        <v>191</v>
      </c>
      <c r="I24" s="19"/>
      <c r="J24" s="20"/>
      <c r="K24" s="20"/>
      <c r="L24" s="25" t="s">
        <v>95</v>
      </c>
      <c r="M24" s="19"/>
    </row>
    <row r="25" spans="1:13" ht="25.5" x14ac:dyDescent="0.25">
      <c r="A25" s="23" t="s">
        <v>192</v>
      </c>
      <c r="B25" s="24" t="s">
        <v>35</v>
      </c>
      <c r="C25" s="24" t="s">
        <v>193</v>
      </c>
      <c r="D25" s="24" t="s">
        <v>194</v>
      </c>
      <c r="E25" s="24" t="s">
        <v>195</v>
      </c>
      <c r="F25" s="24" t="s">
        <v>196</v>
      </c>
      <c r="G25" s="24" t="s">
        <v>197</v>
      </c>
      <c r="H25" s="24" t="s">
        <v>198</v>
      </c>
      <c r="I25" s="23"/>
      <c r="J25" s="24"/>
      <c r="K25" s="24"/>
      <c r="L25" s="22" t="s">
        <v>67</v>
      </c>
      <c r="M25" s="23"/>
    </row>
    <row r="26" spans="1:13" ht="38.25" x14ac:dyDescent="0.25">
      <c r="A26" s="19" t="s">
        <v>199</v>
      </c>
      <c r="B26" s="20" t="s">
        <v>35</v>
      </c>
      <c r="C26" s="20" t="s">
        <v>193</v>
      </c>
      <c r="D26" s="20" t="s">
        <v>200</v>
      </c>
      <c r="E26" s="20" t="s">
        <v>201</v>
      </c>
      <c r="F26" s="20" t="s">
        <v>202</v>
      </c>
      <c r="G26" s="20" t="s">
        <v>203</v>
      </c>
      <c r="H26" s="20" t="s">
        <v>204</v>
      </c>
      <c r="I26" s="19"/>
      <c r="J26" s="20"/>
      <c r="K26" s="20"/>
      <c r="L26" s="25" t="s">
        <v>95</v>
      </c>
      <c r="M26" s="19"/>
    </row>
    <row r="27" spans="1:13" ht="38.25" x14ac:dyDescent="0.25">
      <c r="A27" s="23" t="s">
        <v>205</v>
      </c>
      <c r="B27" s="24" t="s">
        <v>35</v>
      </c>
      <c r="C27" s="24" t="s">
        <v>193</v>
      </c>
      <c r="D27" s="24" t="s">
        <v>206</v>
      </c>
      <c r="E27" s="24" t="s">
        <v>207</v>
      </c>
      <c r="F27" s="24" t="s">
        <v>208</v>
      </c>
      <c r="G27" s="24" t="s">
        <v>197</v>
      </c>
      <c r="H27" s="24" t="s">
        <v>209</v>
      </c>
      <c r="I27" s="23"/>
      <c r="J27" s="24"/>
      <c r="K27" s="24"/>
      <c r="L27" s="22" t="s">
        <v>67</v>
      </c>
      <c r="M27" s="23"/>
    </row>
    <row r="28" spans="1:13" ht="38.25" x14ac:dyDescent="0.25">
      <c r="A28" s="19" t="s">
        <v>210</v>
      </c>
      <c r="B28" s="20" t="s">
        <v>35</v>
      </c>
      <c r="C28" s="20" t="s">
        <v>193</v>
      </c>
      <c r="D28" s="20" t="s">
        <v>211</v>
      </c>
      <c r="E28" s="20" t="s">
        <v>212</v>
      </c>
      <c r="F28" s="20" t="s">
        <v>213</v>
      </c>
      <c r="G28" s="20" t="s">
        <v>214</v>
      </c>
      <c r="H28" s="20" t="s">
        <v>215</v>
      </c>
      <c r="I28" s="19"/>
      <c r="J28" s="20"/>
      <c r="K28" s="20"/>
      <c r="L28" s="22" t="s">
        <v>67</v>
      </c>
      <c r="M28" s="19"/>
    </row>
    <row r="29" spans="1:13" ht="38.25" x14ac:dyDescent="0.25">
      <c r="A29" s="23" t="s">
        <v>216</v>
      </c>
      <c r="B29" s="24" t="s">
        <v>35</v>
      </c>
      <c r="C29" s="24" t="s">
        <v>193</v>
      </c>
      <c r="D29" s="24" t="s">
        <v>217</v>
      </c>
      <c r="E29" s="24" t="s">
        <v>218</v>
      </c>
      <c r="F29" s="24" t="s">
        <v>219</v>
      </c>
      <c r="G29" s="24" t="s">
        <v>214</v>
      </c>
      <c r="H29" s="24" t="s">
        <v>220</v>
      </c>
      <c r="I29" s="23"/>
      <c r="J29" s="24"/>
      <c r="K29" s="24"/>
      <c r="L29" s="22" t="s">
        <v>67</v>
      </c>
      <c r="M29" s="23"/>
    </row>
    <row r="30" spans="1:13" ht="51" x14ac:dyDescent="0.25">
      <c r="A30" s="19" t="s">
        <v>221</v>
      </c>
      <c r="B30" s="20" t="s">
        <v>35</v>
      </c>
      <c r="C30" s="20" t="s">
        <v>193</v>
      </c>
      <c r="D30" s="20" t="s">
        <v>222</v>
      </c>
      <c r="E30" s="20" t="s">
        <v>223</v>
      </c>
      <c r="F30" s="20" t="s">
        <v>224</v>
      </c>
      <c r="G30" s="20" t="s">
        <v>203</v>
      </c>
      <c r="H30" s="20" t="s">
        <v>225</v>
      </c>
      <c r="I30" s="19"/>
      <c r="J30" s="20"/>
      <c r="K30" s="20"/>
      <c r="L30" s="27" t="s">
        <v>131</v>
      </c>
      <c r="M30" s="19"/>
    </row>
    <row r="31" spans="1:13" ht="38.25" x14ac:dyDescent="0.25">
      <c r="A31" s="23" t="s">
        <v>226</v>
      </c>
      <c r="B31" s="24" t="s">
        <v>35</v>
      </c>
      <c r="C31" s="24" t="s">
        <v>193</v>
      </c>
      <c r="D31" s="24" t="s">
        <v>227</v>
      </c>
      <c r="E31" s="24" t="s">
        <v>228</v>
      </c>
      <c r="F31" s="24" t="s">
        <v>229</v>
      </c>
      <c r="G31" s="24" t="s">
        <v>203</v>
      </c>
      <c r="H31" s="24" t="s">
        <v>230</v>
      </c>
      <c r="I31" s="23"/>
      <c r="J31" s="24"/>
      <c r="K31" s="24"/>
      <c r="L31" s="27" t="s">
        <v>131</v>
      </c>
      <c r="M31" s="23"/>
    </row>
    <row r="32" spans="1:13" ht="63.75" x14ac:dyDescent="0.25">
      <c r="A32" s="19" t="s">
        <v>231</v>
      </c>
      <c r="B32" s="20" t="s">
        <v>35</v>
      </c>
      <c r="C32" s="20" t="s">
        <v>60</v>
      </c>
      <c r="D32" s="20" t="s">
        <v>232</v>
      </c>
      <c r="E32" s="20" t="s">
        <v>233</v>
      </c>
      <c r="F32" s="20" t="s">
        <v>234</v>
      </c>
      <c r="G32" s="20" t="s">
        <v>64</v>
      </c>
      <c r="H32" s="20" t="s">
        <v>235</v>
      </c>
      <c r="I32" s="19"/>
      <c r="J32" s="20"/>
      <c r="K32" s="20"/>
      <c r="L32" s="22" t="s">
        <v>67</v>
      </c>
      <c r="M32" s="19"/>
    </row>
    <row r="33" spans="1:13" ht="63.75" x14ac:dyDescent="0.25">
      <c r="A33" s="23" t="s">
        <v>236</v>
      </c>
      <c r="B33" s="24" t="s">
        <v>35</v>
      </c>
      <c r="C33" s="24" t="s">
        <v>237</v>
      </c>
      <c r="D33" s="24" t="s">
        <v>238</v>
      </c>
      <c r="E33" s="24" t="s">
        <v>239</v>
      </c>
      <c r="F33" s="24" t="s">
        <v>240</v>
      </c>
      <c r="G33" s="24" t="s">
        <v>241</v>
      </c>
      <c r="H33" s="24" t="s">
        <v>242</v>
      </c>
      <c r="I33" s="23"/>
      <c r="J33" s="24"/>
      <c r="K33" s="24"/>
      <c r="L33" s="22" t="s">
        <v>67</v>
      </c>
      <c r="M33" s="23"/>
    </row>
    <row r="34" spans="1:13" ht="63.75" x14ac:dyDescent="0.25">
      <c r="A34" s="19" t="s">
        <v>243</v>
      </c>
      <c r="B34" s="20" t="s">
        <v>35</v>
      </c>
      <c r="C34" s="20" t="s">
        <v>237</v>
      </c>
      <c r="D34" s="20" t="s">
        <v>244</v>
      </c>
      <c r="E34" s="20" t="s">
        <v>245</v>
      </c>
      <c r="F34" s="20" t="s">
        <v>246</v>
      </c>
      <c r="G34" s="20" t="s">
        <v>241</v>
      </c>
      <c r="H34" s="20" t="s">
        <v>247</v>
      </c>
      <c r="I34" s="19"/>
      <c r="J34" s="20"/>
      <c r="K34" s="20"/>
      <c r="L34" s="22" t="s">
        <v>67</v>
      </c>
      <c r="M34" s="19"/>
    </row>
    <row r="35" spans="1:13" ht="51" x14ac:dyDescent="0.25">
      <c r="A35" s="23" t="s">
        <v>248</v>
      </c>
      <c r="B35" s="24" t="s">
        <v>35</v>
      </c>
      <c r="C35" s="24" t="s">
        <v>237</v>
      </c>
      <c r="D35" s="24" t="s">
        <v>249</v>
      </c>
      <c r="E35" s="24" t="s">
        <v>250</v>
      </c>
      <c r="F35" s="24" t="s">
        <v>251</v>
      </c>
      <c r="G35" s="24" t="s">
        <v>241</v>
      </c>
      <c r="H35" s="24" t="s">
        <v>252</v>
      </c>
      <c r="I35" s="23"/>
      <c r="J35" s="24"/>
      <c r="K35" s="24"/>
      <c r="L35" s="22" t="s">
        <v>67</v>
      </c>
      <c r="M35" s="23"/>
    </row>
    <row r="36" spans="1:13" ht="51" x14ac:dyDescent="0.25">
      <c r="A36" s="19" t="s">
        <v>253</v>
      </c>
      <c r="B36" s="20" t="s">
        <v>35</v>
      </c>
      <c r="C36" s="20" t="s">
        <v>237</v>
      </c>
      <c r="D36" s="20" t="s">
        <v>254</v>
      </c>
      <c r="E36" s="20" t="s">
        <v>255</v>
      </c>
      <c r="F36" s="20" t="s">
        <v>256</v>
      </c>
      <c r="G36" s="20" t="s">
        <v>257</v>
      </c>
      <c r="H36" s="20" t="s">
        <v>258</v>
      </c>
      <c r="I36" s="19"/>
      <c r="J36" s="20"/>
      <c r="K36" s="20"/>
      <c r="L36" s="26" t="s">
        <v>103</v>
      </c>
      <c r="M36" s="19"/>
    </row>
    <row r="37" spans="1:13" ht="51" x14ac:dyDescent="0.25">
      <c r="A37" s="23" t="s">
        <v>259</v>
      </c>
      <c r="B37" s="24" t="s">
        <v>35</v>
      </c>
      <c r="C37" s="24" t="s">
        <v>237</v>
      </c>
      <c r="D37" s="24" t="s">
        <v>260</v>
      </c>
      <c r="E37" s="24" t="s">
        <v>261</v>
      </c>
      <c r="F37" s="24" t="s">
        <v>262</v>
      </c>
      <c r="G37" s="24" t="s">
        <v>257</v>
      </c>
      <c r="H37" s="24" t="s">
        <v>263</v>
      </c>
      <c r="I37" s="23"/>
      <c r="J37" s="24"/>
      <c r="K37" s="24"/>
      <c r="L37" s="26" t="s">
        <v>103</v>
      </c>
      <c r="M37" s="23"/>
    </row>
    <row r="38" spans="1:13" ht="63.75" x14ac:dyDescent="0.25">
      <c r="A38" s="19" t="s">
        <v>264</v>
      </c>
      <c r="B38" s="20" t="s">
        <v>35</v>
      </c>
      <c r="C38" s="20" t="s">
        <v>237</v>
      </c>
      <c r="D38" s="20" t="s">
        <v>265</v>
      </c>
      <c r="E38" s="20" t="s">
        <v>266</v>
      </c>
      <c r="F38" s="20" t="s">
        <v>267</v>
      </c>
      <c r="G38" s="20" t="s">
        <v>241</v>
      </c>
      <c r="H38" s="20" t="s">
        <v>268</v>
      </c>
      <c r="I38" s="19"/>
      <c r="J38" s="20"/>
      <c r="K38" s="20"/>
      <c r="L38" s="25" t="s">
        <v>95</v>
      </c>
      <c r="M38" s="19"/>
    </row>
    <row r="39" spans="1:13" ht="51" x14ac:dyDescent="0.25">
      <c r="A39" s="23" t="s">
        <v>269</v>
      </c>
      <c r="B39" s="24" t="s">
        <v>35</v>
      </c>
      <c r="C39" s="24" t="s">
        <v>79</v>
      </c>
      <c r="D39" s="24" t="s">
        <v>270</v>
      </c>
      <c r="E39" s="24" t="s">
        <v>271</v>
      </c>
      <c r="F39" s="24" t="s">
        <v>272</v>
      </c>
      <c r="G39" s="24" t="s">
        <v>273</v>
      </c>
      <c r="H39" s="24" t="s">
        <v>274</v>
      </c>
      <c r="I39" s="23"/>
      <c r="J39" s="24"/>
      <c r="K39" s="24"/>
      <c r="L39" s="22" t="s">
        <v>67</v>
      </c>
      <c r="M39" s="23"/>
    </row>
    <row r="40" spans="1:13" ht="51" x14ac:dyDescent="0.25">
      <c r="A40" s="19" t="s">
        <v>275</v>
      </c>
      <c r="B40" s="20" t="s">
        <v>35</v>
      </c>
      <c r="C40" s="20" t="s">
        <v>79</v>
      </c>
      <c r="D40" s="20" t="s">
        <v>276</v>
      </c>
      <c r="E40" s="20" t="s">
        <v>277</v>
      </c>
      <c r="F40" s="20" t="s">
        <v>278</v>
      </c>
      <c r="G40" s="20" t="s">
        <v>279</v>
      </c>
      <c r="H40" s="20" t="s">
        <v>280</v>
      </c>
      <c r="I40" s="19"/>
      <c r="J40" s="20"/>
      <c r="K40" s="20"/>
      <c r="L40" s="27" t="s">
        <v>131</v>
      </c>
      <c r="M40" s="19"/>
    </row>
    <row r="41" spans="1:13" ht="38.25" x14ac:dyDescent="0.25">
      <c r="A41" s="23" t="s">
        <v>281</v>
      </c>
      <c r="B41" s="24" t="s">
        <v>35</v>
      </c>
      <c r="C41" s="24" t="s">
        <v>79</v>
      </c>
      <c r="D41" s="24" t="s">
        <v>282</v>
      </c>
      <c r="E41" s="24" t="s">
        <v>283</v>
      </c>
      <c r="F41" s="24" t="s">
        <v>284</v>
      </c>
      <c r="G41" s="24" t="s">
        <v>279</v>
      </c>
      <c r="H41" s="24" t="s">
        <v>285</v>
      </c>
      <c r="I41" s="23"/>
      <c r="J41" s="24"/>
      <c r="K41" s="24"/>
      <c r="L41" s="25" t="s">
        <v>95</v>
      </c>
      <c r="M41" s="23"/>
    </row>
    <row r="42" spans="1:13" ht="63.75" x14ac:dyDescent="0.25">
      <c r="A42" s="19" t="s">
        <v>286</v>
      </c>
      <c r="B42" s="20" t="s">
        <v>35</v>
      </c>
      <c r="C42" s="20" t="s">
        <v>79</v>
      </c>
      <c r="D42" s="20" t="s">
        <v>287</v>
      </c>
      <c r="E42" s="20" t="s">
        <v>288</v>
      </c>
      <c r="F42" s="20" t="s">
        <v>289</v>
      </c>
      <c r="G42" s="20" t="s">
        <v>83</v>
      </c>
      <c r="H42" s="20" t="s">
        <v>290</v>
      </c>
      <c r="I42" s="19"/>
      <c r="J42" s="20"/>
      <c r="K42" s="20"/>
      <c r="L42" s="22" t="s">
        <v>67</v>
      </c>
      <c r="M42" s="19"/>
    </row>
    <row r="43" spans="1:13" ht="51" x14ac:dyDescent="0.25">
      <c r="A43" s="23" t="s">
        <v>291</v>
      </c>
      <c r="B43" s="24" t="s">
        <v>35</v>
      </c>
      <c r="C43" s="24" t="s">
        <v>97</v>
      </c>
      <c r="D43" s="24" t="s">
        <v>292</v>
      </c>
      <c r="E43" s="24" t="s">
        <v>293</v>
      </c>
      <c r="F43" s="24" t="s">
        <v>294</v>
      </c>
      <c r="G43" s="24" t="s">
        <v>113</v>
      </c>
      <c r="H43" s="24" t="s">
        <v>295</v>
      </c>
      <c r="I43" s="23"/>
      <c r="J43" s="24"/>
      <c r="K43" s="24"/>
      <c r="L43" s="27" t="s">
        <v>131</v>
      </c>
      <c r="M43" s="23"/>
    </row>
    <row r="44" spans="1:13" ht="51" x14ac:dyDescent="0.25">
      <c r="A44" s="19" t="s">
        <v>296</v>
      </c>
      <c r="B44" s="20" t="s">
        <v>35</v>
      </c>
      <c r="C44" s="20" t="s">
        <v>97</v>
      </c>
      <c r="D44" s="20" t="s">
        <v>297</v>
      </c>
      <c r="E44" s="20" t="s">
        <v>298</v>
      </c>
      <c r="F44" s="20" t="s">
        <v>299</v>
      </c>
      <c r="G44" s="20" t="s">
        <v>300</v>
      </c>
      <c r="H44" s="20" t="s">
        <v>301</v>
      </c>
      <c r="I44" s="19"/>
      <c r="J44" s="20"/>
      <c r="K44" s="20"/>
      <c r="L44" s="25" t="s">
        <v>95</v>
      </c>
      <c r="M44" s="19"/>
    </row>
    <row r="45" spans="1:13" ht="38.25" x14ac:dyDescent="0.25">
      <c r="A45" s="23" t="s">
        <v>302</v>
      </c>
      <c r="B45" s="24" t="s">
        <v>35</v>
      </c>
      <c r="C45" s="24" t="s">
        <v>97</v>
      </c>
      <c r="D45" s="24" t="s">
        <v>303</v>
      </c>
      <c r="E45" s="24" t="s">
        <v>304</v>
      </c>
      <c r="F45" s="24" t="s">
        <v>305</v>
      </c>
      <c r="G45" s="24" t="s">
        <v>300</v>
      </c>
      <c r="H45" s="24" t="s">
        <v>306</v>
      </c>
      <c r="I45" s="23"/>
      <c r="J45" s="24"/>
      <c r="K45" s="24"/>
      <c r="L45" s="25" t="s">
        <v>95</v>
      </c>
      <c r="M45" s="23"/>
    </row>
    <row r="46" spans="1:13" ht="51" x14ac:dyDescent="0.25">
      <c r="A46" s="19" t="s">
        <v>307</v>
      </c>
      <c r="B46" s="20" t="s">
        <v>35</v>
      </c>
      <c r="C46" s="20" t="s">
        <v>97</v>
      </c>
      <c r="D46" s="20" t="s">
        <v>308</v>
      </c>
      <c r="E46" s="20" t="s">
        <v>309</v>
      </c>
      <c r="F46" s="20" t="s">
        <v>310</v>
      </c>
      <c r="G46" s="20" t="s">
        <v>311</v>
      </c>
      <c r="H46" s="20" t="s">
        <v>312</v>
      </c>
      <c r="I46" s="19"/>
      <c r="J46" s="20"/>
      <c r="K46" s="20"/>
      <c r="L46" s="25" t="s">
        <v>95</v>
      </c>
      <c r="M46" s="19"/>
    </row>
    <row r="47" spans="1:13" ht="51" x14ac:dyDescent="0.25">
      <c r="A47" s="23" t="s">
        <v>313</v>
      </c>
      <c r="B47" s="24" t="s">
        <v>35</v>
      </c>
      <c r="C47" s="24" t="s">
        <v>97</v>
      </c>
      <c r="D47" s="24" t="s">
        <v>314</v>
      </c>
      <c r="E47" s="24" t="s">
        <v>315</v>
      </c>
      <c r="F47" s="24" t="s">
        <v>316</v>
      </c>
      <c r="G47" s="24" t="s">
        <v>101</v>
      </c>
      <c r="H47" s="24" t="s">
        <v>317</v>
      </c>
      <c r="I47" s="23"/>
      <c r="J47" s="24"/>
      <c r="K47" s="24"/>
      <c r="L47" s="25" t="s">
        <v>95</v>
      </c>
      <c r="M47" s="23"/>
    </row>
    <row r="48" spans="1:13" ht="51" x14ac:dyDescent="0.25">
      <c r="A48" s="19" t="s">
        <v>318</v>
      </c>
      <c r="B48" s="20" t="s">
        <v>35</v>
      </c>
      <c r="C48" s="20" t="s">
        <v>97</v>
      </c>
      <c r="D48" s="20" t="s">
        <v>319</v>
      </c>
      <c r="E48" s="20" t="s">
        <v>320</v>
      </c>
      <c r="F48" s="20" t="s">
        <v>321</v>
      </c>
      <c r="G48" s="20" t="s">
        <v>101</v>
      </c>
      <c r="H48" s="20" t="s">
        <v>322</v>
      </c>
      <c r="I48" s="19"/>
      <c r="J48" s="20"/>
      <c r="K48" s="20"/>
      <c r="L48" s="22" t="s">
        <v>67</v>
      </c>
      <c r="M48" s="19"/>
    </row>
    <row r="49" spans="1:13" ht="51" x14ac:dyDescent="0.25">
      <c r="A49" s="23" t="s">
        <v>323</v>
      </c>
      <c r="B49" s="24" t="s">
        <v>35</v>
      </c>
      <c r="C49" s="24" t="s">
        <v>97</v>
      </c>
      <c r="D49" s="24" t="s">
        <v>127</v>
      </c>
      <c r="E49" s="24" t="s">
        <v>128</v>
      </c>
      <c r="F49" s="24" t="s">
        <v>324</v>
      </c>
      <c r="G49" s="24" t="s">
        <v>113</v>
      </c>
      <c r="H49" s="24" t="s">
        <v>325</v>
      </c>
      <c r="I49" s="23"/>
      <c r="J49" s="24"/>
      <c r="K49" s="24"/>
      <c r="L49" s="27" t="s">
        <v>131</v>
      </c>
      <c r="M49" s="23"/>
    </row>
    <row r="50" spans="1:13" ht="51" x14ac:dyDescent="0.25">
      <c r="A50" s="19" t="s">
        <v>326</v>
      </c>
      <c r="B50" s="20" t="s">
        <v>35</v>
      </c>
      <c r="C50" s="20" t="s">
        <v>97</v>
      </c>
      <c r="D50" s="20" t="s">
        <v>327</v>
      </c>
      <c r="E50" s="20" t="s">
        <v>328</v>
      </c>
      <c r="F50" s="20" t="s">
        <v>329</v>
      </c>
      <c r="G50" s="20" t="s">
        <v>113</v>
      </c>
      <c r="H50" s="20" t="s">
        <v>330</v>
      </c>
      <c r="I50" s="19"/>
      <c r="J50" s="20"/>
      <c r="K50" s="20"/>
      <c r="L50" s="27" t="s">
        <v>131</v>
      </c>
      <c r="M50" s="19"/>
    </row>
    <row r="51" spans="1:13" ht="38.25" x14ac:dyDescent="0.25">
      <c r="A51" s="23" t="s">
        <v>331</v>
      </c>
      <c r="B51" s="24" t="s">
        <v>35</v>
      </c>
      <c r="C51" s="24" t="s">
        <v>133</v>
      </c>
      <c r="D51" s="24" t="s">
        <v>332</v>
      </c>
      <c r="E51" s="24" t="s">
        <v>333</v>
      </c>
      <c r="F51" s="24" t="s">
        <v>334</v>
      </c>
      <c r="G51" s="24" t="s">
        <v>155</v>
      </c>
      <c r="H51" s="24" t="s">
        <v>335</v>
      </c>
      <c r="I51" s="23"/>
      <c r="J51" s="24"/>
      <c r="K51" s="24"/>
      <c r="L51" s="27" t="s">
        <v>131</v>
      </c>
      <c r="M51" s="23"/>
    </row>
    <row r="52" spans="1:13" ht="51" x14ac:dyDescent="0.25">
      <c r="A52" s="19" t="s">
        <v>336</v>
      </c>
      <c r="B52" s="20" t="s">
        <v>35</v>
      </c>
      <c r="C52" s="20" t="s">
        <v>133</v>
      </c>
      <c r="D52" s="20" t="s">
        <v>337</v>
      </c>
      <c r="E52" s="20" t="s">
        <v>338</v>
      </c>
      <c r="F52" s="20" t="s">
        <v>339</v>
      </c>
      <c r="G52" s="20" t="s">
        <v>155</v>
      </c>
      <c r="H52" s="20" t="s">
        <v>340</v>
      </c>
      <c r="I52" s="19"/>
      <c r="J52" s="20"/>
      <c r="K52" s="20"/>
      <c r="L52" s="27" t="s">
        <v>131</v>
      </c>
      <c r="M52" s="19"/>
    </row>
    <row r="53" spans="1:13" ht="51" x14ac:dyDescent="0.25">
      <c r="A53" s="23" t="s">
        <v>341</v>
      </c>
      <c r="B53" s="24" t="s">
        <v>35</v>
      </c>
      <c r="C53" s="24" t="s">
        <v>133</v>
      </c>
      <c r="D53" s="24" t="s">
        <v>342</v>
      </c>
      <c r="E53" s="24" t="s">
        <v>343</v>
      </c>
      <c r="F53" s="24" t="s">
        <v>344</v>
      </c>
      <c r="G53" s="24" t="s">
        <v>155</v>
      </c>
      <c r="H53" s="24" t="s">
        <v>345</v>
      </c>
      <c r="I53" s="23"/>
      <c r="J53" s="24"/>
      <c r="K53" s="24"/>
      <c r="L53" s="27" t="s">
        <v>131</v>
      </c>
      <c r="M53" s="23"/>
    </row>
    <row r="54" spans="1:13" ht="51" x14ac:dyDescent="0.25">
      <c r="A54" s="19" t="s">
        <v>346</v>
      </c>
      <c r="B54" s="20" t="s">
        <v>35</v>
      </c>
      <c r="C54" s="20" t="s">
        <v>133</v>
      </c>
      <c r="D54" s="20" t="s">
        <v>347</v>
      </c>
      <c r="E54" s="20" t="s">
        <v>348</v>
      </c>
      <c r="F54" s="20" t="s">
        <v>349</v>
      </c>
      <c r="G54" s="20" t="s">
        <v>155</v>
      </c>
      <c r="H54" s="20" t="s">
        <v>350</v>
      </c>
      <c r="I54" s="19"/>
      <c r="J54" s="20"/>
      <c r="K54" s="20"/>
      <c r="L54" s="27" t="s">
        <v>131</v>
      </c>
      <c r="M54" s="19"/>
    </row>
    <row r="55" spans="1:13" ht="51" x14ac:dyDescent="0.25">
      <c r="A55" s="23" t="s">
        <v>351</v>
      </c>
      <c r="B55" s="24" t="s">
        <v>35</v>
      </c>
      <c r="C55" s="24" t="s">
        <v>133</v>
      </c>
      <c r="D55" s="24" t="s">
        <v>352</v>
      </c>
      <c r="E55" s="24" t="s">
        <v>353</v>
      </c>
      <c r="F55" s="24" t="s">
        <v>354</v>
      </c>
      <c r="G55" s="24" t="s">
        <v>155</v>
      </c>
      <c r="H55" s="24" t="s">
        <v>355</v>
      </c>
      <c r="I55" s="23"/>
      <c r="J55" s="24"/>
      <c r="K55" s="24"/>
      <c r="L55" s="27" t="s">
        <v>131</v>
      </c>
      <c r="M55" s="23"/>
    </row>
    <row r="56" spans="1:13" ht="51" x14ac:dyDescent="0.25">
      <c r="A56" s="19" t="s">
        <v>356</v>
      </c>
      <c r="B56" s="20" t="s">
        <v>35</v>
      </c>
      <c r="C56" s="20" t="s">
        <v>133</v>
      </c>
      <c r="D56" s="20" t="s">
        <v>357</v>
      </c>
      <c r="E56" s="20" t="s">
        <v>358</v>
      </c>
      <c r="F56" s="20" t="s">
        <v>359</v>
      </c>
      <c r="G56" s="20" t="s">
        <v>137</v>
      </c>
      <c r="H56" s="20" t="s">
        <v>360</v>
      </c>
      <c r="I56" s="19"/>
      <c r="J56" s="20"/>
      <c r="K56" s="20"/>
      <c r="L56" s="25" t="s">
        <v>95</v>
      </c>
      <c r="M56" s="19"/>
    </row>
    <row r="57" spans="1:13" ht="51" x14ac:dyDescent="0.25">
      <c r="A57" s="23" t="s">
        <v>361</v>
      </c>
      <c r="B57" s="24" t="s">
        <v>35</v>
      </c>
      <c r="C57" s="24" t="s">
        <v>133</v>
      </c>
      <c r="D57" s="24" t="s">
        <v>362</v>
      </c>
      <c r="E57" s="24" t="s">
        <v>363</v>
      </c>
      <c r="F57" s="24" t="s">
        <v>364</v>
      </c>
      <c r="G57" s="24" t="s">
        <v>155</v>
      </c>
      <c r="H57" s="24" t="s">
        <v>365</v>
      </c>
      <c r="I57" s="23"/>
      <c r="J57" s="24"/>
      <c r="K57" s="24"/>
      <c r="L57" s="27" t="s">
        <v>131</v>
      </c>
      <c r="M57" s="23"/>
    </row>
    <row r="58" spans="1:13" ht="63.75" x14ac:dyDescent="0.25">
      <c r="A58" s="19" t="s">
        <v>366</v>
      </c>
      <c r="B58" s="20" t="s">
        <v>35</v>
      </c>
      <c r="C58" s="20" t="s">
        <v>133</v>
      </c>
      <c r="D58" s="20" t="s">
        <v>367</v>
      </c>
      <c r="E58" s="20" t="s">
        <v>368</v>
      </c>
      <c r="F58" s="20" t="s">
        <v>369</v>
      </c>
      <c r="G58" s="20" t="s">
        <v>155</v>
      </c>
      <c r="H58" s="20" t="s">
        <v>370</v>
      </c>
      <c r="I58" s="19"/>
      <c r="J58" s="20"/>
      <c r="K58" s="20"/>
      <c r="L58" s="27" t="s">
        <v>131</v>
      </c>
      <c r="M58" s="19"/>
    </row>
    <row r="59" spans="1:13" ht="51" x14ac:dyDescent="0.25">
      <c r="A59" s="23" t="s">
        <v>371</v>
      </c>
      <c r="B59" s="24" t="s">
        <v>35</v>
      </c>
      <c r="C59" s="24" t="s">
        <v>173</v>
      </c>
      <c r="D59" s="24" t="s">
        <v>372</v>
      </c>
      <c r="E59" s="24" t="s">
        <v>373</v>
      </c>
      <c r="F59" s="24" t="s">
        <v>374</v>
      </c>
      <c r="G59" s="24" t="s">
        <v>177</v>
      </c>
      <c r="H59" s="24" t="s">
        <v>375</v>
      </c>
      <c r="I59" s="23"/>
      <c r="J59" s="24"/>
      <c r="K59" s="24"/>
      <c r="L59" s="27" t="s">
        <v>131</v>
      </c>
      <c r="M59" s="23"/>
    </row>
    <row r="60" spans="1:13" ht="51" x14ac:dyDescent="0.25">
      <c r="A60" s="19" t="s">
        <v>376</v>
      </c>
      <c r="B60" s="20" t="s">
        <v>35</v>
      </c>
      <c r="C60" s="20" t="s">
        <v>173</v>
      </c>
      <c r="D60" s="20" t="s">
        <v>377</v>
      </c>
      <c r="E60" s="20" t="s">
        <v>378</v>
      </c>
      <c r="F60" s="20" t="s">
        <v>379</v>
      </c>
      <c r="G60" s="20" t="s">
        <v>177</v>
      </c>
      <c r="H60" s="20" t="s">
        <v>380</v>
      </c>
      <c r="I60" s="19"/>
      <c r="J60" s="20"/>
      <c r="K60" s="20"/>
      <c r="L60" s="25" t="s">
        <v>95</v>
      </c>
      <c r="M60" s="19"/>
    </row>
    <row r="61" spans="1:13" ht="51" x14ac:dyDescent="0.25">
      <c r="A61" s="23" t="s">
        <v>381</v>
      </c>
      <c r="B61" s="24" t="s">
        <v>35</v>
      </c>
      <c r="C61" s="24" t="s">
        <v>173</v>
      </c>
      <c r="D61" s="24" t="s">
        <v>382</v>
      </c>
      <c r="E61" s="24" t="s">
        <v>383</v>
      </c>
      <c r="F61" s="24" t="s">
        <v>384</v>
      </c>
      <c r="G61" s="24" t="s">
        <v>385</v>
      </c>
      <c r="H61" s="24" t="s">
        <v>386</v>
      </c>
      <c r="I61" s="23"/>
      <c r="J61" s="24"/>
      <c r="K61" s="24"/>
      <c r="L61" s="25" t="s">
        <v>95</v>
      </c>
      <c r="M61" s="23"/>
    </row>
    <row r="62" spans="1:13" ht="63.75" x14ac:dyDescent="0.25">
      <c r="A62" s="19" t="s">
        <v>387</v>
      </c>
      <c r="B62" s="20" t="s">
        <v>35</v>
      </c>
      <c r="C62" s="20" t="s">
        <v>173</v>
      </c>
      <c r="D62" s="20" t="s">
        <v>388</v>
      </c>
      <c r="E62" s="20" t="s">
        <v>389</v>
      </c>
      <c r="F62" s="20" t="s">
        <v>390</v>
      </c>
      <c r="G62" s="20" t="s">
        <v>385</v>
      </c>
      <c r="H62" s="20" t="s">
        <v>391</v>
      </c>
      <c r="I62" s="19"/>
      <c r="J62" s="20"/>
      <c r="K62" s="20"/>
      <c r="L62" s="25" t="s">
        <v>95</v>
      </c>
      <c r="M62" s="19"/>
    </row>
    <row r="63" spans="1:13" ht="63.75" x14ac:dyDescent="0.25">
      <c r="A63" s="23" t="s">
        <v>392</v>
      </c>
      <c r="B63" s="24" t="s">
        <v>35</v>
      </c>
      <c r="C63" s="24" t="s">
        <v>173</v>
      </c>
      <c r="D63" s="24" t="s">
        <v>393</v>
      </c>
      <c r="E63" s="24" t="s">
        <v>394</v>
      </c>
      <c r="F63" s="24" t="s">
        <v>395</v>
      </c>
      <c r="G63" s="24" t="s">
        <v>385</v>
      </c>
      <c r="H63" s="24" t="s">
        <v>396</v>
      </c>
      <c r="I63" s="23"/>
      <c r="J63" s="24"/>
      <c r="K63" s="24"/>
      <c r="L63" s="27" t="s">
        <v>131</v>
      </c>
      <c r="M63" s="23"/>
    </row>
    <row r="64" spans="1:13" ht="51" x14ac:dyDescent="0.25">
      <c r="A64" s="19" t="s">
        <v>397</v>
      </c>
      <c r="B64" s="20" t="s">
        <v>35</v>
      </c>
      <c r="C64" s="20" t="s">
        <v>173</v>
      </c>
      <c r="D64" s="20" t="s">
        <v>398</v>
      </c>
      <c r="E64" s="20" t="s">
        <v>399</v>
      </c>
      <c r="F64" s="20" t="s">
        <v>400</v>
      </c>
      <c r="G64" s="20" t="s">
        <v>385</v>
      </c>
      <c r="H64" s="20" t="s">
        <v>401</v>
      </c>
      <c r="I64" s="19"/>
      <c r="J64" s="20"/>
      <c r="K64" s="20"/>
      <c r="L64" s="27" t="s">
        <v>131</v>
      </c>
      <c r="M64" s="19"/>
    </row>
    <row r="65" spans="1:13" ht="76.5" x14ac:dyDescent="0.25">
      <c r="A65" s="23" t="s">
        <v>402</v>
      </c>
      <c r="B65" s="24" t="s">
        <v>35</v>
      </c>
      <c r="C65" s="24" t="s">
        <v>193</v>
      </c>
      <c r="D65" s="24" t="s">
        <v>403</v>
      </c>
      <c r="E65" s="24" t="s">
        <v>404</v>
      </c>
      <c r="F65" s="24" t="s">
        <v>405</v>
      </c>
      <c r="G65" s="24" t="s">
        <v>214</v>
      </c>
      <c r="H65" s="24" t="s">
        <v>406</v>
      </c>
      <c r="I65" s="23"/>
      <c r="J65" s="24"/>
      <c r="K65" s="24"/>
      <c r="L65" s="22" t="s">
        <v>67</v>
      </c>
      <c r="M65" s="23"/>
    </row>
    <row r="66" spans="1:13" ht="63.75" x14ac:dyDescent="0.25">
      <c r="A66" s="19" t="s">
        <v>407</v>
      </c>
      <c r="B66" s="20" t="s">
        <v>35</v>
      </c>
      <c r="C66" s="20" t="s">
        <v>193</v>
      </c>
      <c r="D66" s="20" t="s">
        <v>408</v>
      </c>
      <c r="E66" s="20" t="s">
        <v>409</v>
      </c>
      <c r="F66" s="20" t="s">
        <v>410</v>
      </c>
      <c r="G66" s="20" t="s">
        <v>214</v>
      </c>
      <c r="H66" s="20" t="s">
        <v>411</v>
      </c>
      <c r="I66" s="19"/>
      <c r="J66" s="20"/>
      <c r="K66" s="20"/>
      <c r="L66" s="27" t="s">
        <v>131</v>
      </c>
      <c r="M66" s="19"/>
    </row>
    <row r="67" spans="1:13" ht="63.75" x14ac:dyDescent="0.25">
      <c r="A67" s="23" t="s">
        <v>412</v>
      </c>
      <c r="B67" s="24" t="s">
        <v>35</v>
      </c>
      <c r="C67" s="24" t="s">
        <v>193</v>
      </c>
      <c r="D67" s="24" t="s">
        <v>413</v>
      </c>
      <c r="E67" s="24" t="s">
        <v>414</v>
      </c>
      <c r="F67" s="24" t="s">
        <v>415</v>
      </c>
      <c r="G67" s="24" t="s">
        <v>214</v>
      </c>
      <c r="H67" s="24" t="s">
        <v>416</v>
      </c>
      <c r="I67" s="23"/>
      <c r="J67" s="24"/>
      <c r="K67" s="24"/>
      <c r="L67" s="27" t="s">
        <v>131</v>
      </c>
      <c r="M67" s="23"/>
    </row>
    <row r="68" spans="1:13" ht="63.75" x14ac:dyDescent="0.25">
      <c r="A68" s="19" t="s">
        <v>417</v>
      </c>
      <c r="B68" s="20" t="s">
        <v>35</v>
      </c>
      <c r="C68" s="20" t="s">
        <v>193</v>
      </c>
      <c r="D68" s="20" t="s">
        <v>418</v>
      </c>
      <c r="E68" s="20" t="s">
        <v>419</v>
      </c>
      <c r="F68" s="20" t="s">
        <v>420</v>
      </c>
      <c r="G68" s="20" t="s">
        <v>214</v>
      </c>
      <c r="H68" s="20" t="s">
        <v>421</v>
      </c>
      <c r="I68" s="19"/>
      <c r="J68" s="20"/>
      <c r="K68" s="20"/>
      <c r="L68" s="27" t="s">
        <v>131</v>
      </c>
      <c r="M68" s="19"/>
    </row>
    <row r="69" spans="1:13" ht="63.75" x14ac:dyDescent="0.25">
      <c r="A69" s="23" t="s">
        <v>422</v>
      </c>
      <c r="B69" s="24" t="s">
        <v>35</v>
      </c>
      <c r="C69" s="24" t="s">
        <v>193</v>
      </c>
      <c r="D69" s="24" t="s">
        <v>423</v>
      </c>
      <c r="E69" s="24" t="s">
        <v>424</v>
      </c>
      <c r="F69" s="24" t="s">
        <v>425</v>
      </c>
      <c r="G69" s="24" t="s">
        <v>214</v>
      </c>
      <c r="H69" s="24" t="s">
        <v>426</v>
      </c>
      <c r="I69" s="23"/>
      <c r="J69" s="24"/>
      <c r="K69" s="24"/>
      <c r="L69" s="25" t="s">
        <v>95</v>
      </c>
      <c r="M69" s="23"/>
    </row>
    <row r="70" spans="1:13" ht="76.5" x14ac:dyDescent="0.25">
      <c r="A70" s="19" t="s">
        <v>427</v>
      </c>
      <c r="B70" s="20" t="s">
        <v>35</v>
      </c>
      <c r="C70" s="20" t="s">
        <v>193</v>
      </c>
      <c r="D70" s="20" t="s">
        <v>428</v>
      </c>
      <c r="E70" s="20" t="s">
        <v>429</v>
      </c>
      <c r="F70" s="20" t="s">
        <v>430</v>
      </c>
      <c r="G70" s="20" t="s">
        <v>214</v>
      </c>
      <c r="H70" s="20" t="s">
        <v>431</v>
      </c>
      <c r="I70" s="19"/>
      <c r="J70" s="20"/>
      <c r="K70" s="20"/>
      <c r="L70" s="27" t="s">
        <v>131</v>
      </c>
      <c r="M70" s="19"/>
    </row>
    <row r="71" spans="1:13" ht="63.75" x14ac:dyDescent="0.25">
      <c r="A71" s="23" t="s">
        <v>432</v>
      </c>
      <c r="B71" s="24" t="s">
        <v>35</v>
      </c>
      <c r="C71" s="24" t="s">
        <v>193</v>
      </c>
      <c r="D71" s="24" t="s">
        <v>433</v>
      </c>
      <c r="E71" s="24" t="s">
        <v>434</v>
      </c>
      <c r="F71" s="24" t="s">
        <v>435</v>
      </c>
      <c r="G71" s="24" t="s">
        <v>436</v>
      </c>
      <c r="H71" s="24" t="s">
        <v>437</v>
      </c>
      <c r="I71" s="23"/>
      <c r="J71" s="24"/>
      <c r="K71" s="24"/>
      <c r="L71" s="27" t="s">
        <v>131</v>
      </c>
      <c r="M71" s="23"/>
    </row>
    <row r="72" spans="1:13" ht="51" x14ac:dyDescent="0.25">
      <c r="A72" s="19" t="s">
        <v>438</v>
      </c>
      <c r="B72" s="20" t="s">
        <v>35</v>
      </c>
      <c r="C72" s="20" t="s">
        <v>193</v>
      </c>
      <c r="D72" s="20" t="s">
        <v>439</v>
      </c>
      <c r="E72" s="20" t="s">
        <v>439</v>
      </c>
      <c r="F72" s="20" t="s">
        <v>440</v>
      </c>
      <c r="G72" s="20" t="s">
        <v>214</v>
      </c>
      <c r="H72" s="20" t="s">
        <v>441</v>
      </c>
      <c r="I72" s="19"/>
      <c r="J72" s="20"/>
      <c r="K72" s="20"/>
      <c r="L72" s="27" t="s">
        <v>131</v>
      </c>
      <c r="M72" s="19"/>
    </row>
    <row r="73" spans="1:13" ht="63.75" x14ac:dyDescent="0.25">
      <c r="A73" s="23" t="s">
        <v>442</v>
      </c>
      <c r="B73" s="24" t="s">
        <v>35</v>
      </c>
      <c r="C73" s="24" t="s">
        <v>443</v>
      </c>
      <c r="D73" s="24" t="s">
        <v>444</v>
      </c>
      <c r="E73" s="24" t="s">
        <v>445</v>
      </c>
      <c r="F73" s="24" t="s">
        <v>446</v>
      </c>
      <c r="G73" s="24" t="s">
        <v>447</v>
      </c>
      <c r="H73" s="24" t="s">
        <v>448</v>
      </c>
      <c r="I73" s="23"/>
      <c r="J73" s="24"/>
      <c r="K73" s="24"/>
      <c r="L73" s="25" t="s">
        <v>95</v>
      </c>
      <c r="M73" s="23"/>
    </row>
    <row r="74" spans="1:13" ht="63.75" x14ac:dyDescent="0.25">
      <c r="A74" s="19" t="s">
        <v>449</v>
      </c>
      <c r="B74" s="20" t="s">
        <v>35</v>
      </c>
      <c r="C74" s="20" t="s">
        <v>443</v>
      </c>
      <c r="D74" s="20" t="s">
        <v>450</v>
      </c>
      <c r="E74" s="20" t="s">
        <v>451</v>
      </c>
      <c r="F74" s="20" t="s">
        <v>452</v>
      </c>
      <c r="G74" s="20" t="s">
        <v>447</v>
      </c>
      <c r="H74" s="20" t="s">
        <v>453</v>
      </c>
      <c r="I74" s="19"/>
      <c r="J74" s="20"/>
      <c r="K74" s="20"/>
      <c r="L74" s="25" t="s">
        <v>95</v>
      </c>
      <c r="M74" s="19"/>
    </row>
    <row r="75" spans="1:13" ht="51" x14ac:dyDescent="0.25">
      <c r="A75" s="23" t="s">
        <v>454</v>
      </c>
      <c r="B75" s="24" t="s">
        <v>35</v>
      </c>
      <c r="C75" s="24" t="s">
        <v>443</v>
      </c>
      <c r="D75" s="24" t="s">
        <v>455</v>
      </c>
      <c r="E75" s="24" t="s">
        <v>456</v>
      </c>
      <c r="F75" s="24" t="s">
        <v>457</v>
      </c>
      <c r="G75" s="24" t="s">
        <v>447</v>
      </c>
      <c r="H75" s="24" t="s">
        <v>458</v>
      </c>
      <c r="I75" s="23"/>
      <c r="J75" s="24"/>
      <c r="K75" s="24"/>
      <c r="L75" s="25" t="s">
        <v>95</v>
      </c>
      <c r="M75" s="23"/>
    </row>
    <row r="76" spans="1:13" ht="63.75" x14ac:dyDescent="0.25">
      <c r="A76" s="19" t="s">
        <v>459</v>
      </c>
      <c r="B76" s="20" t="s">
        <v>35</v>
      </c>
      <c r="C76" s="20" t="s">
        <v>460</v>
      </c>
      <c r="D76" s="20" t="s">
        <v>461</v>
      </c>
      <c r="E76" s="20" t="s">
        <v>462</v>
      </c>
      <c r="F76" s="20" t="s">
        <v>463</v>
      </c>
      <c r="G76" s="20" t="s">
        <v>464</v>
      </c>
      <c r="H76" s="20" t="s">
        <v>465</v>
      </c>
      <c r="I76" s="19"/>
      <c r="J76" s="20"/>
      <c r="K76" s="20"/>
      <c r="L76" s="22" t="s">
        <v>67</v>
      </c>
      <c r="M76" s="19"/>
    </row>
    <row r="77" spans="1:13" ht="51" x14ac:dyDescent="0.25">
      <c r="A77" s="23" t="s">
        <v>466</v>
      </c>
      <c r="B77" s="24" t="s">
        <v>35</v>
      </c>
      <c r="C77" s="24" t="s">
        <v>460</v>
      </c>
      <c r="D77" s="24" t="s">
        <v>467</v>
      </c>
      <c r="E77" s="24" t="s">
        <v>468</v>
      </c>
      <c r="F77" s="24" t="s">
        <v>469</v>
      </c>
      <c r="G77" s="24" t="s">
        <v>464</v>
      </c>
      <c r="H77" s="24" t="s">
        <v>470</v>
      </c>
      <c r="I77" s="23"/>
      <c r="J77" s="24"/>
      <c r="K77" s="24"/>
      <c r="L77" s="27" t="s">
        <v>131</v>
      </c>
      <c r="M77" s="23"/>
    </row>
    <row r="78" spans="1:13" ht="51" x14ac:dyDescent="0.25">
      <c r="A78" s="19" t="s">
        <v>471</v>
      </c>
      <c r="B78" s="20" t="s">
        <v>35</v>
      </c>
      <c r="C78" s="20" t="s">
        <v>460</v>
      </c>
      <c r="D78" s="20" t="s">
        <v>472</v>
      </c>
      <c r="E78" s="20" t="s">
        <v>473</v>
      </c>
      <c r="F78" s="20" t="s">
        <v>474</v>
      </c>
      <c r="G78" s="20" t="s">
        <v>464</v>
      </c>
      <c r="H78" s="20" t="s">
        <v>475</v>
      </c>
      <c r="I78" s="19"/>
      <c r="J78" s="20"/>
      <c r="K78" s="20"/>
      <c r="L78" s="25" t="s">
        <v>95</v>
      </c>
      <c r="M78" s="19"/>
    </row>
    <row r="79" spans="1:13" ht="63.75" x14ac:dyDescent="0.25">
      <c r="A79" s="23" t="s">
        <v>231</v>
      </c>
      <c r="B79" s="24" t="s">
        <v>35</v>
      </c>
      <c r="C79" s="24" t="s">
        <v>60</v>
      </c>
      <c r="D79" s="24" t="s">
        <v>232</v>
      </c>
      <c r="E79" s="24" t="s">
        <v>233</v>
      </c>
      <c r="F79" s="24" t="s">
        <v>234</v>
      </c>
      <c r="G79" s="24" t="s">
        <v>64</v>
      </c>
      <c r="H79" s="24" t="s">
        <v>235</v>
      </c>
      <c r="I79" s="23"/>
      <c r="J79" s="24"/>
      <c r="K79" s="24"/>
      <c r="L79" s="22" t="s">
        <v>67</v>
      </c>
      <c r="M79" s="23"/>
    </row>
    <row r="80" spans="1:13" ht="63.75" x14ac:dyDescent="0.25">
      <c r="A80" s="19" t="s">
        <v>236</v>
      </c>
      <c r="B80" s="20" t="s">
        <v>35</v>
      </c>
      <c r="C80" s="20" t="s">
        <v>237</v>
      </c>
      <c r="D80" s="20" t="s">
        <v>238</v>
      </c>
      <c r="E80" s="20" t="s">
        <v>239</v>
      </c>
      <c r="F80" s="20" t="s">
        <v>240</v>
      </c>
      <c r="G80" s="20" t="s">
        <v>241</v>
      </c>
      <c r="H80" s="20" t="s">
        <v>242</v>
      </c>
      <c r="I80" s="19"/>
      <c r="J80" s="20"/>
      <c r="K80" s="20"/>
      <c r="L80" s="22" t="s">
        <v>67</v>
      </c>
      <c r="M80" s="19"/>
    </row>
    <row r="81" spans="1:13" ht="63.75" x14ac:dyDescent="0.25">
      <c r="A81" s="23" t="s">
        <v>243</v>
      </c>
      <c r="B81" s="24" t="s">
        <v>35</v>
      </c>
      <c r="C81" s="24" t="s">
        <v>237</v>
      </c>
      <c r="D81" s="24" t="s">
        <v>244</v>
      </c>
      <c r="E81" s="24" t="s">
        <v>245</v>
      </c>
      <c r="F81" s="24" t="s">
        <v>246</v>
      </c>
      <c r="G81" s="24" t="s">
        <v>241</v>
      </c>
      <c r="H81" s="24" t="s">
        <v>247</v>
      </c>
      <c r="I81" s="23"/>
      <c r="J81" s="24"/>
      <c r="K81" s="24"/>
      <c r="L81" s="22" t="s">
        <v>67</v>
      </c>
      <c r="M81" s="23"/>
    </row>
    <row r="82" spans="1:13" ht="51" x14ac:dyDescent="0.25">
      <c r="A82" s="19" t="s">
        <v>248</v>
      </c>
      <c r="B82" s="20" t="s">
        <v>35</v>
      </c>
      <c r="C82" s="20" t="s">
        <v>237</v>
      </c>
      <c r="D82" s="20" t="s">
        <v>249</v>
      </c>
      <c r="E82" s="20" t="s">
        <v>250</v>
      </c>
      <c r="F82" s="20" t="s">
        <v>251</v>
      </c>
      <c r="G82" s="20" t="s">
        <v>241</v>
      </c>
      <c r="H82" s="20" t="s">
        <v>252</v>
      </c>
      <c r="I82" s="19"/>
      <c r="J82" s="20"/>
      <c r="K82" s="20"/>
      <c r="L82" s="22" t="s">
        <v>67</v>
      </c>
      <c r="M82" s="19"/>
    </row>
    <row r="83" spans="1:13" ht="51" x14ac:dyDescent="0.25">
      <c r="A83" s="23" t="s">
        <v>253</v>
      </c>
      <c r="B83" s="24" t="s">
        <v>35</v>
      </c>
      <c r="C83" s="24" t="s">
        <v>237</v>
      </c>
      <c r="D83" s="24" t="s">
        <v>254</v>
      </c>
      <c r="E83" s="24" t="s">
        <v>255</v>
      </c>
      <c r="F83" s="24" t="s">
        <v>256</v>
      </c>
      <c r="G83" s="24" t="s">
        <v>257</v>
      </c>
      <c r="H83" s="24" t="s">
        <v>258</v>
      </c>
      <c r="I83" s="23"/>
      <c r="J83" s="24"/>
      <c r="K83" s="24"/>
      <c r="L83" s="26" t="s">
        <v>103</v>
      </c>
      <c r="M83" s="23"/>
    </row>
    <row r="84" spans="1:13" ht="51" x14ac:dyDescent="0.25">
      <c r="A84" s="19" t="s">
        <v>259</v>
      </c>
      <c r="B84" s="20" t="s">
        <v>35</v>
      </c>
      <c r="C84" s="20" t="s">
        <v>237</v>
      </c>
      <c r="D84" s="20" t="s">
        <v>260</v>
      </c>
      <c r="E84" s="20" t="s">
        <v>261</v>
      </c>
      <c r="F84" s="20" t="s">
        <v>262</v>
      </c>
      <c r="G84" s="20" t="s">
        <v>257</v>
      </c>
      <c r="H84" s="20" t="s">
        <v>263</v>
      </c>
      <c r="I84" s="19"/>
      <c r="J84" s="20"/>
      <c r="K84" s="20"/>
      <c r="L84" s="26" t="s">
        <v>103</v>
      </c>
      <c r="M84" s="19"/>
    </row>
    <row r="85" spans="1:13" ht="63.75" x14ac:dyDescent="0.25">
      <c r="A85" s="23" t="s">
        <v>264</v>
      </c>
      <c r="B85" s="24" t="s">
        <v>35</v>
      </c>
      <c r="C85" s="24" t="s">
        <v>237</v>
      </c>
      <c r="D85" s="24" t="s">
        <v>265</v>
      </c>
      <c r="E85" s="24" t="s">
        <v>266</v>
      </c>
      <c r="F85" s="24" t="s">
        <v>267</v>
      </c>
      <c r="G85" s="24" t="s">
        <v>241</v>
      </c>
      <c r="H85" s="24" t="s">
        <v>268</v>
      </c>
      <c r="I85" s="23"/>
      <c r="J85" s="24"/>
      <c r="K85" s="24"/>
      <c r="L85" s="25" t="s">
        <v>95</v>
      </c>
      <c r="M85" s="23"/>
    </row>
    <row r="86" spans="1:13" ht="51" x14ac:dyDescent="0.25">
      <c r="A86" s="19" t="s">
        <v>269</v>
      </c>
      <c r="B86" s="20" t="s">
        <v>35</v>
      </c>
      <c r="C86" s="20" t="s">
        <v>79</v>
      </c>
      <c r="D86" s="20" t="s">
        <v>270</v>
      </c>
      <c r="E86" s="20" t="s">
        <v>271</v>
      </c>
      <c r="F86" s="20" t="s">
        <v>272</v>
      </c>
      <c r="G86" s="20" t="s">
        <v>273</v>
      </c>
      <c r="H86" s="20" t="s">
        <v>274</v>
      </c>
      <c r="I86" s="19"/>
      <c r="J86" s="20"/>
      <c r="K86" s="20"/>
      <c r="L86" s="22" t="s">
        <v>67</v>
      </c>
      <c r="M86" s="19"/>
    </row>
    <row r="87" spans="1:13" ht="51" x14ac:dyDescent="0.25">
      <c r="A87" s="23" t="s">
        <v>275</v>
      </c>
      <c r="B87" s="24" t="s">
        <v>35</v>
      </c>
      <c r="C87" s="24" t="s">
        <v>79</v>
      </c>
      <c r="D87" s="24" t="s">
        <v>276</v>
      </c>
      <c r="E87" s="24" t="s">
        <v>277</v>
      </c>
      <c r="F87" s="24" t="s">
        <v>278</v>
      </c>
      <c r="G87" s="24" t="s">
        <v>279</v>
      </c>
      <c r="H87" s="24" t="s">
        <v>280</v>
      </c>
      <c r="I87" s="23"/>
      <c r="J87" s="24"/>
      <c r="K87" s="24"/>
      <c r="L87" s="27" t="s">
        <v>131</v>
      </c>
      <c r="M87" s="23"/>
    </row>
    <row r="88" spans="1:13" ht="38.25" x14ac:dyDescent="0.25">
      <c r="A88" s="19" t="s">
        <v>281</v>
      </c>
      <c r="B88" s="20" t="s">
        <v>35</v>
      </c>
      <c r="C88" s="20" t="s">
        <v>79</v>
      </c>
      <c r="D88" s="20" t="s">
        <v>282</v>
      </c>
      <c r="E88" s="20" t="s">
        <v>283</v>
      </c>
      <c r="F88" s="20" t="s">
        <v>284</v>
      </c>
      <c r="G88" s="20" t="s">
        <v>279</v>
      </c>
      <c r="H88" s="20" t="s">
        <v>285</v>
      </c>
      <c r="I88" s="19"/>
      <c r="J88" s="20"/>
      <c r="K88" s="20"/>
      <c r="L88" s="25" t="s">
        <v>95</v>
      </c>
      <c r="M88" s="19"/>
    </row>
    <row r="89" spans="1:13" ht="63.75" x14ac:dyDescent="0.25">
      <c r="A89" s="23" t="s">
        <v>286</v>
      </c>
      <c r="B89" s="24" t="s">
        <v>35</v>
      </c>
      <c r="C89" s="24" t="s">
        <v>79</v>
      </c>
      <c r="D89" s="24" t="s">
        <v>287</v>
      </c>
      <c r="E89" s="24" t="s">
        <v>288</v>
      </c>
      <c r="F89" s="24" t="s">
        <v>289</v>
      </c>
      <c r="G89" s="24" t="s">
        <v>83</v>
      </c>
      <c r="H89" s="24" t="s">
        <v>290</v>
      </c>
      <c r="I89" s="23"/>
      <c r="J89" s="24"/>
      <c r="K89" s="24"/>
      <c r="L89" s="22" t="s">
        <v>67</v>
      </c>
      <c r="M89" s="23"/>
    </row>
    <row r="90" spans="1:13" ht="51" x14ac:dyDescent="0.25">
      <c r="A90" s="19" t="s">
        <v>291</v>
      </c>
      <c r="B90" s="20" t="s">
        <v>35</v>
      </c>
      <c r="C90" s="20" t="s">
        <v>97</v>
      </c>
      <c r="D90" s="20" t="s">
        <v>292</v>
      </c>
      <c r="E90" s="20" t="s">
        <v>293</v>
      </c>
      <c r="F90" s="20" t="s">
        <v>294</v>
      </c>
      <c r="G90" s="20" t="s">
        <v>113</v>
      </c>
      <c r="H90" s="20" t="s">
        <v>295</v>
      </c>
      <c r="I90" s="19"/>
      <c r="J90" s="20"/>
      <c r="K90" s="20"/>
      <c r="L90" s="27" t="s">
        <v>131</v>
      </c>
      <c r="M90" s="19"/>
    </row>
    <row r="91" spans="1:13" ht="51" x14ac:dyDescent="0.25">
      <c r="A91" s="23" t="s">
        <v>296</v>
      </c>
      <c r="B91" s="24" t="s">
        <v>35</v>
      </c>
      <c r="C91" s="24" t="s">
        <v>97</v>
      </c>
      <c r="D91" s="24" t="s">
        <v>297</v>
      </c>
      <c r="E91" s="24" t="s">
        <v>298</v>
      </c>
      <c r="F91" s="24" t="s">
        <v>299</v>
      </c>
      <c r="G91" s="24" t="s">
        <v>300</v>
      </c>
      <c r="H91" s="24" t="s">
        <v>301</v>
      </c>
      <c r="I91" s="23"/>
      <c r="J91" s="24"/>
      <c r="K91" s="24"/>
      <c r="L91" s="25" t="s">
        <v>95</v>
      </c>
      <c r="M91" s="23"/>
    </row>
    <row r="92" spans="1:13" ht="38.25" x14ac:dyDescent="0.25">
      <c r="A92" s="19" t="s">
        <v>302</v>
      </c>
      <c r="B92" s="20" t="s">
        <v>35</v>
      </c>
      <c r="C92" s="20" t="s">
        <v>97</v>
      </c>
      <c r="D92" s="20" t="s">
        <v>303</v>
      </c>
      <c r="E92" s="20" t="s">
        <v>304</v>
      </c>
      <c r="F92" s="20" t="s">
        <v>305</v>
      </c>
      <c r="G92" s="20" t="s">
        <v>300</v>
      </c>
      <c r="H92" s="20" t="s">
        <v>306</v>
      </c>
      <c r="I92" s="19"/>
      <c r="J92" s="20"/>
      <c r="K92" s="20"/>
      <c r="L92" s="25" t="s">
        <v>95</v>
      </c>
      <c r="M92" s="19"/>
    </row>
    <row r="93" spans="1:13" ht="51" x14ac:dyDescent="0.25">
      <c r="A93" s="23" t="s">
        <v>307</v>
      </c>
      <c r="B93" s="24" t="s">
        <v>35</v>
      </c>
      <c r="C93" s="24" t="s">
        <v>97</v>
      </c>
      <c r="D93" s="24" t="s">
        <v>308</v>
      </c>
      <c r="E93" s="24" t="s">
        <v>309</v>
      </c>
      <c r="F93" s="24" t="s">
        <v>310</v>
      </c>
      <c r="G93" s="24" t="s">
        <v>311</v>
      </c>
      <c r="H93" s="24" t="s">
        <v>312</v>
      </c>
      <c r="I93" s="23"/>
      <c r="J93" s="24"/>
      <c r="K93" s="24"/>
      <c r="L93" s="25" t="s">
        <v>95</v>
      </c>
      <c r="M93" s="23"/>
    </row>
    <row r="94" spans="1:13" ht="51" x14ac:dyDescent="0.25">
      <c r="A94" s="19" t="s">
        <v>313</v>
      </c>
      <c r="B94" s="20" t="s">
        <v>35</v>
      </c>
      <c r="C94" s="20" t="s">
        <v>97</v>
      </c>
      <c r="D94" s="20" t="s">
        <v>314</v>
      </c>
      <c r="E94" s="20" t="s">
        <v>315</v>
      </c>
      <c r="F94" s="20" t="s">
        <v>316</v>
      </c>
      <c r="G94" s="20" t="s">
        <v>101</v>
      </c>
      <c r="H94" s="20" t="s">
        <v>317</v>
      </c>
      <c r="I94" s="19"/>
      <c r="J94" s="20"/>
      <c r="K94" s="20"/>
      <c r="L94" s="25" t="s">
        <v>95</v>
      </c>
      <c r="M94" s="19"/>
    </row>
    <row r="95" spans="1:13" ht="51" x14ac:dyDescent="0.25">
      <c r="A95" s="23" t="s">
        <v>318</v>
      </c>
      <c r="B95" s="24" t="s">
        <v>35</v>
      </c>
      <c r="C95" s="24" t="s">
        <v>97</v>
      </c>
      <c r="D95" s="24" t="s">
        <v>319</v>
      </c>
      <c r="E95" s="24" t="s">
        <v>320</v>
      </c>
      <c r="F95" s="24" t="s">
        <v>321</v>
      </c>
      <c r="G95" s="24" t="s">
        <v>101</v>
      </c>
      <c r="H95" s="24" t="s">
        <v>322</v>
      </c>
      <c r="I95" s="23"/>
      <c r="J95" s="24"/>
      <c r="K95" s="24"/>
      <c r="L95" s="22" t="s">
        <v>67</v>
      </c>
      <c r="M95" s="23"/>
    </row>
    <row r="96" spans="1:13" ht="51" x14ac:dyDescent="0.25">
      <c r="A96" s="19" t="s">
        <v>323</v>
      </c>
      <c r="B96" s="20" t="s">
        <v>35</v>
      </c>
      <c r="C96" s="20" t="s">
        <v>97</v>
      </c>
      <c r="D96" s="20" t="s">
        <v>127</v>
      </c>
      <c r="E96" s="20" t="s">
        <v>128</v>
      </c>
      <c r="F96" s="20" t="s">
        <v>324</v>
      </c>
      <c r="G96" s="20" t="s">
        <v>113</v>
      </c>
      <c r="H96" s="20" t="s">
        <v>325</v>
      </c>
      <c r="I96" s="19"/>
      <c r="J96" s="20"/>
      <c r="K96" s="20"/>
      <c r="L96" s="27" t="s">
        <v>131</v>
      </c>
      <c r="M96" s="19"/>
    </row>
    <row r="97" spans="1:13" ht="51" x14ac:dyDescent="0.25">
      <c r="A97" s="23" t="s">
        <v>326</v>
      </c>
      <c r="B97" s="24" t="s">
        <v>35</v>
      </c>
      <c r="C97" s="24" t="s">
        <v>97</v>
      </c>
      <c r="D97" s="24" t="s">
        <v>327</v>
      </c>
      <c r="E97" s="24" t="s">
        <v>328</v>
      </c>
      <c r="F97" s="24" t="s">
        <v>329</v>
      </c>
      <c r="G97" s="24" t="s">
        <v>113</v>
      </c>
      <c r="H97" s="24" t="s">
        <v>330</v>
      </c>
      <c r="I97" s="23"/>
      <c r="J97" s="24"/>
      <c r="K97" s="24"/>
      <c r="L97" s="27" t="s">
        <v>131</v>
      </c>
      <c r="M97" s="23"/>
    </row>
    <row r="98" spans="1:13" ht="38.25" x14ac:dyDescent="0.25">
      <c r="A98" s="19" t="s">
        <v>331</v>
      </c>
      <c r="B98" s="20" t="s">
        <v>35</v>
      </c>
      <c r="C98" s="20" t="s">
        <v>133</v>
      </c>
      <c r="D98" s="20" t="s">
        <v>332</v>
      </c>
      <c r="E98" s="20" t="s">
        <v>333</v>
      </c>
      <c r="F98" s="20" t="s">
        <v>334</v>
      </c>
      <c r="G98" s="20" t="s">
        <v>155</v>
      </c>
      <c r="H98" s="20" t="s">
        <v>335</v>
      </c>
      <c r="I98" s="19"/>
      <c r="J98" s="20"/>
      <c r="K98" s="20"/>
      <c r="L98" s="27" t="s">
        <v>131</v>
      </c>
      <c r="M98" s="19"/>
    </row>
    <row r="99" spans="1:13" ht="51" x14ac:dyDescent="0.25">
      <c r="A99" s="23" t="s">
        <v>336</v>
      </c>
      <c r="B99" s="24" t="s">
        <v>35</v>
      </c>
      <c r="C99" s="24" t="s">
        <v>133</v>
      </c>
      <c r="D99" s="24" t="s">
        <v>337</v>
      </c>
      <c r="E99" s="24" t="s">
        <v>338</v>
      </c>
      <c r="F99" s="24" t="s">
        <v>339</v>
      </c>
      <c r="G99" s="24" t="s">
        <v>155</v>
      </c>
      <c r="H99" s="24" t="s">
        <v>340</v>
      </c>
      <c r="I99" s="23"/>
      <c r="J99" s="24"/>
      <c r="K99" s="24"/>
      <c r="L99" s="27" t="s">
        <v>131</v>
      </c>
      <c r="M99" s="23"/>
    </row>
    <row r="100" spans="1:13" ht="51" x14ac:dyDescent="0.25">
      <c r="A100" s="19" t="s">
        <v>341</v>
      </c>
      <c r="B100" s="20" t="s">
        <v>35</v>
      </c>
      <c r="C100" s="20" t="s">
        <v>133</v>
      </c>
      <c r="D100" s="20" t="s">
        <v>342</v>
      </c>
      <c r="E100" s="20" t="s">
        <v>343</v>
      </c>
      <c r="F100" s="20" t="s">
        <v>344</v>
      </c>
      <c r="G100" s="20" t="s">
        <v>155</v>
      </c>
      <c r="H100" s="20" t="s">
        <v>345</v>
      </c>
      <c r="I100" s="19"/>
      <c r="J100" s="20"/>
      <c r="K100" s="20"/>
      <c r="L100" s="27" t="s">
        <v>131</v>
      </c>
      <c r="M100" s="19"/>
    </row>
    <row r="101" spans="1:13" ht="51" x14ac:dyDescent="0.25">
      <c r="A101" s="23" t="s">
        <v>346</v>
      </c>
      <c r="B101" s="24" t="s">
        <v>35</v>
      </c>
      <c r="C101" s="24" t="s">
        <v>133</v>
      </c>
      <c r="D101" s="24" t="s">
        <v>347</v>
      </c>
      <c r="E101" s="24" t="s">
        <v>348</v>
      </c>
      <c r="F101" s="24" t="s">
        <v>349</v>
      </c>
      <c r="G101" s="24" t="s">
        <v>155</v>
      </c>
      <c r="H101" s="24" t="s">
        <v>350</v>
      </c>
      <c r="I101" s="23"/>
      <c r="J101" s="24"/>
      <c r="K101" s="24"/>
      <c r="L101" s="27" t="s">
        <v>131</v>
      </c>
      <c r="M101" s="23"/>
    </row>
    <row r="102" spans="1:13" ht="51" x14ac:dyDescent="0.25">
      <c r="A102" s="19" t="s">
        <v>351</v>
      </c>
      <c r="B102" s="20" t="s">
        <v>35</v>
      </c>
      <c r="C102" s="20" t="s">
        <v>133</v>
      </c>
      <c r="D102" s="20" t="s">
        <v>352</v>
      </c>
      <c r="E102" s="20" t="s">
        <v>353</v>
      </c>
      <c r="F102" s="20" t="s">
        <v>354</v>
      </c>
      <c r="G102" s="20" t="s">
        <v>155</v>
      </c>
      <c r="H102" s="20" t="s">
        <v>355</v>
      </c>
      <c r="I102" s="19"/>
      <c r="J102" s="20"/>
      <c r="K102" s="20"/>
      <c r="L102" s="27" t="s">
        <v>131</v>
      </c>
      <c r="M102" s="19"/>
    </row>
    <row r="103" spans="1:13" ht="51" x14ac:dyDescent="0.25">
      <c r="A103" s="23" t="s">
        <v>356</v>
      </c>
      <c r="B103" s="24" t="s">
        <v>35</v>
      </c>
      <c r="C103" s="24" t="s">
        <v>133</v>
      </c>
      <c r="D103" s="24" t="s">
        <v>357</v>
      </c>
      <c r="E103" s="24" t="s">
        <v>358</v>
      </c>
      <c r="F103" s="24" t="s">
        <v>359</v>
      </c>
      <c r="G103" s="24" t="s">
        <v>137</v>
      </c>
      <c r="H103" s="24" t="s">
        <v>360</v>
      </c>
      <c r="I103" s="23"/>
      <c r="J103" s="24"/>
      <c r="K103" s="24"/>
      <c r="L103" s="25" t="s">
        <v>95</v>
      </c>
      <c r="M103" s="23"/>
    </row>
    <row r="104" spans="1:13" ht="51" x14ac:dyDescent="0.25">
      <c r="A104" s="19" t="s">
        <v>361</v>
      </c>
      <c r="B104" s="20" t="s">
        <v>35</v>
      </c>
      <c r="C104" s="20" t="s">
        <v>133</v>
      </c>
      <c r="D104" s="20" t="s">
        <v>362</v>
      </c>
      <c r="E104" s="20" t="s">
        <v>363</v>
      </c>
      <c r="F104" s="20" t="s">
        <v>364</v>
      </c>
      <c r="G104" s="20" t="s">
        <v>155</v>
      </c>
      <c r="H104" s="20" t="s">
        <v>365</v>
      </c>
      <c r="I104" s="19"/>
      <c r="J104" s="20"/>
      <c r="K104" s="20"/>
      <c r="L104" s="27" t="s">
        <v>131</v>
      </c>
      <c r="M104" s="19"/>
    </row>
    <row r="105" spans="1:13" ht="63.75" x14ac:dyDescent="0.25">
      <c r="A105" s="23" t="s">
        <v>366</v>
      </c>
      <c r="B105" s="24" t="s">
        <v>35</v>
      </c>
      <c r="C105" s="24" t="s">
        <v>133</v>
      </c>
      <c r="D105" s="24" t="s">
        <v>367</v>
      </c>
      <c r="E105" s="24" t="s">
        <v>368</v>
      </c>
      <c r="F105" s="24" t="s">
        <v>369</v>
      </c>
      <c r="G105" s="24" t="s">
        <v>155</v>
      </c>
      <c r="H105" s="24" t="s">
        <v>370</v>
      </c>
      <c r="I105" s="23"/>
      <c r="J105" s="24"/>
      <c r="K105" s="24"/>
      <c r="L105" s="27" t="s">
        <v>131</v>
      </c>
      <c r="M105" s="23"/>
    </row>
    <row r="106" spans="1:13" ht="51" x14ac:dyDescent="0.25">
      <c r="A106" s="19" t="s">
        <v>371</v>
      </c>
      <c r="B106" s="20" t="s">
        <v>35</v>
      </c>
      <c r="C106" s="20" t="s">
        <v>173</v>
      </c>
      <c r="D106" s="20" t="s">
        <v>372</v>
      </c>
      <c r="E106" s="20" t="s">
        <v>373</v>
      </c>
      <c r="F106" s="20" t="s">
        <v>374</v>
      </c>
      <c r="G106" s="20" t="s">
        <v>177</v>
      </c>
      <c r="H106" s="20" t="s">
        <v>375</v>
      </c>
      <c r="I106" s="19"/>
      <c r="J106" s="20"/>
      <c r="K106" s="20"/>
      <c r="L106" s="27" t="s">
        <v>131</v>
      </c>
      <c r="M106" s="19"/>
    </row>
    <row r="107" spans="1:13" ht="51" x14ac:dyDescent="0.25">
      <c r="A107" s="23" t="s">
        <v>376</v>
      </c>
      <c r="B107" s="24" t="s">
        <v>35</v>
      </c>
      <c r="C107" s="24" t="s">
        <v>173</v>
      </c>
      <c r="D107" s="24" t="s">
        <v>377</v>
      </c>
      <c r="E107" s="24" t="s">
        <v>378</v>
      </c>
      <c r="F107" s="24" t="s">
        <v>379</v>
      </c>
      <c r="G107" s="24" t="s">
        <v>177</v>
      </c>
      <c r="H107" s="24" t="s">
        <v>380</v>
      </c>
      <c r="I107" s="23"/>
      <c r="J107" s="24"/>
      <c r="K107" s="24"/>
      <c r="L107" s="25" t="s">
        <v>95</v>
      </c>
      <c r="M107" s="23"/>
    </row>
    <row r="108" spans="1:13" ht="51" x14ac:dyDescent="0.25">
      <c r="A108" s="19" t="s">
        <v>381</v>
      </c>
      <c r="B108" s="20" t="s">
        <v>35</v>
      </c>
      <c r="C108" s="20" t="s">
        <v>173</v>
      </c>
      <c r="D108" s="20" t="s">
        <v>382</v>
      </c>
      <c r="E108" s="20" t="s">
        <v>383</v>
      </c>
      <c r="F108" s="20" t="s">
        <v>384</v>
      </c>
      <c r="G108" s="20" t="s">
        <v>385</v>
      </c>
      <c r="H108" s="20" t="s">
        <v>386</v>
      </c>
      <c r="I108" s="19"/>
      <c r="J108" s="20"/>
      <c r="K108" s="20"/>
      <c r="L108" s="25" t="s">
        <v>95</v>
      </c>
      <c r="M108" s="19"/>
    </row>
    <row r="109" spans="1:13" ht="63.75" x14ac:dyDescent="0.25">
      <c r="A109" s="23" t="s">
        <v>387</v>
      </c>
      <c r="B109" s="24" t="s">
        <v>35</v>
      </c>
      <c r="C109" s="24" t="s">
        <v>173</v>
      </c>
      <c r="D109" s="24" t="s">
        <v>388</v>
      </c>
      <c r="E109" s="24" t="s">
        <v>389</v>
      </c>
      <c r="F109" s="24" t="s">
        <v>390</v>
      </c>
      <c r="G109" s="24" t="s">
        <v>385</v>
      </c>
      <c r="H109" s="24" t="s">
        <v>391</v>
      </c>
      <c r="I109" s="23"/>
      <c r="J109" s="24"/>
      <c r="K109" s="24"/>
      <c r="L109" s="25" t="s">
        <v>95</v>
      </c>
      <c r="M109" s="23"/>
    </row>
    <row r="110" spans="1:13" ht="63.75" x14ac:dyDescent="0.25">
      <c r="A110" s="19" t="s">
        <v>392</v>
      </c>
      <c r="B110" s="20" t="s">
        <v>35</v>
      </c>
      <c r="C110" s="20" t="s">
        <v>173</v>
      </c>
      <c r="D110" s="20" t="s">
        <v>393</v>
      </c>
      <c r="E110" s="20" t="s">
        <v>394</v>
      </c>
      <c r="F110" s="20" t="s">
        <v>395</v>
      </c>
      <c r="G110" s="20" t="s">
        <v>385</v>
      </c>
      <c r="H110" s="20" t="s">
        <v>396</v>
      </c>
      <c r="I110" s="19"/>
      <c r="J110" s="20"/>
      <c r="K110" s="20"/>
      <c r="L110" s="27" t="s">
        <v>131</v>
      </c>
      <c r="M110" s="19"/>
    </row>
    <row r="111" spans="1:13" ht="51" x14ac:dyDescent="0.25">
      <c r="A111" s="23" t="s">
        <v>397</v>
      </c>
      <c r="B111" s="24" t="s">
        <v>35</v>
      </c>
      <c r="C111" s="24" t="s">
        <v>173</v>
      </c>
      <c r="D111" s="24" t="s">
        <v>398</v>
      </c>
      <c r="E111" s="24" t="s">
        <v>399</v>
      </c>
      <c r="F111" s="24" t="s">
        <v>400</v>
      </c>
      <c r="G111" s="24" t="s">
        <v>385</v>
      </c>
      <c r="H111" s="24" t="s">
        <v>401</v>
      </c>
      <c r="I111" s="23"/>
      <c r="J111" s="24"/>
      <c r="K111" s="24"/>
      <c r="L111" s="27" t="s">
        <v>131</v>
      </c>
      <c r="M111" s="23"/>
    </row>
    <row r="112" spans="1:13" ht="76.5" x14ac:dyDescent="0.25">
      <c r="A112" s="19" t="s">
        <v>402</v>
      </c>
      <c r="B112" s="20" t="s">
        <v>35</v>
      </c>
      <c r="C112" s="20" t="s">
        <v>193</v>
      </c>
      <c r="D112" s="20" t="s">
        <v>403</v>
      </c>
      <c r="E112" s="20" t="s">
        <v>404</v>
      </c>
      <c r="F112" s="20" t="s">
        <v>405</v>
      </c>
      <c r="G112" s="20" t="s">
        <v>214</v>
      </c>
      <c r="H112" s="20" t="s">
        <v>406</v>
      </c>
      <c r="I112" s="19"/>
      <c r="J112" s="20"/>
      <c r="K112" s="20"/>
      <c r="L112" s="22" t="s">
        <v>67</v>
      </c>
      <c r="M112" s="19"/>
    </row>
    <row r="113" spans="1:13" ht="63.75" x14ac:dyDescent="0.25">
      <c r="A113" s="23" t="s">
        <v>407</v>
      </c>
      <c r="B113" s="24" t="s">
        <v>35</v>
      </c>
      <c r="C113" s="24" t="s">
        <v>193</v>
      </c>
      <c r="D113" s="24" t="s">
        <v>408</v>
      </c>
      <c r="E113" s="24" t="s">
        <v>409</v>
      </c>
      <c r="F113" s="24" t="s">
        <v>410</v>
      </c>
      <c r="G113" s="24" t="s">
        <v>214</v>
      </c>
      <c r="H113" s="24" t="s">
        <v>411</v>
      </c>
      <c r="I113" s="23"/>
      <c r="J113" s="24"/>
      <c r="K113" s="24"/>
      <c r="L113" s="27" t="s">
        <v>131</v>
      </c>
      <c r="M113" s="23"/>
    </row>
    <row r="114" spans="1:13" ht="63.75" x14ac:dyDescent="0.25">
      <c r="A114" s="19" t="s">
        <v>412</v>
      </c>
      <c r="B114" s="20" t="s">
        <v>35</v>
      </c>
      <c r="C114" s="20" t="s">
        <v>193</v>
      </c>
      <c r="D114" s="20" t="s">
        <v>413</v>
      </c>
      <c r="E114" s="20" t="s">
        <v>414</v>
      </c>
      <c r="F114" s="20" t="s">
        <v>415</v>
      </c>
      <c r="G114" s="20" t="s">
        <v>214</v>
      </c>
      <c r="H114" s="20" t="s">
        <v>416</v>
      </c>
      <c r="I114" s="19"/>
      <c r="J114" s="20"/>
      <c r="K114" s="20"/>
      <c r="L114" s="27" t="s">
        <v>131</v>
      </c>
      <c r="M114" s="19"/>
    </row>
    <row r="115" spans="1:13" ht="63.75" x14ac:dyDescent="0.25">
      <c r="A115" s="23" t="s">
        <v>417</v>
      </c>
      <c r="B115" s="24" t="s">
        <v>35</v>
      </c>
      <c r="C115" s="24" t="s">
        <v>193</v>
      </c>
      <c r="D115" s="24" t="s">
        <v>418</v>
      </c>
      <c r="E115" s="24" t="s">
        <v>419</v>
      </c>
      <c r="F115" s="24" t="s">
        <v>420</v>
      </c>
      <c r="G115" s="24" t="s">
        <v>214</v>
      </c>
      <c r="H115" s="24" t="s">
        <v>421</v>
      </c>
      <c r="I115" s="23"/>
      <c r="J115" s="24"/>
      <c r="K115" s="24"/>
      <c r="L115" s="27" t="s">
        <v>131</v>
      </c>
      <c r="M115" s="23"/>
    </row>
    <row r="116" spans="1:13" ht="63.75" x14ac:dyDescent="0.25">
      <c r="A116" s="19" t="s">
        <v>422</v>
      </c>
      <c r="B116" s="20" t="s">
        <v>35</v>
      </c>
      <c r="C116" s="20" t="s">
        <v>193</v>
      </c>
      <c r="D116" s="20" t="s">
        <v>423</v>
      </c>
      <c r="E116" s="20" t="s">
        <v>424</v>
      </c>
      <c r="F116" s="20" t="s">
        <v>425</v>
      </c>
      <c r="G116" s="20" t="s">
        <v>214</v>
      </c>
      <c r="H116" s="20" t="s">
        <v>426</v>
      </c>
      <c r="I116" s="19"/>
      <c r="J116" s="20"/>
      <c r="K116" s="20"/>
      <c r="L116" s="25" t="s">
        <v>95</v>
      </c>
      <c r="M116" s="19"/>
    </row>
    <row r="117" spans="1:13" ht="76.5" x14ac:dyDescent="0.25">
      <c r="A117" s="23" t="s">
        <v>427</v>
      </c>
      <c r="B117" s="24" t="s">
        <v>35</v>
      </c>
      <c r="C117" s="24" t="s">
        <v>193</v>
      </c>
      <c r="D117" s="24" t="s">
        <v>428</v>
      </c>
      <c r="E117" s="24" t="s">
        <v>429</v>
      </c>
      <c r="F117" s="24" t="s">
        <v>430</v>
      </c>
      <c r="G117" s="24" t="s">
        <v>214</v>
      </c>
      <c r="H117" s="24" t="s">
        <v>431</v>
      </c>
      <c r="I117" s="23"/>
      <c r="J117" s="24"/>
      <c r="K117" s="24"/>
      <c r="L117" s="27" t="s">
        <v>131</v>
      </c>
      <c r="M117" s="23"/>
    </row>
    <row r="118" spans="1:13" ht="63.75" x14ac:dyDescent="0.25">
      <c r="A118" s="19" t="s">
        <v>432</v>
      </c>
      <c r="B118" s="20" t="s">
        <v>35</v>
      </c>
      <c r="C118" s="20" t="s">
        <v>193</v>
      </c>
      <c r="D118" s="20" t="s">
        <v>433</v>
      </c>
      <c r="E118" s="20" t="s">
        <v>434</v>
      </c>
      <c r="F118" s="20" t="s">
        <v>435</v>
      </c>
      <c r="G118" s="20" t="s">
        <v>436</v>
      </c>
      <c r="H118" s="20" t="s">
        <v>437</v>
      </c>
      <c r="I118" s="19"/>
      <c r="J118" s="20"/>
      <c r="K118" s="20"/>
      <c r="L118" s="27" t="s">
        <v>131</v>
      </c>
      <c r="M118" s="19"/>
    </row>
    <row r="119" spans="1:13" ht="51" x14ac:dyDescent="0.25">
      <c r="A119" s="23" t="s">
        <v>438</v>
      </c>
      <c r="B119" s="24" t="s">
        <v>35</v>
      </c>
      <c r="C119" s="24" t="s">
        <v>193</v>
      </c>
      <c r="D119" s="24" t="s">
        <v>439</v>
      </c>
      <c r="E119" s="24" t="s">
        <v>439</v>
      </c>
      <c r="F119" s="24" t="s">
        <v>440</v>
      </c>
      <c r="G119" s="24" t="s">
        <v>214</v>
      </c>
      <c r="H119" s="24" t="s">
        <v>441</v>
      </c>
      <c r="I119" s="23"/>
      <c r="J119" s="24"/>
      <c r="K119" s="24"/>
      <c r="L119" s="27" t="s">
        <v>131</v>
      </c>
      <c r="M119" s="23"/>
    </row>
    <row r="120" spans="1:13" ht="63.75" x14ac:dyDescent="0.25">
      <c r="A120" s="19" t="s">
        <v>442</v>
      </c>
      <c r="B120" s="20" t="s">
        <v>35</v>
      </c>
      <c r="C120" s="20" t="s">
        <v>443</v>
      </c>
      <c r="D120" s="20" t="s">
        <v>444</v>
      </c>
      <c r="E120" s="20" t="s">
        <v>445</v>
      </c>
      <c r="F120" s="20" t="s">
        <v>446</v>
      </c>
      <c r="G120" s="20" t="s">
        <v>447</v>
      </c>
      <c r="H120" s="20" t="s">
        <v>448</v>
      </c>
      <c r="I120" s="19"/>
      <c r="J120" s="20"/>
      <c r="K120" s="20"/>
      <c r="L120" s="25" t="s">
        <v>95</v>
      </c>
      <c r="M120" s="19"/>
    </row>
    <row r="121" spans="1:13" ht="63.75" x14ac:dyDescent="0.25">
      <c r="A121" s="23" t="s">
        <v>449</v>
      </c>
      <c r="B121" s="24" t="s">
        <v>35</v>
      </c>
      <c r="C121" s="24" t="s">
        <v>443</v>
      </c>
      <c r="D121" s="24" t="s">
        <v>450</v>
      </c>
      <c r="E121" s="24" t="s">
        <v>451</v>
      </c>
      <c r="F121" s="24" t="s">
        <v>452</v>
      </c>
      <c r="G121" s="24" t="s">
        <v>447</v>
      </c>
      <c r="H121" s="24" t="s">
        <v>453</v>
      </c>
      <c r="I121" s="23"/>
      <c r="J121" s="24"/>
      <c r="K121" s="24"/>
      <c r="L121" s="25" t="s">
        <v>95</v>
      </c>
      <c r="M121" s="23"/>
    </row>
    <row r="122" spans="1:13" ht="51" x14ac:dyDescent="0.25">
      <c r="A122" s="19" t="s">
        <v>454</v>
      </c>
      <c r="B122" s="20" t="s">
        <v>35</v>
      </c>
      <c r="C122" s="20" t="s">
        <v>443</v>
      </c>
      <c r="D122" s="20" t="s">
        <v>455</v>
      </c>
      <c r="E122" s="20" t="s">
        <v>456</v>
      </c>
      <c r="F122" s="20" t="s">
        <v>457</v>
      </c>
      <c r="G122" s="20" t="s">
        <v>447</v>
      </c>
      <c r="H122" s="20" t="s">
        <v>458</v>
      </c>
      <c r="I122" s="19"/>
      <c r="J122" s="20"/>
      <c r="K122" s="20"/>
      <c r="L122" s="25" t="s">
        <v>95</v>
      </c>
      <c r="M122" s="19"/>
    </row>
    <row r="123" spans="1:13" ht="63.75" x14ac:dyDescent="0.25">
      <c r="A123" s="23" t="s">
        <v>459</v>
      </c>
      <c r="B123" s="24" t="s">
        <v>35</v>
      </c>
      <c r="C123" s="24" t="s">
        <v>460</v>
      </c>
      <c r="D123" s="24" t="s">
        <v>461</v>
      </c>
      <c r="E123" s="24" t="s">
        <v>462</v>
      </c>
      <c r="F123" s="24" t="s">
        <v>463</v>
      </c>
      <c r="G123" s="24" t="s">
        <v>464</v>
      </c>
      <c r="H123" s="24" t="s">
        <v>465</v>
      </c>
      <c r="I123" s="23"/>
      <c r="J123" s="24"/>
      <c r="K123" s="24"/>
      <c r="L123" s="22" t="s">
        <v>67</v>
      </c>
      <c r="M123" s="23"/>
    </row>
    <row r="124" spans="1:13" ht="51" x14ac:dyDescent="0.25">
      <c r="A124" s="19" t="s">
        <v>466</v>
      </c>
      <c r="B124" s="20" t="s">
        <v>35</v>
      </c>
      <c r="C124" s="20" t="s">
        <v>460</v>
      </c>
      <c r="D124" s="20" t="s">
        <v>467</v>
      </c>
      <c r="E124" s="20" t="s">
        <v>468</v>
      </c>
      <c r="F124" s="20" t="s">
        <v>469</v>
      </c>
      <c r="G124" s="20" t="s">
        <v>464</v>
      </c>
      <c r="H124" s="20" t="s">
        <v>470</v>
      </c>
      <c r="I124" s="19"/>
      <c r="J124" s="20"/>
      <c r="K124" s="20"/>
      <c r="L124" s="27" t="s">
        <v>131</v>
      </c>
      <c r="M124" s="19"/>
    </row>
    <row r="125" spans="1:13" ht="51" x14ac:dyDescent="0.25">
      <c r="A125" s="23" t="s">
        <v>471</v>
      </c>
      <c r="B125" s="24" t="s">
        <v>35</v>
      </c>
      <c r="C125" s="24" t="s">
        <v>460</v>
      </c>
      <c r="D125" s="24" t="s">
        <v>472</v>
      </c>
      <c r="E125" s="24" t="s">
        <v>473</v>
      </c>
      <c r="F125" s="24" t="s">
        <v>474</v>
      </c>
      <c r="G125" s="24" t="s">
        <v>464</v>
      </c>
      <c r="H125" s="24" t="s">
        <v>475</v>
      </c>
      <c r="I125" s="23"/>
      <c r="J125" s="24"/>
      <c r="K125" s="24"/>
      <c r="L125" s="25" t="s">
        <v>95</v>
      </c>
      <c r="M125" s="23"/>
    </row>
    <row r="126" spans="1:13" x14ac:dyDescent="0.25">
      <c r="A126" s="19"/>
      <c r="B126" s="20"/>
      <c r="C126" s="20"/>
      <c r="D126" s="20"/>
      <c r="E126" s="20"/>
      <c r="F126" s="20"/>
      <c r="G126" s="20" t="s">
        <v>476</v>
      </c>
      <c r="H126" s="20"/>
      <c r="I126" s="19"/>
      <c r="J126" s="20"/>
      <c r="K126" s="20"/>
      <c r="L126" s="19"/>
      <c r="M126" s="19"/>
    </row>
    <row r="127" spans="1:13" x14ac:dyDescent="0.25">
      <c r="A127" s="23" t="s">
        <v>477</v>
      </c>
      <c r="B127" s="24"/>
      <c r="C127" s="24"/>
      <c r="D127" s="24"/>
      <c r="E127" s="24"/>
      <c r="F127" s="24"/>
      <c r="G127" s="24" t="s">
        <v>476</v>
      </c>
      <c r="H127" s="24"/>
      <c r="I127" s="23"/>
      <c r="J127" s="24"/>
      <c r="K127" s="24"/>
      <c r="L127" s="23"/>
      <c r="M127" s="23"/>
    </row>
    <row r="128" spans="1:13" x14ac:dyDescent="0.25">
      <c r="A128" s="19" t="s">
        <v>478</v>
      </c>
      <c r="B128" s="20"/>
      <c r="C128" s="20"/>
      <c r="D128" s="20"/>
      <c r="E128" s="20"/>
      <c r="F128" s="20"/>
      <c r="G128" s="20" t="s">
        <v>476</v>
      </c>
      <c r="H128" s="20"/>
      <c r="I128" s="19"/>
      <c r="J128" s="20"/>
      <c r="K128" s="20"/>
      <c r="L128" s="19"/>
      <c r="M128" s="19"/>
    </row>
    <row r="129" spans="1:13" x14ac:dyDescent="0.25">
      <c r="A129" s="23" t="s">
        <v>479</v>
      </c>
      <c r="B129" s="24"/>
      <c r="C129" s="24"/>
      <c r="D129" s="24"/>
      <c r="E129" s="24"/>
      <c r="F129" s="24"/>
      <c r="G129" s="24" t="s">
        <v>476</v>
      </c>
      <c r="H129" s="24"/>
      <c r="I129" s="23"/>
      <c r="J129" s="24"/>
      <c r="K129" s="24"/>
      <c r="L129" s="23"/>
      <c r="M129" s="23"/>
    </row>
    <row r="130" spans="1:13" x14ac:dyDescent="0.25">
      <c r="A130" s="19" t="s">
        <v>480</v>
      </c>
      <c r="B130" s="20"/>
      <c r="C130" s="20"/>
      <c r="D130" s="20"/>
      <c r="E130" s="20"/>
      <c r="F130" s="20"/>
      <c r="G130" s="20" t="s">
        <v>476</v>
      </c>
      <c r="H130" s="20"/>
      <c r="I130" s="19"/>
      <c r="J130" s="20"/>
      <c r="K130" s="20"/>
      <c r="L130" s="19"/>
      <c r="M130" s="19"/>
    </row>
    <row r="131" spans="1:13" x14ac:dyDescent="0.25">
      <c r="A131" s="23" t="s">
        <v>481</v>
      </c>
      <c r="B131" s="24"/>
      <c r="C131" s="24"/>
      <c r="D131" s="24"/>
      <c r="E131" s="24"/>
      <c r="F131" s="24"/>
      <c r="G131" s="24" t="s">
        <v>476</v>
      </c>
      <c r="H131" s="24"/>
      <c r="I131" s="23"/>
      <c r="J131" s="24"/>
      <c r="K131" s="24"/>
      <c r="L131" s="23"/>
      <c r="M131" s="23"/>
    </row>
    <row r="132" spans="1:13" ht="51" x14ac:dyDescent="0.25">
      <c r="A132" s="19" t="s">
        <v>482</v>
      </c>
      <c r="B132" s="20" t="s">
        <v>35</v>
      </c>
      <c r="C132" s="20" t="s">
        <v>483</v>
      </c>
      <c r="D132" s="20" t="s">
        <v>484</v>
      </c>
      <c r="E132" s="20" t="s">
        <v>485</v>
      </c>
      <c r="F132" s="20" t="s">
        <v>486</v>
      </c>
      <c r="G132" s="20" t="s">
        <v>487</v>
      </c>
      <c r="H132" s="20" t="s">
        <v>488</v>
      </c>
      <c r="I132" s="19"/>
      <c r="J132" s="20"/>
      <c r="K132" s="20"/>
      <c r="L132" s="25" t="s">
        <v>95</v>
      </c>
      <c r="M132" s="19"/>
    </row>
    <row r="133" spans="1:13" ht="51" x14ac:dyDescent="0.25">
      <c r="A133" s="23" t="s">
        <v>489</v>
      </c>
      <c r="B133" s="24" t="s">
        <v>35</v>
      </c>
      <c r="C133" s="24" t="s">
        <v>490</v>
      </c>
      <c r="D133" s="24" t="s">
        <v>491</v>
      </c>
      <c r="E133" s="24" t="s">
        <v>492</v>
      </c>
      <c r="F133" s="24" t="s">
        <v>493</v>
      </c>
      <c r="G133" s="24" t="s">
        <v>494</v>
      </c>
      <c r="H133" s="24" t="s">
        <v>495</v>
      </c>
      <c r="I133" s="23"/>
      <c r="J133" s="24"/>
      <c r="K133" s="24"/>
      <c r="L133" s="27" t="s">
        <v>131</v>
      </c>
      <c r="M133" s="23"/>
    </row>
    <row r="134" spans="1:13" ht="51" x14ac:dyDescent="0.25">
      <c r="A134" s="19" t="s">
        <v>496</v>
      </c>
      <c r="B134" s="20" t="s">
        <v>35</v>
      </c>
      <c r="C134" s="20" t="s">
        <v>497</v>
      </c>
      <c r="D134" s="20" t="s">
        <v>498</v>
      </c>
      <c r="E134" s="20" t="s">
        <v>499</v>
      </c>
      <c r="F134" s="20" t="s">
        <v>500</v>
      </c>
      <c r="G134" s="20" t="s">
        <v>501</v>
      </c>
      <c r="H134" s="20" t="s">
        <v>502</v>
      </c>
      <c r="I134" s="19"/>
      <c r="J134" s="20"/>
      <c r="K134" s="20"/>
      <c r="L134" s="25" t="s">
        <v>95</v>
      </c>
      <c r="M134" s="19"/>
    </row>
    <row r="135" spans="1:13" ht="51" x14ac:dyDescent="0.25">
      <c r="A135" s="23" t="s">
        <v>503</v>
      </c>
      <c r="B135" s="24" t="s">
        <v>35</v>
      </c>
      <c r="C135" s="24" t="s">
        <v>173</v>
      </c>
      <c r="D135" s="24" t="s">
        <v>504</v>
      </c>
      <c r="E135" s="24" t="s">
        <v>505</v>
      </c>
      <c r="F135" s="24" t="s">
        <v>506</v>
      </c>
      <c r="G135" s="24" t="s">
        <v>507</v>
      </c>
      <c r="H135" s="24" t="s">
        <v>508</v>
      </c>
      <c r="I135" s="23"/>
      <c r="J135" s="24"/>
      <c r="K135" s="24"/>
      <c r="L135" s="22" t="s">
        <v>67</v>
      </c>
      <c r="M135" s="23"/>
    </row>
    <row r="136" spans="1:13" ht="38.25" x14ac:dyDescent="0.25">
      <c r="A136" s="19" t="s">
        <v>509</v>
      </c>
      <c r="B136" s="20" t="s">
        <v>35</v>
      </c>
      <c r="C136" s="20" t="s">
        <v>60</v>
      </c>
      <c r="D136" s="20" t="s">
        <v>62</v>
      </c>
      <c r="E136" s="20" t="s">
        <v>510</v>
      </c>
      <c r="F136" s="20" t="s">
        <v>511</v>
      </c>
      <c r="G136" s="20" t="s">
        <v>64</v>
      </c>
      <c r="H136" s="20" t="s">
        <v>512</v>
      </c>
      <c r="I136" s="19"/>
      <c r="J136" s="20"/>
      <c r="K136" s="20"/>
      <c r="L136" s="26" t="s">
        <v>103</v>
      </c>
      <c r="M136" s="19"/>
    </row>
    <row r="137" spans="1:13" ht="38.25" x14ac:dyDescent="0.25">
      <c r="A137" s="23" t="s">
        <v>513</v>
      </c>
      <c r="B137" s="24" t="s">
        <v>35</v>
      </c>
      <c r="C137" s="24" t="s">
        <v>60</v>
      </c>
      <c r="D137" s="24" t="s">
        <v>69</v>
      </c>
      <c r="E137" s="24" t="s">
        <v>514</v>
      </c>
      <c r="F137" s="24" t="s">
        <v>515</v>
      </c>
      <c r="G137" s="24" t="s">
        <v>64</v>
      </c>
      <c r="H137" s="24" t="s">
        <v>516</v>
      </c>
      <c r="I137" s="23"/>
      <c r="J137" s="24"/>
      <c r="K137" s="24"/>
      <c r="L137" s="22" t="s">
        <v>67</v>
      </c>
      <c r="M137" s="23"/>
    </row>
    <row r="138" spans="1:13" ht="38.25" x14ac:dyDescent="0.25">
      <c r="A138" s="19" t="s">
        <v>517</v>
      </c>
      <c r="B138" s="20" t="s">
        <v>35</v>
      </c>
      <c r="C138" s="20" t="s">
        <v>60</v>
      </c>
      <c r="D138" s="20" t="s">
        <v>75</v>
      </c>
      <c r="E138" s="20" t="s">
        <v>74</v>
      </c>
      <c r="F138" s="20" t="s">
        <v>518</v>
      </c>
      <c r="G138" s="20" t="s">
        <v>64</v>
      </c>
      <c r="H138" s="20" t="s">
        <v>519</v>
      </c>
      <c r="I138" s="19"/>
      <c r="J138" s="20"/>
      <c r="K138" s="20"/>
      <c r="L138" s="22" t="s">
        <v>67</v>
      </c>
      <c r="M138" s="19"/>
    </row>
    <row r="139" spans="1:13" ht="51" x14ac:dyDescent="0.25">
      <c r="A139" s="23" t="s">
        <v>520</v>
      </c>
      <c r="B139" s="24" t="s">
        <v>35</v>
      </c>
      <c r="C139" s="24" t="s">
        <v>60</v>
      </c>
      <c r="D139" s="24" t="s">
        <v>232</v>
      </c>
      <c r="E139" s="24" t="s">
        <v>232</v>
      </c>
      <c r="F139" s="24" t="s">
        <v>521</v>
      </c>
      <c r="G139" s="24" t="s">
        <v>64</v>
      </c>
      <c r="H139" s="24" t="s">
        <v>522</v>
      </c>
      <c r="I139" s="23"/>
      <c r="J139" s="24"/>
      <c r="K139" s="24"/>
      <c r="L139" s="22" t="s">
        <v>67</v>
      </c>
      <c r="M139" s="23"/>
    </row>
    <row r="140" spans="1:13" ht="63.75" x14ac:dyDescent="0.25">
      <c r="A140" s="19" t="s">
        <v>523</v>
      </c>
      <c r="B140" s="20" t="s">
        <v>35</v>
      </c>
      <c r="C140" s="20" t="s">
        <v>237</v>
      </c>
      <c r="D140" s="20" t="s">
        <v>524</v>
      </c>
      <c r="E140" s="20" t="s">
        <v>525</v>
      </c>
      <c r="F140" s="20" t="s">
        <v>526</v>
      </c>
      <c r="G140" s="20" t="s">
        <v>241</v>
      </c>
      <c r="H140" s="20" t="s">
        <v>527</v>
      </c>
      <c r="I140" s="19"/>
      <c r="J140" s="20"/>
      <c r="K140" s="20"/>
      <c r="L140" s="22" t="s">
        <v>67</v>
      </c>
      <c r="M140" s="19"/>
    </row>
    <row r="141" spans="1:13" ht="63.75" x14ac:dyDescent="0.25">
      <c r="A141" s="23" t="s">
        <v>528</v>
      </c>
      <c r="B141" s="24" t="s">
        <v>35</v>
      </c>
      <c r="C141" s="24" t="s">
        <v>237</v>
      </c>
      <c r="D141" s="24" t="s">
        <v>529</v>
      </c>
      <c r="E141" s="24" t="s">
        <v>530</v>
      </c>
      <c r="F141" s="24" t="s">
        <v>531</v>
      </c>
      <c r="G141" s="24" t="s">
        <v>241</v>
      </c>
      <c r="H141" s="24" t="s">
        <v>532</v>
      </c>
      <c r="I141" s="23"/>
      <c r="J141" s="24"/>
      <c r="K141" s="24"/>
      <c r="L141" s="22" t="s">
        <v>67</v>
      </c>
      <c r="M141" s="23"/>
    </row>
    <row r="142" spans="1:13" ht="51" x14ac:dyDescent="0.25">
      <c r="A142" s="19" t="s">
        <v>533</v>
      </c>
      <c r="B142" s="20" t="s">
        <v>35</v>
      </c>
      <c r="C142" s="20" t="s">
        <v>237</v>
      </c>
      <c r="D142" s="20" t="s">
        <v>534</v>
      </c>
      <c r="E142" s="20" t="s">
        <v>535</v>
      </c>
      <c r="F142" s="20" t="s">
        <v>536</v>
      </c>
      <c r="G142" s="20" t="s">
        <v>241</v>
      </c>
      <c r="H142" s="20" t="s">
        <v>537</v>
      </c>
      <c r="I142" s="19"/>
      <c r="J142" s="20"/>
      <c r="K142" s="20"/>
      <c r="L142" s="22" t="s">
        <v>67</v>
      </c>
      <c r="M142" s="19"/>
    </row>
    <row r="143" spans="1:13" ht="51" x14ac:dyDescent="0.25">
      <c r="A143" s="23" t="s">
        <v>538</v>
      </c>
      <c r="B143" s="24" t="s">
        <v>35</v>
      </c>
      <c r="C143" s="24" t="s">
        <v>237</v>
      </c>
      <c r="D143" s="24" t="s">
        <v>539</v>
      </c>
      <c r="E143" s="24" t="s">
        <v>540</v>
      </c>
      <c r="F143" s="24" t="s">
        <v>541</v>
      </c>
      <c r="G143" s="24" t="s">
        <v>241</v>
      </c>
      <c r="H143" s="24" t="s">
        <v>542</v>
      </c>
      <c r="I143" s="23"/>
      <c r="J143" s="24"/>
      <c r="K143" s="24"/>
      <c r="L143" s="26" t="s">
        <v>103</v>
      </c>
      <c r="M143" s="23"/>
    </row>
    <row r="144" spans="1:13" ht="51" x14ac:dyDescent="0.25">
      <c r="A144" s="19" t="s">
        <v>543</v>
      </c>
      <c r="B144" s="20" t="s">
        <v>35</v>
      </c>
      <c r="C144" s="20" t="s">
        <v>237</v>
      </c>
      <c r="D144" s="20" t="s">
        <v>544</v>
      </c>
      <c r="E144" s="20" t="s">
        <v>545</v>
      </c>
      <c r="F144" s="20" t="s">
        <v>546</v>
      </c>
      <c r="G144" s="20" t="s">
        <v>241</v>
      </c>
      <c r="H144" s="20" t="s">
        <v>547</v>
      </c>
      <c r="I144" s="19"/>
      <c r="J144" s="20"/>
      <c r="K144" s="20"/>
      <c r="L144" s="26" t="s">
        <v>103</v>
      </c>
      <c r="M144" s="19"/>
    </row>
    <row r="145" spans="1:13" ht="51" x14ac:dyDescent="0.25">
      <c r="A145" s="23" t="s">
        <v>548</v>
      </c>
      <c r="B145" s="24" t="s">
        <v>35</v>
      </c>
      <c r="C145" s="24" t="s">
        <v>237</v>
      </c>
      <c r="D145" s="24" t="s">
        <v>265</v>
      </c>
      <c r="E145" s="24" t="s">
        <v>266</v>
      </c>
      <c r="F145" s="24" t="s">
        <v>549</v>
      </c>
      <c r="G145" s="24" t="s">
        <v>241</v>
      </c>
      <c r="H145" s="24" t="s">
        <v>550</v>
      </c>
      <c r="I145" s="23"/>
      <c r="J145" s="24"/>
      <c r="K145" s="24"/>
      <c r="L145" s="25" t="s">
        <v>95</v>
      </c>
      <c r="M145" s="23"/>
    </row>
    <row r="146" spans="1:13" ht="38.25" x14ac:dyDescent="0.25">
      <c r="A146" s="19" t="s">
        <v>551</v>
      </c>
      <c r="B146" s="20" t="s">
        <v>35</v>
      </c>
      <c r="C146" s="20" t="s">
        <v>237</v>
      </c>
      <c r="D146" s="20" t="s">
        <v>552</v>
      </c>
      <c r="E146" s="20" t="s">
        <v>553</v>
      </c>
      <c r="F146" s="20" t="s">
        <v>554</v>
      </c>
      <c r="G146" s="20" t="s">
        <v>555</v>
      </c>
      <c r="H146" s="20" t="s">
        <v>556</v>
      </c>
      <c r="I146" s="19"/>
      <c r="J146" s="20"/>
      <c r="K146" s="20"/>
      <c r="L146" s="22" t="s">
        <v>67</v>
      </c>
      <c r="M146" s="19"/>
    </row>
    <row r="147" spans="1:13" ht="38.25" x14ac:dyDescent="0.25">
      <c r="A147" s="23" t="s">
        <v>557</v>
      </c>
      <c r="B147" s="24" t="s">
        <v>35</v>
      </c>
      <c r="C147" s="24" t="s">
        <v>79</v>
      </c>
      <c r="D147" s="24" t="s">
        <v>558</v>
      </c>
      <c r="E147" s="24" t="s">
        <v>559</v>
      </c>
      <c r="F147" s="24" t="s">
        <v>560</v>
      </c>
      <c r="G147" s="24" t="s">
        <v>83</v>
      </c>
      <c r="H147" s="24" t="s">
        <v>561</v>
      </c>
      <c r="I147" s="23"/>
      <c r="J147" s="24"/>
      <c r="K147" s="24"/>
      <c r="L147" s="26" t="s">
        <v>103</v>
      </c>
      <c r="M147" s="23"/>
    </row>
    <row r="148" spans="1:13" ht="38.25" x14ac:dyDescent="0.25">
      <c r="A148" s="19" t="s">
        <v>562</v>
      </c>
      <c r="B148" s="20" t="s">
        <v>35</v>
      </c>
      <c r="C148" s="20" t="s">
        <v>79</v>
      </c>
      <c r="D148" s="20" t="s">
        <v>563</v>
      </c>
      <c r="E148" s="20" t="s">
        <v>564</v>
      </c>
      <c r="F148" s="20" t="s">
        <v>565</v>
      </c>
      <c r="G148" s="20" t="s">
        <v>83</v>
      </c>
      <c r="H148" s="20" t="s">
        <v>566</v>
      </c>
      <c r="I148" s="19"/>
      <c r="J148" s="20"/>
      <c r="K148" s="20"/>
      <c r="L148" s="22" t="s">
        <v>67</v>
      </c>
      <c r="M148" s="19"/>
    </row>
    <row r="149" spans="1:13" ht="51" x14ac:dyDescent="0.25">
      <c r="A149" s="23" t="s">
        <v>567</v>
      </c>
      <c r="B149" s="24" t="s">
        <v>35</v>
      </c>
      <c r="C149" s="24" t="s">
        <v>79</v>
      </c>
      <c r="D149" s="24" t="s">
        <v>568</v>
      </c>
      <c r="E149" s="24" t="s">
        <v>569</v>
      </c>
      <c r="F149" s="24" t="s">
        <v>570</v>
      </c>
      <c r="G149" s="24" t="s">
        <v>83</v>
      </c>
      <c r="H149" s="24" t="s">
        <v>571</v>
      </c>
      <c r="I149" s="23"/>
      <c r="J149" s="24"/>
      <c r="K149" s="24"/>
      <c r="L149" s="22" t="s">
        <v>67</v>
      </c>
      <c r="M149" s="23"/>
    </row>
    <row r="150" spans="1:13" ht="38.25" x14ac:dyDescent="0.25">
      <c r="A150" s="19" t="s">
        <v>572</v>
      </c>
      <c r="B150" s="20" t="s">
        <v>35</v>
      </c>
      <c r="C150" s="20" t="s">
        <v>79</v>
      </c>
      <c r="D150" s="20" t="s">
        <v>91</v>
      </c>
      <c r="E150" s="20" t="s">
        <v>573</v>
      </c>
      <c r="F150" s="20" t="s">
        <v>574</v>
      </c>
      <c r="G150" s="20" t="s">
        <v>83</v>
      </c>
      <c r="H150" s="20" t="s">
        <v>575</v>
      </c>
      <c r="I150" s="19"/>
      <c r="J150" s="20"/>
      <c r="K150" s="20"/>
      <c r="L150" s="25" t="s">
        <v>95</v>
      </c>
      <c r="M150" s="19"/>
    </row>
    <row r="151" spans="1:13" ht="38.25" x14ac:dyDescent="0.25">
      <c r="A151" s="23" t="s">
        <v>576</v>
      </c>
      <c r="B151" s="24" t="s">
        <v>35</v>
      </c>
      <c r="C151" s="24" t="s">
        <v>79</v>
      </c>
      <c r="D151" s="24" t="s">
        <v>270</v>
      </c>
      <c r="E151" s="24" t="s">
        <v>577</v>
      </c>
      <c r="F151" s="24" t="s">
        <v>578</v>
      </c>
      <c r="G151" s="24" t="s">
        <v>83</v>
      </c>
      <c r="H151" s="24" t="s">
        <v>579</v>
      </c>
      <c r="I151" s="23"/>
      <c r="J151" s="24"/>
      <c r="K151" s="24"/>
      <c r="L151" s="22" t="s">
        <v>67</v>
      </c>
      <c r="M151" s="23"/>
    </row>
    <row r="152" spans="1:13" ht="51" x14ac:dyDescent="0.25">
      <c r="A152" s="19" t="s">
        <v>580</v>
      </c>
      <c r="B152" s="20" t="s">
        <v>35</v>
      </c>
      <c r="C152" s="20" t="s">
        <v>79</v>
      </c>
      <c r="D152" s="20" t="s">
        <v>581</v>
      </c>
      <c r="E152" s="20" t="s">
        <v>277</v>
      </c>
      <c r="F152" s="20" t="s">
        <v>582</v>
      </c>
      <c r="G152" s="20" t="s">
        <v>83</v>
      </c>
      <c r="H152" s="20" t="s">
        <v>583</v>
      </c>
      <c r="I152" s="19"/>
      <c r="J152" s="20"/>
      <c r="K152" s="20"/>
      <c r="L152" s="27" t="s">
        <v>131</v>
      </c>
      <c r="M152" s="19"/>
    </row>
    <row r="153" spans="1:13" ht="38.25" x14ac:dyDescent="0.25">
      <c r="A153" s="23" t="s">
        <v>584</v>
      </c>
      <c r="B153" s="24" t="s">
        <v>35</v>
      </c>
      <c r="C153" s="24" t="s">
        <v>79</v>
      </c>
      <c r="D153" s="24" t="s">
        <v>287</v>
      </c>
      <c r="E153" s="24" t="s">
        <v>585</v>
      </c>
      <c r="F153" s="24" t="s">
        <v>586</v>
      </c>
      <c r="G153" s="24" t="s">
        <v>83</v>
      </c>
      <c r="H153" s="24" t="s">
        <v>587</v>
      </c>
      <c r="I153" s="23"/>
      <c r="J153" s="24"/>
      <c r="K153" s="24"/>
      <c r="L153" s="22" t="s">
        <v>67</v>
      </c>
      <c r="M153" s="23"/>
    </row>
    <row r="154" spans="1:13" ht="38.25" x14ac:dyDescent="0.25">
      <c r="A154" s="19" t="s">
        <v>588</v>
      </c>
      <c r="B154" s="20" t="s">
        <v>35</v>
      </c>
      <c r="C154" s="20" t="s">
        <v>97</v>
      </c>
      <c r="D154" s="20" t="s">
        <v>99</v>
      </c>
      <c r="E154" s="20" t="s">
        <v>99</v>
      </c>
      <c r="F154" s="20" t="s">
        <v>589</v>
      </c>
      <c r="G154" s="20" t="s">
        <v>113</v>
      </c>
      <c r="H154" s="20" t="s">
        <v>590</v>
      </c>
      <c r="I154" s="19"/>
      <c r="J154" s="20"/>
      <c r="K154" s="20"/>
      <c r="L154" s="26" t="s">
        <v>103</v>
      </c>
      <c r="M154" s="19"/>
    </row>
    <row r="155" spans="1:13" ht="38.25" x14ac:dyDescent="0.25">
      <c r="A155" s="23" t="s">
        <v>591</v>
      </c>
      <c r="B155" s="24" t="s">
        <v>35</v>
      </c>
      <c r="C155" s="24" t="s">
        <v>97</v>
      </c>
      <c r="D155" s="24" t="s">
        <v>106</v>
      </c>
      <c r="E155" s="24" t="s">
        <v>106</v>
      </c>
      <c r="F155" s="24" t="s">
        <v>592</v>
      </c>
      <c r="G155" s="24" t="s">
        <v>113</v>
      </c>
      <c r="H155" s="24" t="s">
        <v>593</v>
      </c>
      <c r="I155" s="23"/>
      <c r="J155" s="24"/>
      <c r="K155" s="24"/>
      <c r="L155" s="22" t="s">
        <v>67</v>
      </c>
      <c r="M155" s="23"/>
    </row>
    <row r="156" spans="1:13" ht="38.25" x14ac:dyDescent="0.25">
      <c r="A156" s="19" t="s">
        <v>594</v>
      </c>
      <c r="B156" s="20" t="s">
        <v>35</v>
      </c>
      <c r="C156" s="20" t="s">
        <v>97</v>
      </c>
      <c r="D156" s="20" t="s">
        <v>110</v>
      </c>
      <c r="E156" s="20" t="s">
        <v>111</v>
      </c>
      <c r="F156" s="20" t="s">
        <v>595</v>
      </c>
      <c r="G156" s="20" t="s">
        <v>113</v>
      </c>
      <c r="H156" s="20" t="s">
        <v>596</v>
      </c>
      <c r="I156" s="19"/>
      <c r="J156" s="20"/>
      <c r="K156" s="20"/>
      <c r="L156" s="26" t="s">
        <v>103</v>
      </c>
      <c r="M156" s="19"/>
    </row>
    <row r="157" spans="1:13" ht="38.25" x14ac:dyDescent="0.25">
      <c r="A157" s="23" t="s">
        <v>597</v>
      </c>
      <c r="B157" s="24" t="s">
        <v>35</v>
      </c>
      <c r="C157" s="24" t="s">
        <v>97</v>
      </c>
      <c r="D157" s="24" t="s">
        <v>116</v>
      </c>
      <c r="E157" s="24" t="s">
        <v>117</v>
      </c>
      <c r="F157" s="24" t="s">
        <v>598</v>
      </c>
      <c r="G157" s="24" t="s">
        <v>113</v>
      </c>
      <c r="H157" s="24" t="s">
        <v>599</v>
      </c>
      <c r="I157" s="23"/>
      <c r="J157" s="24"/>
      <c r="K157" s="24"/>
      <c r="L157" s="26" t="s">
        <v>103</v>
      </c>
      <c r="M157" s="23"/>
    </row>
    <row r="158" spans="1:13" ht="51" x14ac:dyDescent="0.25">
      <c r="A158" s="19" t="s">
        <v>600</v>
      </c>
      <c r="B158" s="20" t="s">
        <v>35</v>
      </c>
      <c r="C158" s="20" t="s">
        <v>97</v>
      </c>
      <c r="D158" s="20" t="s">
        <v>123</v>
      </c>
      <c r="E158" s="20" t="s">
        <v>123</v>
      </c>
      <c r="F158" s="20" t="s">
        <v>601</v>
      </c>
      <c r="G158" s="20" t="s">
        <v>101</v>
      </c>
      <c r="H158" s="20" t="s">
        <v>602</v>
      </c>
      <c r="I158" s="19"/>
      <c r="J158" s="20"/>
      <c r="K158" s="20"/>
      <c r="L158" s="22" t="s">
        <v>67</v>
      </c>
      <c r="M158" s="19"/>
    </row>
    <row r="159" spans="1:13" ht="38.25" x14ac:dyDescent="0.25">
      <c r="A159" s="23" t="s">
        <v>603</v>
      </c>
      <c r="B159" s="24" t="s">
        <v>35</v>
      </c>
      <c r="C159" s="24" t="s">
        <v>97</v>
      </c>
      <c r="D159" s="24" t="s">
        <v>127</v>
      </c>
      <c r="E159" s="24" t="s">
        <v>128</v>
      </c>
      <c r="F159" s="24" t="s">
        <v>604</v>
      </c>
      <c r="G159" s="24" t="s">
        <v>113</v>
      </c>
      <c r="H159" s="24" t="s">
        <v>605</v>
      </c>
      <c r="I159" s="23"/>
      <c r="J159" s="24"/>
      <c r="K159" s="24"/>
      <c r="L159" s="27" t="s">
        <v>131</v>
      </c>
      <c r="M159" s="23"/>
    </row>
    <row r="160" spans="1:13" ht="51" x14ac:dyDescent="0.25">
      <c r="A160" s="19" t="s">
        <v>606</v>
      </c>
      <c r="B160" s="20" t="s">
        <v>35</v>
      </c>
      <c r="C160" s="20" t="s">
        <v>97</v>
      </c>
      <c r="D160" s="20" t="s">
        <v>297</v>
      </c>
      <c r="E160" s="20" t="s">
        <v>298</v>
      </c>
      <c r="F160" s="20" t="s">
        <v>607</v>
      </c>
      <c r="G160" s="20" t="s">
        <v>113</v>
      </c>
      <c r="H160" s="20" t="s">
        <v>608</v>
      </c>
      <c r="I160" s="19"/>
      <c r="J160" s="20"/>
      <c r="K160" s="20"/>
      <c r="L160" s="25" t="s">
        <v>95</v>
      </c>
      <c r="M160" s="19"/>
    </row>
    <row r="161" spans="1:13" ht="38.25" x14ac:dyDescent="0.25">
      <c r="A161" s="23" t="s">
        <v>609</v>
      </c>
      <c r="B161" s="24" t="s">
        <v>35</v>
      </c>
      <c r="C161" s="24" t="s">
        <v>97</v>
      </c>
      <c r="D161" s="24" t="s">
        <v>308</v>
      </c>
      <c r="E161" s="24" t="s">
        <v>308</v>
      </c>
      <c r="F161" s="24" t="s">
        <v>610</v>
      </c>
      <c r="G161" s="24" t="s">
        <v>113</v>
      </c>
      <c r="H161" s="24" t="s">
        <v>611</v>
      </c>
      <c r="I161" s="23"/>
      <c r="J161" s="24"/>
      <c r="K161" s="24"/>
      <c r="L161" s="25" t="s">
        <v>95</v>
      </c>
      <c r="M161" s="23"/>
    </row>
    <row r="162" spans="1:13" ht="38.25" x14ac:dyDescent="0.25">
      <c r="A162" s="19" t="s">
        <v>612</v>
      </c>
      <c r="B162" s="20" t="s">
        <v>35</v>
      </c>
      <c r="C162" s="20" t="s">
        <v>97</v>
      </c>
      <c r="D162" s="20" t="s">
        <v>314</v>
      </c>
      <c r="E162" s="20" t="s">
        <v>613</v>
      </c>
      <c r="F162" s="20" t="s">
        <v>614</v>
      </c>
      <c r="G162" s="20" t="s">
        <v>101</v>
      </c>
      <c r="H162" s="20" t="s">
        <v>615</v>
      </c>
      <c r="I162" s="19"/>
      <c r="J162" s="20"/>
      <c r="K162" s="20"/>
      <c r="L162" s="25" t="s">
        <v>95</v>
      </c>
      <c r="M162" s="19"/>
    </row>
    <row r="163" spans="1:13" ht="51" x14ac:dyDescent="0.25">
      <c r="A163" s="23" t="s">
        <v>616</v>
      </c>
      <c r="B163" s="24" t="s">
        <v>35</v>
      </c>
      <c r="C163" s="24" t="s">
        <v>97</v>
      </c>
      <c r="D163" s="24" t="s">
        <v>319</v>
      </c>
      <c r="E163" s="24" t="s">
        <v>617</v>
      </c>
      <c r="F163" s="24" t="s">
        <v>618</v>
      </c>
      <c r="G163" s="24" t="s">
        <v>101</v>
      </c>
      <c r="H163" s="24" t="s">
        <v>619</v>
      </c>
      <c r="I163" s="23"/>
      <c r="J163" s="24"/>
      <c r="K163" s="24"/>
      <c r="L163" s="22" t="s">
        <v>67</v>
      </c>
      <c r="M163" s="23"/>
    </row>
    <row r="164" spans="1:13" ht="38.25" x14ac:dyDescent="0.25">
      <c r="A164" s="19" t="s">
        <v>620</v>
      </c>
      <c r="B164" s="20" t="s">
        <v>35</v>
      </c>
      <c r="C164" s="20" t="s">
        <v>133</v>
      </c>
      <c r="D164" s="20" t="s">
        <v>134</v>
      </c>
      <c r="E164" s="20" t="s">
        <v>135</v>
      </c>
      <c r="F164" s="20" t="s">
        <v>621</v>
      </c>
      <c r="G164" s="20" t="s">
        <v>155</v>
      </c>
      <c r="H164" s="20" t="s">
        <v>622</v>
      </c>
      <c r="I164" s="19"/>
      <c r="J164" s="20"/>
      <c r="K164" s="20"/>
      <c r="L164" s="26" t="s">
        <v>103</v>
      </c>
      <c r="M164" s="19"/>
    </row>
    <row r="165" spans="1:13" ht="76.5" x14ac:dyDescent="0.25">
      <c r="A165" s="23" t="s">
        <v>623</v>
      </c>
      <c r="B165" s="24" t="s">
        <v>35</v>
      </c>
      <c r="C165" s="24" t="s">
        <v>133</v>
      </c>
      <c r="D165" s="24" t="s">
        <v>624</v>
      </c>
      <c r="E165" s="24" t="s">
        <v>141</v>
      </c>
      <c r="F165" s="24" t="s">
        <v>625</v>
      </c>
      <c r="G165" s="24" t="s">
        <v>143</v>
      </c>
      <c r="H165" s="24" t="s">
        <v>626</v>
      </c>
      <c r="I165" s="23"/>
      <c r="J165" s="24"/>
      <c r="K165" s="24"/>
      <c r="L165" s="22" t="s">
        <v>67</v>
      </c>
      <c r="M165" s="23"/>
    </row>
    <row r="166" spans="1:13" ht="51" x14ac:dyDescent="0.25">
      <c r="A166" s="19" t="s">
        <v>627</v>
      </c>
      <c r="B166" s="20" t="s">
        <v>35</v>
      </c>
      <c r="C166" s="20" t="s">
        <v>133</v>
      </c>
      <c r="D166" s="20" t="s">
        <v>147</v>
      </c>
      <c r="E166" s="20" t="s">
        <v>147</v>
      </c>
      <c r="F166" s="20" t="s">
        <v>628</v>
      </c>
      <c r="G166" s="20" t="s">
        <v>149</v>
      </c>
      <c r="H166" s="20" t="s">
        <v>629</v>
      </c>
      <c r="I166" s="19"/>
      <c r="J166" s="20"/>
      <c r="K166" s="20"/>
      <c r="L166" s="22" t="s">
        <v>67</v>
      </c>
      <c r="M166" s="19"/>
    </row>
    <row r="167" spans="1:13" ht="38.25" x14ac:dyDescent="0.25">
      <c r="A167" s="23" t="s">
        <v>630</v>
      </c>
      <c r="B167" s="24" t="s">
        <v>35</v>
      </c>
      <c r="C167" s="24" t="s">
        <v>133</v>
      </c>
      <c r="D167" s="24" t="s">
        <v>153</v>
      </c>
      <c r="E167" s="24" t="s">
        <v>153</v>
      </c>
      <c r="F167" s="24" t="s">
        <v>631</v>
      </c>
      <c r="G167" s="24" t="s">
        <v>155</v>
      </c>
      <c r="H167" s="24" t="s">
        <v>632</v>
      </c>
      <c r="I167" s="23"/>
      <c r="J167" s="24"/>
      <c r="K167" s="24"/>
      <c r="L167" s="25" t="s">
        <v>95</v>
      </c>
      <c r="M167" s="23"/>
    </row>
    <row r="168" spans="1:13" ht="38.25" x14ac:dyDescent="0.25">
      <c r="A168" s="19" t="s">
        <v>633</v>
      </c>
      <c r="B168" s="20" t="s">
        <v>35</v>
      </c>
      <c r="C168" s="20" t="s">
        <v>133</v>
      </c>
      <c r="D168" s="20" t="s">
        <v>158</v>
      </c>
      <c r="E168" s="20" t="s">
        <v>159</v>
      </c>
      <c r="F168" s="20" t="s">
        <v>634</v>
      </c>
      <c r="G168" s="20" t="s">
        <v>155</v>
      </c>
      <c r="H168" s="20" t="s">
        <v>635</v>
      </c>
      <c r="I168" s="19"/>
      <c r="J168" s="20"/>
      <c r="K168" s="20"/>
      <c r="L168" s="22" t="s">
        <v>67</v>
      </c>
      <c r="M168" s="19"/>
    </row>
    <row r="169" spans="1:13" ht="51" x14ac:dyDescent="0.25">
      <c r="A169" s="23" t="s">
        <v>636</v>
      </c>
      <c r="B169" s="24" t="s">
        <v>35</v>
      </c>
      <c r="C169" s="24" t="s">
        <v>133</v>
      </c>
      <c r="D169" s="24" t="s">
        <v>163</v>
      </c>
      <c r="E169" s="24" t="s">
        <v>164</v>
      </c>
      <c r="F169" s="24" t="s">
        <v>637</v>
      </c>
      <c r="G169" s="24" t="s">
        <v>155</v>
      </c>
      <c r="H169" s="24" t="s">
        <v>638</v>
      </c>
      <c r="I169" s="23"/>
      <c r="J169" s="24"/>
      <c r="K169" s="24"/>
      <c r="L169" s="25" t="s">
        <v>95</v>
      </c>
      <c r="M169" s="23"/>
    </row>
    <row r="170" spans="1:13" ht="51" x14ac:dyDescent="0.25">
      <c r="A170" s="19" t="s">
        <v>639</v>
      </c>
      <c r="B170" s="20" t="s">
        <v>35</v>
      </c>
      <c r="C170" s="20" t="s">
        <v>133</v>
      </c>
      <c r="D170" s="20" t="s">
        <v>640</v>
      </c>
      <c r="E170" s="20" t="s">
        <v>169</v>
      </c>
      <c r="F170" s="20" t="s">
        <v>641</v>
      </c>
      <c r="G170" s="20" t="s">
        <v>155</v>
      </c>
      <c r="H170" s="20" t="s">
        <v>642</v>
      </c>
      <c r="I170" s="19"/>
      <c r="J170" s="20"/>
      <c r="K170" s="20"/>
      <c r="L170" s="25" t="s">
        <v>95</v>
      </c>
      <c r="M170" s="19"/>
    </row>
    <row r="171" spans="1:13" ht="51" x14ac:dyDescent="0.25">
      <c r="A171" s="23" t="s">
        <v>643</v>
      </c>
      <c r="B171" s="24" t="s">
        <v>35</v>
      </c>
      <c r="C171" s="24" t="s">
        <v>133</v>
      </c>
      <c r="D171" s="24" t="s">
        <v>337</v>
      </c>
      <c r="E171" s="24" t="s">
        <v>338</v>
      </c>
      <c r="F171" s="24" t="s">
        <v>644</v>
      </c>
      <c r="G171" s="24" t="s">
        <v>155</v>
      </c>
      <c r="H171" s="24" t="s">
        <v>645</v>
      </c>
      <c r="I171" s="23"/>
      <c r="J171" s="24"/>
      <c r="K171" s="24"/>
      <c r="L171" s="27" t="s">
        <v>131</v>
      </c>
      <c r="M171" s="23"/>
    </row>
    <row r="172" spans="1:13" ht="38.25" x14ac:dyDescent="0.25">
      <c r="A172" s="19" t="s">
        <v>646</v>
      </c>
      <c r="B172" s="20" t="s">
        <v>35</v>
      </c>
      <c r="C172" s="20" t="s">
        <v>133</v>
      </c>
      <c r="D172" s="20" t="s">
        <v>332</v>
      </c>
      <c r="E172" s="20" t="s">
        <v>647</v>
      </c>
      <c r="F172" s="20" t="s">
        <v>648</v>
      </c>
      <c r="G172" s="20" t="s">
        <v>155</v>
      </c>
      <c r="H172" s="20" t="s">
        <v>649</v>
      </c>
      <c r="I172" s="19"/>
      <c r="J172" s="20"/>
      <c r="K172" s="20"/>
      <c r="L172" s="27" t="s">
        <v>131</v>
      </c>
      <c r="M172" s="19"/>
    </row>
    <row r="173" spans="1:13" ht="51" x14ac:dyDescent="0.25">
      <c r="A173" s="23" t="s">
        <v>650</v>
      </c>
      <c r="B173" s="24" t="s">
        <v>35</v>
      </c>
      <c r="C173" s="24" t="s">
        <v>133</v>
      </c>
      <c r="D173" s="24" t="s">
        <v>342</v>
      </c>
      <c r="E173" s="24" t="s">
        <v>343</v>
      </c>
      <c r="F173" s="24" t="s">
        <v>651</v>
      </c>
      <c r="G173" s="24" t="s">
        <v>155</v>
      </c>
      <c r="H173" s="24" t="s">
        <v>652</v>
      </c>
      <c r="I173" s="23"/>
      <c r="J173" s="24"/>
      <c r="K173" s="24"/>
      <c r="L173" s="27" t="s">
        <v>131</v>
      </c>
      <c r="M173" s="23"/>
    </row>
    <row r="174" spans="1:13" ht="51" x14ac:dyDescent="0.25">
      <c r="A174" s="19" t="s">
        <v>653</v>
      </c>
      <c r="B174" s="20" t="s">
        <v>35</v>
      </c>
      <c r="C174" s="20" t="s">
        <v>133</v>
      </c>
      <c r="D174" s="20" t="s">
        <v>357</v>
      </c>
      <c r="E174" s="20" t="s">
        <v>654</v>
      </c>
      <c r="F174" s="20" t="s">
        <v>655</v>
      </c>
      <c r="G174" s="20" t="s">
        <v>155</v>
      </c>
      <c r="H174" s="20" t="s">
        <v>656</v>
      </c>
      <c r="I174" s="19"/>
      <c r="J174" s="20"/>
      <c r="K174" s="20"/>
      <c r="L174" s="25" t="s">
        <v>95</v>
      </c>
      <c r="M174" s="19"/>
    </row>
    <row r="175" spans="1:13" ht="51" x14ac:dyDescent="0.25">
      <c r="A175" s="23" t="s">
        <v>657</v>
      </c>
      <c r="B175" s="24" t="s">
        <v>35</v>
      </c>
      <c r="C175" s="24" t="s">
        <v>133</v>
      </c>
      <c r="D175" s="24" t="s">
        <v>362</v>
      </c>
      <c r="E175" s="24" t="s">
        <v>363</v>
      </c>
      <c r="F175" s="24" t="s">
        <v>658</v>
      </c>
      <c r="G175" s="24" t="s">
        <v>155</v>
      </c>
      <c r="H175" s="24" t="s">
        <v>659</v>
      </c>
      <c r="I175" s="23"/>
      <c r="J175" s="24"/>
      <c r="K175" s="24"/>
      <c r="L175" s="27" t="s">
        <v>131</v>
      </c>
      <c r="M175" s="23"/>
    </row>
    <row r="176" spans="1:13" ht="63.75" x14ac:dyDescent="0.25">
      <c r="A176" s="19" t="s">
        <v>660</v>
      </c>
      <c r="B176" s="20" t="s">
        <v>35</v>
      </c>
      <c r="C176" s="20" t="s">
        <v>133</v>
      </c>
      <c r="D176" s="20" t="s">
        <v>367</v>
      </c>
      <c r="E176" s="20" t="s">
        <v>368</v>
      </c>
      <c r="F176" s="20" t="s">
        <v>661</v>
      </c>
      <c r="G176" s="20" t="s">
        <v>155</v>
      </c>
      <c r="H176" s="20" t="s">
        <v>662</v>
      </c>
      <c r="I176" s="19"/>
      <c r="J176" s="20"/>
      <c r="K176" s="20"/>
      <c r="L176" s="27" t="s">
        <v>131</v>
      </c>
      <c r="M176" s="19"/>
    </row>
    <row r="177" spans="1:13" ht="38.25" x14ac:dyDescent="0.25">
      <c r="A177" s="23" t="s">
        <v>663</v>
      </c>
      <c r="B177" s="24" t="s">
        <v>35</v>
      </c>
      <c r="C177" s="24" t="s">
        <v>497</v>
      </c>
      <c r="D177" s="24" t="s">
        <v>664</v>
      </c>
      <c r="E177" s="24" t="s">
        <v>665</v>
      </c>
      <c r="F177" s="24" t="s">
        <v>666</v>
      </c>
      <c r="G177" s="24" t="s">
        <v>501</v>
      </c>
      <c r="H177" s="24" t="s">
        <v>667</v>
      </c>
      <c r="I177" s="23"/>
      <c r="J177" s="24"/>
      <c r="K177" s="24"/>
      <c r="L177" s="25" t="s">
        <v>95</v>
      </c>
      <c r="M177" s="23"/>
    </row>
    <row r="178" spans="1:13" ht="38.25" x14ac:dyDescent="0.25">
      <c r="A178" s="19" t="s">
        <v>668</v>
      </c>
      <c r="B178" s="20" t="s">
        <v>35</v>
      </c>
      <c r="C178" s="20" t="s">
        <v>497</v>
      </c>
      <c r="D178" s="20" t="s">
        <v>669</v>
      </c>
      <c r="E178" s="20" t="s">
        <v>670</v>
      </c>
      <c r="F178" s="20" t="s">
        <v>671</v>
      </c>
      <c r="G178" s="20" t="s">
        <v>501</v>
      </c>
      <c r="H178" s="20" t="s">
        <v>672</v>
      </c>
      <c r="I178" s="19"/>
      <c r="J178" s="20"/>
      <c r="K178" s="20"/>
      <c r="L178" s="25" t="s">
        <v>95</v>
      </c>
      <c r="M178" s="19"/>
    </row>
    <row r="179" spans="1:13" ht="63.75" x14ac:dyDescent="0.25">
      <c r="A179" s="23" t="s">
        <v>673</v>
      </c>
      <c r="B179" s="24" t="s">
        <v>35</v>
      </c>
      <c r="C179" s="24" t="s">
        <v>497</v>
      </c>
      <c r="D179" s="24" t="s">
        <v>674</v>
      </c>
      <c r="E179" s="24" t="s">
        <v>674</v>
      </c>
      <c r="F179" s="24" t="s">
        <v>675</v>
      </c>
      <c r="G179" s="24" t="s">
        <v>501</v>
      </c>
      <c r="H179" s="24" t="s">
        <v>676</v>
      </c>
      <c r="I179" s="23"/>
      <c r="J179" s="24"/>
      <c r="K179" s="24"/>
      <c r="L179" s="25" t="s">
        <v>95</v>
      </c>
      <c r="M179" s="23"/>
    </row>
    <row r="180" spans="1:13" ht="51" x14ac:dyDescent="0.25">
      <c r="A180" s="19" t="s">
        <v>677</v>
      </c>
      <c r="B180" s="20" t="s">
        <v>35</v>
      </c>
      <c r="C180" s="20" t="s">
        <v>497</v>
      </c>
      <c r="D180" s="20" t="s">
        <v>678</v>
      </c>
      <c r="E180" s="20" t="s">
        <v>678</v>
      </c>
      <c r="F180" s="20" t="s">
        <v>679</v>
      </c>
      <c r="G180" s="20" t="s">
        <v>501</v>
      </c>
      <c r="H180" s="20" t="s">
        <v>680</v>
      </c>
      <c r="I180" s="19"/>
      <c r="J180" s="20"/>
      <c r="K180" s="20"/>
      <c r="L180" s="25" t="s">
        <v>95</v>
      </c>
      <c r="M180" s="19"/>
    </row>
    <row r="181" spans="1:13" ht="38.25" x14ac:dyDescent="0.25">
      <c r="A181" s="23" t="s">
        <v>681</v>
      </c>
      <c r="B181" s="24" t="s">
        <v>35</v>
      </c>
      <c r="C181" s="24" t="s">
        <v>497</v>
      </c>
      <c r="D181" s="24" t="s">
        <v>682</v>
      </c>
      <c r="E181" s="24" t="s">
        <v>682</v>
      </c>
      <c r="F181" s="24" t="s">
        <v>683</v>
      </c>
      <c r="G181" s="24" t="s">
        <v>501</v>
      </c>
      <c r="H181" s="24" t="s">
        <v>684</v>
      </c>
      <c r="I181" s="23"/>
      <c r="J181" s="24"/>
      <c r="K181" s="24"/>
      <c r="L181" s="25" t="s">
        <v>95</v>
      </c>
      <c r="M181" s="23"/>
    </row>
    <row r="182" spans="1:13" ht="51" x14ac:dyDescent="0.25">
      <c r="A182" s="19" t="s">
        <v>685</v>
      </c>
      <c r="B182" s="20" t="s">
        <v>35</v>
      </c>
      <c r="C182" s="20" t="s">
        <v>173</v>
      </c>
      <c r="D182" s="20" t="s">
        <v>174</v>
      </c>
      <c r="E182" s="20" t="s">
        <v>175</v>
      </c>
      <c r="F182" s="20" t="s">
        <v>686</v>
      </c>
      <c r="G182" s="20" t="s">
        <v>507</v>
      </c>
      <c r="H182" s="20" t="s">
        <v>687</v>
      </c>
      <c r="I182" s="19"/>
      <c r="J182" s="20"/>
      <c r="K182" s="20"/>
      <c r="L182" s="26" t="s">
        <v>103</v>
      </c>
      <c r="M182" s="19"/>
    </row>
    <row r="183" spans="1:13" ht="38.25" x14ac:dyDescent="0.25">
      <c r="A183" s="23" t="s">
        <v>688</v>
      </c>
      <c r="B183" s="24" t="s">
        <v>35</v>
      </c>
      <c r="C183" s="24" t="s">
        <v>173</v>
      </c>
      <c r="D183" s="24" t="s">
        <v>180</v>
      </c>
      <c r="E183" s="24" t="s">
        <v>180</v>
      </c>
      <c r="F183" s="24" t="s">
        <v>689</v>
      </c>
      <c r="G183" s="24" t="s">
        <v>385</v>
      </c>
      <c r="H183" s="24" t="s">
        <v>690</v>
      </c>
      <c r="I183" s="23"/>
      <c r="J183" s="24"/>
      <c r="K183" s="24"/>
      <c r="L183" s="22" t="s">
        <v>67</v>
      </c>
      <c r="M183" s="23"/>
    </row>
    <row r="184" spans="1:13" ht="38.25" x14ac:dyDescent="0.25">
      <c r="A184" s="19" t="s">
        <v>691</v>
      </c>
      <c r="B184" s="20" t="s">
        <v>35</v>
      </c>
      <c r="C184" s="20" t="s">
        <v>173</v>
      </c>
      <c r="D184" s="20" t="s">
        <v>184</v>
      </c>
      <c r="E184" s="20" t="s">
        <v>185</v>
      </c>
      <c r="F184" s="20" t="s">
        <v>692</v>
      </c>
      <c r="G184" s="20" t="s">
        <v>177</v>
      </c>
      <c r="H184" s="20" t="s">
        <v>693</v>
      </c>
      <c r="I184" s="19"/>
      <c r="J184" s="20"/>
      <c r="K184" s="20"/>
      <c r="L184" s="25" t="s">
        <v>95</v>
      </c>
      <c r="M184" s="19"/>
    </row>
    <row r="185" spans="1:13" ht="51" x14ac:dyDescent="0.25">
      <c r="A185" s="23" t="s">
        <v>694</v>
      </c>
      <c r="B185" s="24" t="s">
        <v>35</v>
      </c>
      <c r="C185" s="24" t="s">
        <v>173</v>
      </c>
      <c r="D185" s="24" t="s">
        <v>695</v>
      </c>
      <c r="E185" s="24" t="s">
        <v>696</v>
      </c>
      <c r="F185" s="24" t="s">
        <v>697</v>
      </c>
      <c r="G185" s="24" t="s">
        <v>507</v>
      </c>
      <c r="H185" s="24" t="s">
        <v>583</v>
      </c>
      <c r="I185" s="23"/>
      <c r="J185" s="24"/>
      <c r="K185" s="24"/>
      <c r="L185" s="27" t="s">
        <v>131</v>
      </c>
      <c r="M185" s="23"/>
    </row>
    <row r="186" spans="1:13" ht="38.25" x14ac:dyDescent="0.25">
      <c r="A186" s="19" t="s">
        <v>698</v>
      </c>
      <c r="B186" s="20" t="s">
        <v>35</v>
      </c>
      <c r="C186" s="20" t="s">
        <v>173</v>
      </c>
      <c r="D186" s="20" t="s">
        <v>377</v>
      </c>
      <c r="E186" s="20" t="s">
        <v>378</v>
      </c>
      <c r="F186" s="20" t="s">
        <v>699</v>
      </c>
      <c r="G186" s="20" t="s">
        <v>507</v>
      </c>
      <c r="H186" s="20" t="s">
        <v>700</v>
      </c>
      <c r="I186" s="19"/>
      <c r="J186" s="20"/>
      <c r="K186" s="20"/>
      <c r="L186" s="25" t="s">
        <v>95</v>
      </c>
      <c r="M186" s="19"/>
    </row>
    <row r="187" spans="1:13" ht="51" x14ac:dyDescent="0.25">
      <c r="A187" s="23" t="s">
        <v>701</v>
      </c>
      <c r="B187" s="24" t="s">
        <v>35</v>
      </c>
      <c r="C187" s="24" t="s">
        <v>173</v>
      </c>
      <c r="D187" s="24" t="s">
        <v>702</v>
      </c>
      <c r="E187" s="24" t="s">
        <v>383</v>
      </c>
      <c r="F187" s="24" t="s">
        <v>703</v>
      </c>
      <c r="G187" s="24" t="s">
        <v>385</v>
      </c>
      <c r="H187" s="24" t="s">
        <v>704</v>
      </c>
      <c r="I187" s="23"/>
      <c r="J187" s="24"/>
      <c r="K187" s="24"/>
      <c r="L187" s="25" t="s">
        <v>95</v>
      </c>
      <c r="M187" s="23"/>
    </row>
    <row r="188" spans="1:13" ht="51" x14ac:dyDescent="0.25">
      <c r="A188" s="19" t="s">
        <v>705</v>
      </c>
      <c r="B188" s="20" t="s">
        <v>35</v>
      </c>
      <c r="C188" s="20" t="s">
        <v>173</v>
      </c>
      <c r="D188" s="20" t="s">
        <v>388</v>
      </c>
      <c r="E188" s="20" t="s">
        <v>389</v>
      </c>
      <c r="F188" s="20" t="s">
        <v>706</v>
      </c>
      <c r="G188" s="20" t="s">
        <v>385</v>
      </c>
      <c r="H188" s="20" t="s">
        <v>707</v>
      </c>
      <c r="I188" s="19"/>
      <c r="J188" s="20"/>
      <c r="K188" s="20"/>
      <c r="L188" s="25" t="s">
        <v>95</v>
      </c>
      <c r="M188" s="19"/>
    </row>
    <row r="189" spans="1:13" ht="51" x14ac:dyDescent="0.25">
      <c r="A189" s="23" t="s">
        <v>708</v>
      </c>
      <c r="B189" s="24" t="s">
        <v>35</v>
      </c>
      <c r="C189" s="24" t="s">
        <v>173</v>
      </c>
      <c r="D189" s="24" t="s">
        <v>393</v>
      </c>
      <c r="E189" s="24" t="s">
        <v>394</v>
      </c>
      <c r="F189" s="24" t="s">
        <v>709</v>
      </c>
      <c r="G189" s="24" t="s">
        <v>385</v>
      </c>
      <c r="H189" s="24" t="s">
        <v>710</v>
      </c>
      <c r="I189" s="23"/>
      <c r="J189" s="24"/>
      <c r="K189" s="24"/>
      <c r="L189" s="27" t="s">
        <v>131</v>
      </c>
      <c r="M189" s="23"/>
    </row>
    <row r="190" spans="1:13" ht="51" x14ac:dyDescent="0.25">
      <c r="A190" s="19" t="s">
        <v>711</v>
      </c>
      <c r="B190" s="20" t="s">
        <v>35</v>
      </c>
      <c r="C190" s="20" t="s">
        <v>193</v>
      </c>
      <c r="D190" s="20" t="s">
        <v>194</v>
      </c>
      <c r="E190" s="20" t="s">
        <v>195</v>
      </c>
      <c r="F190" s="20" t="s">
        <v>712</v>
      </c>
      <c r="G190" s="20" t="s">
        <v>214</v>
      </c>
      <c r="H190" s="20" t="s">
        <v>713</v>
      </c>
      <c r="I190" s="19"/>
      <c r="J190" s="20"/>
      <c r="K190" s="20"/>
      <c r="L190" s="22" t="s">
        <v>67</v>
      </c>
      <c r="M190" s="19"/>
    </row>
    <row r="191" spans="1:13" ht="51" x14ac:dyDescent="0.25">
      <c r="A191" s="23" t="s">
        <v>714</v>
      </c>
      <c r="B191" s="24" t="s">
        <v>35</v>
      </c>
      <c r="C191" s="24" t="s">
        <v>193</v>
      </c>
      <c r="D191" s="24" t="s">
        <v>200</v>
      </c>
      <c r="E191" s="24" t="s">
        <v>201</v>
      </c>
      <c r="F191" s="24" t="s">
        <v>715</v>
      </c>
      <c r="G191" s="24" t="s">
        <v>203</v>
      </c>
      <c r="H191" s="24" t="s">
        <v>716</v>
      </c>
      <c r="I191" s="23"/>
      <c r="J191" s="24"/>
      <c r="K191" s="24"/>
      <c r="L191" s="25" t="s">
        <v>95</v>
      </c>
      <c r="M191" s="23"/>
    </row>
    <row r="192" spans="1:13" ht="38.25" x14ac:dyDescent="0.25">
      <c r="A192" s="19" t="s">
        <v>717</v>
      </c>
      <c r="B192" s="20" t="s">
        <v>35</v>
      </c>
      <c r="C192" s="20" t="s">
        <v>193</v>
      </c>
      <c r="D192" s="20" t="s">
        <v>206</v>
      </c>
      <c r="E192" s="20" t="s">
        <v>207</v>
      </c>
      <c r="F192" s="20" t="s">
        <v>718</v>
      </c>
      <c r="G192" s="20" t="s">
        <v>214</v>
      </c>
      <c r="H192" s="20" t="s">
        <v>719</v>
      </c>
      <c r="I192" s="19"/>
      <c r="J192" s="20"/>
      <c r="K192" s="20"/>
      <c r="L192" s="22" t="s">
        <v>67</v>
      </c>
      <c r="M192" s="19"/>
    </row>
    <row r="193" spans="1:13" ht="38.25" x14ac:dyDescent="0.25">
      <c r="A193" s="23" t="s">
        <v>720</v>
      </c>
      <c r="B193" s="24" t="s">
        <v>35</v>
      </c>
      <c r="C193" s="24" t="s">
        <v>193</v>
      </c>
      <c r="D193" s="24" t="s">
        <v>211</v>
      </c>
      <c r="E193" s="24" t="s">
        <v>212</v>
      </c>
      <c r="F193" s="24" t="s">
        <v>721</v>
      </c>
      <c r="G193" s="24" t="s">
        <v>214</v>
      </c>
      <c r="H193" s="24" t="s">
        <v>722</v>
      </c>
      <c r="I193" s="23"/>
      <c r="J193" s="24"/>
      <c r="K193" s="24"/>
      <c r="L193" s="22" t="s">
        <v>67</v>
      </c>
      <c r="M193" s="23"/>
    </row>
    <row r="194" spans="1:13" ht="51" x14ac:dyDescent="0.25">
      <c r="A194" s="19" t="s">
        <v>723</v>
      </c>
      <c r="B194" s="20" t="s">
        <v>35</v>
      </c>
      <c r="C194" s="20" t="s">
        <v>193</v>
      </c>
      <c r="D194" s="20" t="s">
        <v>217</v>
      </c>
      <c r="E194" s="20" t="s">
        <v>218</v>
      </c>
      <c r="F194" s="20" t="s">
        <v>724</v>
      </c>
      <c r="G194" s="20" t="s">
        <v>214</v>
      </c>
      <c r="H194" s="20" t="s">
        <v>725</v>
      </c>
      <c r="I194" s="19"/>
      <c r="J194" s="20"/>
      <c r="K194" s="20"/>
      <c r="L194" s="22" t="s">
        <v>67</v>
      </c>
      <c r="M194" s="19"/>
    </row>
    <row r="195" spans="1:13" ht="51" x14ac:dyDescent="0.25">
      <c r="A195" s="23" t="s">
        <v>726</v>
      </c>
      <c r="B195" s="24" t="s">
        <v>35</v>
      </c>
      <c r="C195" s="24" t="s">
        <v>193</v>
      </c>
      <c r="D195" s="24" t="s">
        <v>222</v>
      </c>
      <c r="E195" s="24" t="s">
        <v>223</v>
      </c>
      <c r="F195" s="24" t="s">
        <v>727</v>
      </c>
      <c r="G195" s="24" t="s">
        <v>203</v>
      </c>
      <c r="H195" s="24" t="s">
        <v>728</v>
      </c>
      <c r="I195" s="23"/>
      <c r="J195" s="24"/>
      <c r="K195" s="24"/>
      <c r="L195" s="27" t="s">
        <v>131</v>
      </c>
      <c r="M195" s="23"/>
    </row>
    <row r="196" spans="1:13" ht="38.25" x14ac:dyDescent="0.25">
      <c r="A196" s="19" t="s">
        <v>729</v>
      </c>
      <c r="B196" s="20" t="s">
        <v>35</v>
      </c>
      <c r="C196" s="20" t="s">
        <v>193</v>
      </c>
      <c r="D196" s="20" t="s">
        <v>227</v>
      </c>
      <c r="E196" s="20" t="s">
        <v>228</v>
      </c>
      <c r="F196" s="20" t="s">
        <v>730</v>
      </c>
      <c r="G196" s="20" t="s">
        <v>203</v>
      </c>
      <c r="H196" s="20" t="s">
        <v>731</v>
      </c>
      <c r="I196" s="19"/>
      <c r="J196" s="20"/>
      <c r="K196" s="20"/>
      <c r="L196" s="27" t="s">
        <v>131</v>
      </c>
      <c r="M196" s="19"/>
    </row>
    <row r="197" spans="1:13" ht="63.75" x14ac:dyDescent="0.25">
      <c r="A197" s="23" t="s">
        <v>732</v>
      </c>
      <c r="B197" s="24" t="s">
        <v>35</v>
      </c>
      <c r="C197" s="24" t="s">
        <v>193</v>
      </c>
      <c r="D197" s="24" t="s">
        <v>403</v>
      </c>
      <c r="E197" s="24" t="s">
        <v>403</v>
      </c>
      <c r="F197" s="24" t="s">
        <v>733</v>
      </c>
      <c r="G197" s="24" t="s">
        <v>214</v>
      </c>
      <c r="H197" s="24" t="s">
        <v>734</v>
      </c>
      <c r="I197" s="23"/>
      <c r="J197" s="24"/>
      <c r="K197" s="24"/>
      <c r="L197" s="22" t="s">
        <v>67</v>
      </c>
      <c r="M197" s="23"/>
    </row>
    <row r="198" spans="1:13" ht="51" x14ac:dyDescent="0.25">
      <c r="A198" s="19" t="s">
        <v>735</v>
      </c>
      <c r="B198" s="20" t="s">
        <v>35</v>
      </c>
      <c r="C198" s="20" t="s">
        <v>193</v>
      </c>
      <c r="D198" s="20" t="s">
        <v>423</v>
      </c>
      <c r="E198" s="20" t="s">
        <v>424</v>
      </c>
      <c r="F198" s="20" t="s">
        <v>736</v>
      </c>
      <c r="G198" s="20" t="s">
        <v>214</v>
      </c>
      <c r="H198" s="20" t="s">
        <v>737</v>
      </c>
      <c r="I198" s="19"/>
      <c r="J198" s="20"/>
      <c r="K198" s="20"/>
      <c r="L198" s="25" t="s">
        <v>95</v>
      </c>
      <c r="M198" s="19"/>
    </row>
    <row r="199" spans="1:13" ht="63.75" x14ac:dyDescent="0.25">
      <c r="A199" s="23" t="s">
        <v>738</v>
      </c>
      <c r="B199" s="24" t="s">
        <v>35</v>
      </c>
      <c r="C199" s="24" t="s">
        <v>193</v>
      </c>
      <c r="D199" s="24" t="s">
        <v>428</v>
      </c>
      <c r="E199" s="24" t="s">
        <v>429</v>
      </c>
      <c r="F199" s="24" t="s">
        <v>739</v>
      </c>
      <c r="G199" s="24" t="s">
        <v>214</v>
      </c>
      <c r="H199" s="24" t="s">
        <v>740</v>
      </c>
      <c r="I199" s="23"/>
      <c r="J199" s="24"/>
      <c r="K199" s="24"/>
      <c r="L199" s="27" t="s">
        <v>131</v>
      </c>
      <c r="M199" s="23"/>
    </row>
    <row r="200" spans="1:13" ht="63.75" x14ac:dyDescent="0.25">
      <c r="A200" s="19" t="s">
        <v>741</v>
      </c>
      <c r="B200" s="20" t="s">
        <v>35</v>
      </c>
      <c r="C200" s="20" t="s">
        <v>193</v>
      </c>
      <c r="D200" s="20" t="s">
        <v>433</v>
      </c>
      <c r="E200" s="20" t="s">
        <v>742</v>
      </c>
      <c r="F200" s="20" t="s">
        <v>743</v>
      </c>
      <c r="G200" s="20" t="s">
        <v>436</v>
      </c>
      <c r="H200" s="20" t="s">
        <v>744</v>
      </c>
      <c r="I200" s="19"/>
      <c r="J200" s="20"/>
      <c r="K200" s="20"/>
      <c r="L200" s="27" t="s">
        <v>131</v>
      </c>
      <c r="M200" s="19"/>
    </row>
    <row r="201" spans="1:13" ht="51" x14ac:dyDescent="0.25">
      <c r="A201" s="23" t="s">
        <v>745</v>
      </c>
      <c r="B201" s="24" t="s">
        <v>35</v>
      </c>
      <c r="C201" s="24" t="s">
        <v>193</v>
      </c>
      <c r="D201" s="24" t="s">
        <v>439</v>
      </c>
      <c r="E201" s="24" t="s">
        <v>439</v>
      </c>
      <c r="F201" s="24" t="s">
        <v>746</v>
      </c>
      <c r="G201" s="24" t="s">
        <v>214</v>
      </c>
      <c r="H201" s="24" t="s">
        <v>747</v>
      </c>
      <c r="I201" s="23"/>
      <c r="J201" s="24"/>
      <c r="K201" s="24"/>
      <c r="L201" s="27" t="s">
        <v>131</v>
      </c>
      <c r="M201" s="23"/>
    </row>
    <row r="202" spans="1:13" ht="51" x14ac:dyDescent="0.25">
      <c r="A202" s="19" t="s">
        <v>748</v>
      </c>
      <c r="B202" s="20" t="s">
        <v>35</v>
      </c>
      <c r="C202" s="20" t="s">
        <v>193</v>
      </c>
      <c r="D202" s="20" t="s">
        <v>413</v>
      </c>
      <c r="E202" s="20" t="s">
        <v>414</v>
      </c>
      <c r="F202" s="20" t="s">
        <v>749</v>
      </c>
      <c r="G202" s="20" t="s">
        <v>214</v>
      </c>
      <c r="H202" s="20" t="s">
        <v>750</v>
      </c>
      <c r="I202" s="19"/>
      <c r="J202" s="20"/>
      <c r="K202" s="20"/>
      <c r="L202" s="27" t="s">
        <v>131</v>
      </c>
      <c r="M202" s="19"/>
    </row>
    <row r="203" spans="1:13" ht="51" x14ac:dyDescent="0.25">
      <c r="A203" s="23" t="s">
        <v>751</v>
      </c>
      <c r="B203" s="24" t="s">
        <v>35</v>
      </c>
      <c r="C203" s="24" t="s">
        <v>443</v>
      </c>
      <c r="D203" s="24" t="s">
        <v>444</v>
      </c>
      <c r="E203" s="24" t="s">
        <v>445</v>
      </c>
      <c r="F203" s="24" t="s">
        <v>752</v>
      </c>
      <c r="G203" s="24" t="s">
        <v>753</v>
      </c>
      <c r="H203" s="24" t="s">
        <v>754</v>
      </c>
      <c r="I203" s="23"/>
      <c r="J203" s="24"/>
      <c r="K203" s="24"/>
      <c r="L203" s="25" t="s">
        <v>95</v>
      </c>
      <c r="M203" s="23"/>
    </row>
    <row r="204" spans="1:13" ht="51" x14ac:dyDescent="0.25">
      <c r="A204" s="19" t="s">
        <v>755</v>
      </c>
      <c r="B204" s="20" t="s">
        <v>35</v>
      </c>
      <c r="C204" s="20" t="s">
        <v>443</v>
      </c>
      <c r="D204" s="20" t="s">
        <v>450</v>
      </c>
      <c r="E204" s="20" t="s">
        <v>756</v>
      </c>
      <c r="F204" s="20" t="s">
        <v>757</v>
      </c>
      <c r="G204" s="20" t="s">
        <v>758</v>
      </c>
      <c r="H204" s="20" t="s">
        <v>759</v>
      </c>
      <c r="I204" s="19"/>
      <c r="J204" s="20"/>
      <c r="K204" s="20"/>
      <c r="L204" s="25" t="s">
        <v>95</v>
      </c>
      <c r="M204" s="19"/>
    </row>
    <row r="205" spans="1:13" ht="51" x14ac:dyDescent="0.25">
      <c r="A205" s="23" t="s">
        <v>760</v>
      </c>
      <c r="B205" s="24" t="s">
        <v>35</v>
      </c>
      <c r="C205" s="24" t="s">
        <v>443</v>
      </c>
      <c r="D205" s="24" t="s">
        <v>455</v>
      </c>
      <c r="E205" s="24" t="s">
        <v>761</v>
      </c>
      <c r="F205" s="24" t="s">
        <v>762</v>
      </c>
      <c r="G205" s="24" t="s">
        <v>753</v>
      </c>
      <c r="H205" s="24" t="s">
        <v>763</v>
      </c>
      <c r="I205" s="23"/>
      <c r="J205" s="24"/>
      <c r="K205" s="24"/>
      <c r="L205" s="25" t="s">
        <v>95</v>
      </c>
      <c r="M205" s="23"/>
    </row>
    <row r="206" spans="1:13" ht="51" x14ac:dyDescent="0.25">
      <c r="A206" s="19" t="s">
        <v>764</v>
      </c>
      <c r="B206" s="20" t="s">
        <v>35</v>
      </c>
      <c r="C206" s="20" t="s">
        <v>443</v>
      </c>
      <c r="D206" s="20" t="s">
        <v>484</v>
      </c>
      <c r="E206" s="20" t="s">
        <v>485</v>
      </c>
      <c r="F206" s="20" t="s">
        <v>765</v>
      </c>
      <c r="G206" s="20" t="s">
        <v>487</v>
      </c>
      <c r="H206" s="20" t="s">
        <v>766</v>
      </c>
      <c r="I206" s="19"/>
      <c r="J206" s="20"/>
      <c r="K206" s="20"/>
      <c r="L206" s="25" t="s">
        <v>95</v>
      </c>
      <c r="M206" s="19"/>
    </row>
    <row r="207" spans="1:13" ht="38.25" x14ac:dyDescent="0.25">
      <c r="A207" s="23" t="s">
        <v>767</v>
      </c>
      <c r="B207" s="24" t="s">
        <v>35</v>
      </c>
      <c r="C207" s="24" t="s">
        <v>490</v>
      </c>
      <c r="D207" s="24" t="s">
        <v>768</v>
      </c>
      <c r="E207" s="24" t="s">
        <v>769</v>
      </c>
      <c r="F207" s="24" t="s">
        <v>770</v>
      </c>
      <c r="G207" s="24" t="s">
        <v>494</v>
      </c>
      <c r="H207" s="24" t="s">
        <v>771</v>
      </c>
      <c r="I207" s="23"/>
      <c r="J207" s="24"/>
      <c r="K207" s="24"/>
      <c r="L207" s="27" t="s">
        <v>131</v>
      </c>
      <c r="M207" s="23"/>
    </row>
    <row r="208" spans="1:13" ht="38.25" x14ac:dyDescent="0.25">
      <c r="A208" s="19" t="s">
        <v>772</v>
      </c>
      <c r="B208" s="20" t="s">
        <v>35</v>
      </c>
      <c r="C208" s="20" t="s">
        <v>490</v>
      </c>
      <c r="D208" s="20" t="s">
        <v>773</v>
      </c>
      <c r="E208" s="20" t="s">
        <v>774</v>
      </c>
      <c r="F208" s="20" t="s">
        <v>775</v>
      </c>
      <c r="G208" s="20" t="s">
        <v>494</v>
      </c>
      <c r="H208" s="20" t="s">
        <v>776</v>
      </c>
      <c r="I208" s="19"/>
      <c r="J208" s="20"/>
      <c r="K208" s="20"/>
      <c r="L208" s="27" t="s">
        <v>131</v>
      </c>
      <c r="M208" s="19"/>
    </row>
    <row r="209" spans="1:13" ht="38.25" x14ac:dyDescent="0.25">
      <c r="A209" s="23" t="s">
        <v>777</v>
      </c>
      <c r="B209" s="24" t="s">
        <v>35</v>
      </c>
      <c r="C209" s="24" t="s">
        <v>778</v>
      </c>
      <c r="D209" s="24" t="s">
        <v>779</v>
      </c>
      <c r="E209" s="24" t="s">
        <v>779</v>
      </c>
      <c r="F209" s="24" t="s">
        <v>780</v>
      </c>
      <c r="G209" s="24" t="s">
        <v>781</v>
      </c>
      <c r="H209" s="24" t="s">
        <v>782</v>
      </c>
      <c r="I209" s="23"/>
      <c r="J209" s="24"/>
      <c r="K209" s="24"/>
      <c r="L209" s="25" t="s">
        <v>95</v>
      </c>
      <c r="M209" s="23"/>
    </row>
    <row r="210" spans="1:13" ht="51" x14ac:dyDescent="0.25">
      <c r="A210" s="19" t="s">
        <v>783</v>
      </c>
      <c r="B210" s="20" t="s">
        <v>35</v>
      </c>
      <c r="C210" s="20" t="s">
        <v>460</v>
      </c>
      <c r="D210" s="20" t="s">
        <v>461</v>
      </c>
      <c r="E210" s="20" t="s">
        <v>461</v>
      </c>
      <c r="F210" s="20" t="s">
        <v>784</v>
      </c>
      <c r="G210" s="20" t="s">
        <v>464</v>
      </c>
      <c r="H210" s="20" t="s">
        <v>785</v>
      </c>
      <c r="I210" s="19"/>
      <c r="J210" s="20"/>
      <c r="K210" s="20"/>
      <c r="L210" s="22" t="s">
        <v>67</v>
      </c>
      <c r="M210" s="19"/>
    </row>
    <row r="211" spans="1:13" ht="51" x14ac:dyDescent="0.25">
      <c r="A211" s="23" t="s">
        <v>786</v>
      </c>
      <c r="B211" s="24" t="s">
        <v>35</v>
      </c>
      <c r="C211" s="24" t="s">
        <v>460</v>
      </c>
      <c r="D211" s="24" t="s">
        <v>467</v>
      </c>
      <c r="E211" s="24" t="s">
        <v>467</v>
      </c>
      <c r="F211" s="24" t="s">
        <v>787</v>
      </c>
      <c r="G211" s="24" t="s">
        <v>464</v>
      </c>
      <c r="H211" s="24" t="s">
        <v>788</v>
      </c>
      <c r="I211" s="23"/>
      <c r="J211" s="24"/>
      <c r="K211" s="24"/>
      <c r="L211" s="27" t="s">
        <v>131</v>
      </c>
      <c r="M211" s="23"/>
    </row>
    <row r="212" spans="1:13" ht="51" x14ac:dyDescent="0.25">
      <c r="A212" s="19" t="s">
        <v>789</v>
      </c>
      <c r="B212" s="20" t="s">
        <v>35</v>
      </c>
      <c r="C212" s="20" t="s">
        <v>460</v>
      </c>
      <c r="D212" s="20" t="s">
        <v>472</v>
      </c>
      <c r="E212" s="20" t="s">
        <v>473</v>
      </c>
      <c r="F212" s="20" t="s">
        <v>790</v>
      </c>
      <c r="G212" s="20" t="s">
        <v>464</v>
      </c>
      <c r="H212" s="20" t="s">
        <v>791</v>
      </c>
      <c r="I212" s="19"/>
      <c r="J212" s="20"/>
      <c r="K212" s="20"/>
      <c r="L212" s="25" t="s">
        <v>95</v>
      </c>
      <c r="M212" s="19"/>
    </row>
    <row r="213" spans="1:13" ht="38.25" x14ac:dyDescent="0.25">
      <c r="A213" s="23" t="s">
        <v>496</v>
      </c>
      <c r="B213" s="24" t="s">
        <v>35</v>
      </c>
      <c r="C213" s="24" t="s">
        <v>792</v>
      </c>
      <c r="D213" s="24" t="s">
        <v>793</v>
      </c>
      <c r="E213" s="24" t="s">
        <v>794</v>
      </c>
      <c r="F213" s="24" t="s">
        <v>795</v>
      </c>
      <c r="G213" s="24" t="s">
        <v>796</v>
      </c>
      <c r="H213" s="24" t="s">
        <v>797</v>
      </c>
      <c r="I213" s="23"/>
      <c r="J213" s="24"/>
      <c r="K213" s="24"/>
      <c r="L213" s="22" t="s">
        <v>67</v>
      </c>
      <c r="M213" s="23"/>
    </row>
    <row r="214" spans="1:13" ht="38.25" x14ac:dyDescent="0.25">
      <c r="A214" s="19" t="s">
        <v>503</v>
      </c>
      <c r="B214" s="20" t="s">
        <v>35</v>
      </c>
      <c r="C214" s="20" t="s">
        <v>792</v>
      </c>
      <c r="D214" s="20" t="s">
        <v>798</v>
      </c>
      <c r="E214" s="20" t="s">
        <v>798</v>
      </c>
      <c r="F214" s="20" t="s">
        <v>799</v>
      </c>
      <c r="G214" s="20" t="s">
        <v>796</v>
      </c>
      <c r="H214" s="20" t="s">
        <v>800</v>
      </c>
      <c r="I214" s="19"/>
      <c r="J214" s="20"/>
      <c r="K214" s="20"/>
      <c r="L214" s="22" t="s">
        <v>67</v>
      </c>
      <c r="M214" s="1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28"/>
  <sheetViews>
    <sheetView tabSelected="1" topLeftCell="B1" workbookViewId="0">
      <pane ySplit="1" topLeftCell="A274" activePane="bottomLeft" state="frozen"/>
      <selection pane="bottomLeft" activeCell="E282" sqref="E282"/>
    </sheetView>
  </sheetViews>
  <sheetFormatPr defaultRowHeight="15" x14ac:dyDescent="0.25"/>
  <cols>
    <col min="1" max="1" width="10" customWidth="1"/>
    <col min="2" max="2" width="12" customWidth="1"/>
    <col min="3" max="3" width="16" customWidth="1"/>
    <col min="4" max="4" width="22" customWidth="1"/>
    <col min="5" max="5" width="35" customWidth="1"/>
    <col min="6" max="6" width="50" customWidth="1"/>
    <col min="7" max="7" width="40" customWidth="1"/>
    <col min="8" max="8" width="45" customWidth="1"/>
    <col min="9" max="9" width="10" customWidth="1"/>
    <col min="10" max="10" width="15" customWidth="1"/>
    <col min="11" max="11" width="20" customWidth="1"/>
    <col min="12" max="13" width="12" customWidth="1"/>
  </cols>
  <sheetData>
    <row r="1" spans="1:13" ht="30" customHeight="1" x14ac:dyDescent="0.25">
      <c r="A1" s="18" t="s">
        <v>47</v>
      </c>
      <c r="B1" s="18" t="s">
        <v>48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53</v>
      </c>
      <c r="H1" s="18" t="s">
        <v>54</v>
      </c>
      <c r="I1" s="18" t="s">
        <v>55</v>
      </c>
      <c r="J1" s="18" t="s">
        <v>56</v>
      </c>
      <c r="K1" s="18" t="s">
        <v>19</v>
      </c>
      <c r="L1" s="18" t="s">
        <v>57</v>
      </c>
      <c r="M1" s="18" t="s">
        <v>58</v>
      </c>
    </row>
    <row r="2" spans="1:13" ht="51" x14ac:dyDescent="0.25">
      <c r="A2" s="19" t="s">
        <v>801</v>
      </c>
      <c r="B2" s="20" t="s">
        <v>39</v>
      </c>
      <c r="C2" s="20" t="s">
        <v>60</v>
      </c>
      <c r="D2" s="20" t="s">
        <v>61</v>
      </c>
      <c r="E2" s="20" t="s">
        <v>802</v>
      </c>
      <c r="F2" s="20" t="s">
        <v>803</v>
      </c>
      <c r="G2" s="20" t="s">
        <v>804</v>
      </c>
      <c r="H2" s="20" t="s">
        <v>805</v>
      </c>
      <c r="I2" s="21" t="s">
        <v>66</v>
      </c>
      <c r="J2" s="20"/>
      <c r="K2" s="20"/>
      <c r="L2" s="22" t="s">
        <v>67</v>
      </c>
      <c r="M2" s="19"/>
    </row>
    <row r="3" spans="1:13" ht="51" x14ac:dyDescent="0.25">
      <c r="A3" s="23" t="s">
        <v>806</v>
      </c>
      <c r="B3" s="24" t="s">
        <v>39</v>
      </c>
      <c r="C3" s="24" t="s">
        <v>60</v>
      </c>
      <c r="D3" s="24" t="s">
        <v>61</v>
      </c>
      <c r="E3" s="24" t="s">
        <v>807</v>
      </c>
      <c r="F3" s="24" t="s">
        <v>808</v>
      </c>
      <c r="G3" s="24" t="s">
        <v>804</v>
      </c>
      <c r="H3" s="24" t="s">
        <v>809</v>
      </c>
      <c r="I3" s="21" t="s">
        <v>66</v>
      </c>
      <c r="J3" s="24"/>
      <c r="K3" s="24"/>
      <c r="L3" s="22" t="s">
        <v>67</v>
      </c>
      <c r="M3" s="23"/>
    </row>
    <row r="4" spans="1:13" ht="63.75" x14ac:dyDescent="0.25">
      <c r="A4" s="19" t="s">
        <v>810</v>
      </c>
      <c r="B4" s="20" t="s">
        <v>39</v>
      </c>
      <c r="C4" s="20" t="s">
        <v>60</v>
      </c>
      <c r="D4" s="20" t="s">
        <v>811</v>
      </c>
      <c r="E4" s="20" t="s">
        <v>812</v>
      </c>
      <c r="F4" s="20" t="s">
        <v>813</v>
      </c>
      <c r="G4" s="20" t="s">
        <v>804</v>
      </c>
      <c r="H4" s="20" t="s">
        <v>814</v>
      </c>
      <c r="I4" s="28" t="s">
        <v>815</v>
      </c>
      <c r="J4" s="20" t="s">
        <v>816</v>
      </c>
      <c r="K4" s="20"/>
      <c r="L4" s="22" t="s">
        <v>67</v>
      </c>
      <c r="M4" s="19"/>
    </row>
    <row r="5" spans="1:13" ht="76.5" x14ac:dyDescent="0.25">
      <c r="A5" s="23" t="s">
        <v>817</v>
      </c>
      <c r="B5" s="24" t="s">
        <v>39</v>
      </c>
      <c r="C5" s="24" t="s">
        <v>60</v>
      </c>
      <c r="D5" s="24" t="s">
        <v>232</v>
      </c>
      <c r="E5" s="24" t="s">
        <v>818</v>
      </c>
      <c r="F5" s="24" t="s">
        <v>819</v>
      </c>
      <c r="G5" s="24" t="s">
        <v>804</v>
      </c>
      <c r="H5" s="24" t="s">
        <v>820</v>
      </c>
      <c r="I5" s="28" t="s">
        <v>815</v>
      </c>
      <c r="J5" s="24" t="s">
        <v>816</v>
      </c>
      <c r="K5" s="24"/>
      <c r="L5" s="25" t="s">
        <v>95</v>
      </c>
      <c r="M5" s="23"/>
    </row>
    <row r="6" spans="1:13" ht="25.5" x14ac:dyDescent="0.25">
      <c r="A6" s="19" t="s">
        <v>821</v>
      </c>
      <c r="B6" s="20" t="s">
        <v>39</v>
      </c>
      <c r="C6" s="20" t="s">
        <v>60</v>
      </c>
      <c r="D6" s="20" t="s">
        <v>74</v>
      </c>
      <c r="E6" s="20" t="s">
        <v>822</v>
      </c>
      <c r="F6" s="20" t="s">
        <v>76</v>
      </c>
      <c r="G6" s="20" t="s">
        <v>804</v>
      </c>
      <c r="H6" s="20" t="s">
        <v>823</v>
      </c>
      <c r="I6" s="21" t="s">
        <v>824</v>
      </c>
      <c r="J6" s="20"/>
      <c r="K6" s="20"/>
      <c r="L6" s="22" t="s">
        <v>67</v>
      </c>
      <c r="M6" s="19"/>
    </row>
    <row r="7" spans="1:13" ht="25.5" x14ac:dyDescent="0.25">
      <c r="A7" s="23" t="s">
        <v>825</v>
      </c>
      <c r="B7" s="24" t="s">
        <v>39</v>
      </c>
      <c r="C7" s="24" t="s">
        <v>79</v>
      </c>
      <c r="D7" s="24" t="s">
        <v>80</v>
      </c>
      <c r="E7" s="24" t="s">
        <v>826</v>
      </c>
      <c r="F7" s="24" t="s">
        <v>827</v>
      </c>
      <c r="G7" s="24" t="s">
        <v>828</v>
      </c>
      <c r="H7" s="24" t="s">
        <v>829</v>
      </c>
      <c r="I7" s="21" t="s">
        <v>66</v>
      </c>
      <c r="J7" s="24"/>
      <c r="K7" s="24"/>
      <c r="L7" s="22" t="s">
        <v>67</v>
      </c>
      <c r="M7" s="23"/>
    </row>
    <row r="8" spans="1:13" ht="25.5" x14ac:dyDescent="0.25">
      <c r="A8" s="19" t="s">
        <v>830</v>
      </c>
      <c r="B8" s="20" t="s">
        <v>39</v>
      </c>
      <c r="C8" s="20" t="s">
        <v>79</v>
      </c>
      <c r="D8" s="20" t="s">
        <v>831</v>
      </c>
      <c r="E8" s="20" t="s">
        <v>832</v>
      </c>
      <c r="F8" s="20" t="s">
        <v>833</v>
      </c>
      <c r="G8" s="20" t="s">
        <v>828</v>
      </c>
      <c r="H8" s="20" t="s">
        <v>834</v>
      </c>
      <c r="I8" s="21" t="s">
        <v>66</v>
      </c>
      <c r="J8" s="20"/>
      <c r="K8" s="20"/>
      <c r="L8" s="22" t="s">
        <v>67</v>
      </c>
      <c r="M8" s="19"/>
    </row>
    <row r="9" spans="1:13" ht="51" x14ac:dyDescent="0.25">
      <c r="A9" s="23" t="s">
        <v>835</v>
      </c>
      <c r="B9" s="24" t="s">
        <v>39</v>
      </c>
      <c r="C9" s="24" t="s">
        <v>79</v>
      </c>
      <c r="D9" s="24" t="s">
        <v>91</v>
      </c>
      <c r="E9" s="24" t="s">
        <v>836</v>
      </c>
      <c r="F9" s="24" t="s">
        <v>837</v>
      </c>
      <c r="G9" s="24" t="s">
        <v>828</v>
      </c>
      <c r="H9" s="24" t="s">
        <v>838</v>
      </c>
      <c r="I9" s="21" t="s">
        <v>66</v>
      </c>
      <c r="J9" s="24"/>
      <c r="K9" s="24"/>
      <c r="L9" s="25" t="s">
        <v>95</v>
      </c>
      <c r="M9" s="23"/>
    </row>
    <row r="10" spans="1:13" ht="25.5" x14ac:dyDescent="0.25">
      <c r="A10" s="19" t="s">
        <v>839</v>
      </c>
      <c r="B10" s="20" t="s">
        <v>39</v>
      </c>
      <c r="C10" s="20" t="s">
        <v>840</v>
      </c>
      <c r="D10" s="20" t="s">
        <v>841</v>
      </c>
      <c r="E10" s="20" t="s">
        <v>842</v>
      </c>
      <c r="F10" s="20" t="s">
        <v>843</v>
      </c>
      <c r="G10" s="20" t="s">
        <v>844</v>
      </c>
      <c r="H10" s="20" t="s">
        <v>845</v>
      </c>
      <c r="I10" s="21" t="s">
        <v>66</v>
      </c>
      <c r="J10" s="20"/>
      <c r="K10" s="20"/>
      <c r="L10" s="22" t="s">
        <v>67</v>
      </c>
      <c r="M10" s="19"/>
    </row>
    <row r="11" spans="1:13" ht="51" x14ac:dyDescent="0.25">
      <c r="A11" s="23" t="s">
        <v>846</v>
      </c>
      <c r="B11" s="24" t="s">
        <v>39</v>
      </c>
      <c r="C11" s="24" t="s">
        <v>840</v>
      </c>
      <c r="D11" s="24" t="s">
        <v>847</v>
      </c>
      <c r="E11" s="24" t="s">
        <v>848</v>
      </c>
      <c r="F11" s="24" t="s">
        <v>849</v>
      </c>
      <c r="G11" s="24" t="s">
        <v>850</v>
      </c>
      <c r="H11" s="24" t="s">
        <v>851</v>
      </c>
      <c r="I11" s="21" t="s">
        <v>66</v>
      </c>
      <c r="J11" s="24" t="s">
        <v>3683</v>
      </c>
      <c r="K11" s="24"/>
      <c r="L11" s="22" t="s">
        <v>67</v>
      </c>
      <c r="M11" s="23"/>
    </row>
    <row r="12" spans="1:13" ht="38.25" x14ac:dyDescent="0.25">
      <c r="A12" s="19" t="s">
        <v>852</v>
      </c>
      <c r="B12" s="20" t="s">
        <v>39</v>
      </c>
      <c r="C12" s="20" t="s">
        <v>840</v>
      </c>
      <c r="D12" s="20" t="s">
        <v>853</v>
      </c>
      <c r="E12" s="20" t="s">
        <v>854</v>
      </c>
      <c r="F12" s="20" t="s">
        <v>855</v>
      </c>
      <c r="G12" s="20" t="s">
        <v>850</v>
      </c>
      <c r="H12" s="20" t="s">
        <v>856</v>
      </c>
      <c r="I12" s="21" t="s">
        <v>66</v>
      </c>
      <c r="J12" s="20" t="s">
        <v>3683</v>
      </c>
      <c r="K12" s="20"/>
      <c r="L12" s="22" t="s">
        <v>67</v>
      </c>
      <c r="M12" s="19"/>
    </row>
    <row r="13" spans="1:13" ht="25.5" x14ac:dyDescent="0.25">
      <c r="A13" s="23" t="s">
        <v>857</v>
      </c>
      <c r="B13" s="24" t="s">
        <v>39</v>
      </c>
      <c r="C13" s="24" t="s">
        <v>840</v>
      </c>
      <c r="D13" s="24" t="s">
        <v>858</v>
      </c>
      <c r="E13" s="24" t="s">
        <v>859</v>
      </c>
      <c r="F13" s="24" t="s">
        <v>860</v>
      </c>
      <c r="G13" s="24" t="s">
        <v>850</v>
      </c>
      <c r="H13" s="24" t="s">
        <v>861</v>
      </c>
      <c r="I13" s="21" t="s">
        <v>66</v>
      </c>
      <c r="J13" s="24" t="s">
        <v>3683</v>
      </c>
      <c r="K13" s="24"/>
      <c r="L13" s="22" t="s">
        <v>67</v>
      </c>
      <c r="M13" s="23"/>
    </row>
    <row r="14" spans="1:13" ht="25.5" x14ac:dyDescent="0.25">
      <c r="A14" s="19" t="s">
        <v>862</v>
      </c>
      <c r="B14" s="20" t="s">
        <v>39</v>
      </c>
      <c r="C14" s="20" t="s">
        <v>840</v>
      </c>
      <c r="D14" s="20" t="s">
        <v>863</v>
      </c>
      <c r="E14" s="20" t="s">
        <v>864</v>
      </c>
      <c r="F14" s="20" t="s">
        <v>865</v>
      </c>
      <c r="G14" s="20" t="s">
        <v>850</v>
      </c>
      <c r="H14" s="20" t="s">
        <v>866</v>
      </c>
      <c r="I14" s="21" t="s">
        <v>66</v>
      </c>
      <c r="J14" s="20" t="s">
        <v>3683</v>
      </c>
      <c r="K14" s="20"/>
      <c r="L14" s="22" t="s">
        <v>67</v>
      </c>
      <c r="M14" s="19"/>
    </row>
    <row r="15" spans="1:13" ht="51" x14ac:dyDescent="0.25">
      <c r="A15" s="23" t="s">
        <v>867</v>
      </c>
      <c r="B15" s="24" t="s">
        <v>39</v>
      </c>
      <c r="C15" s="24" t="s">
        <v>840</v>
      </c>
      <c r="D15" s="24" t="s">
        <v>868</v>
      </c>
      <c r="E15" s="24" t="s">
        <v>869</v>
      </c>
      <c r="F15" s="24" t="s">
        <v>870</v>
      </c>
      <c r="G15" s="24" t="s">
        <v>850</v>
      </c>
      <c r="H15" s="24" t="s">
        <v>871</v>
      </c>
      <c r="I15" s="21" t="s">
        <v>66</v>
      </c>
      <c r="J15" s="24" t="s">
        <v>3683</v>
      </c>
      <c r="K15" s="24"/>
      <c r="L15" s="25" t="s">
        <v>95</v>
      </c>
      <c r="M15" s="23"/>
    </row>
    <row r="16" spans="1:13" ht="38.25" x14ac:dyDescent="0.25">
      <c r="A16" s="19" t="s">
        <v>872</v>
      </c>
      <c r="B16" s="20" t="s">
        <v>39</v>
      </c>
      <c r="C16" s="20" t="s">
        <v>840</v>
      </c>
      <c r="D16" s="20" t="s">
        <v>873</v>
      </c>
      <c r="E16" s="20" t="s">
        <v>874</v>
      </c>
      <c r="F16" s="20" t="s">
        <v>875</v>
      </c>
      <c r="G16" s="20" t="s">
        <v>850</v>
      </c>
      <c r="H16" s="20" t="s">
        <v>876</v>
      </c>
      <c r="I16" s="21" t="s">
        <v>66</v>
      </c>
      <c r="J16" s="20" t="s">
        <v>3683</v>
      </c>
      <c r="K16" s="20"/>
      <c r="L16" s="25" t="s">
        <v>95</v>
      </c>
      <c r="M16" s="19"/>
    </row>
    <row r="17" spans="1:13" ht="38.25" x14ac:dyDescent="0.25">
      <c r="A17" s="23" t="s">
        <v>877</v>
      </c>
      <c r="B17" s="24" t="s">
        <v>39</v>
      </c>
      <c r="C17" s="24" t="s">
        <v>840</v>
      </c>
      <c r="D17" s="24" t="s">
        <v>878</v>
      </c>
      <c r="E17" s="24" t="s">
        <v>879</v>
      </c>
      <c r="F17" s="24" t="s">
        <v>880</v>
      </c>
      <c r="G17" s="24" t="s">
        <v>850</v>
      </c>
      <c r="H17" s="24" t="s">
        <v>881</v>
      </c>
      <c r="I17" s="23"/>
      <c r="J17" s="24"/>
      <c r="K17" s="24"/>
      <c r="L17" s="25" t="s">
        <v>95</v>
      </c>
      <c r="M17" s="23"/>
    </row>
    <row r="18" spans="1:13" ht="38.25" x14ac:dyDescent="0.25">
      <c r="A18" s="19" t="s">
        <v>882</v>
      </c>
      <c r="B18" s="20" t="s">
        <v>39</v>
      </c>
      <c r="C18" s="20" t="s">
        <v>840</v>
      </c>
      <c r="D18" s="20" t="s">
        <v>883</v>
      </c>
      <c r="E18" s="20" t="s">
        <v>884</v>
      </c>
      <c r="F18" s="20" t="s">
        <v>885</v>
      </c>
      <c r="G18" s="20" t="s">
        <v>850</v>
      </c>
      <c r="H18" s="20" t="s">
        <v>886</v>
      </c>
      <c r="I18" s="19"/>
      <c r="J18" s="20"/>
      <c r="K18" s="20"/>
      <c r="L18" s="25" t="s">
        <v>95</v>
      </c>
      <c r="M18" s="19"/>
    </row>
    <row r="19" spans="1:13" ht="38.25" x14ac:dyDescent="0.25">
      <c r="A19" s="23" t="s">
        <v>887</v>
      </c>
      <c r="B19" s="24" t="s">
        <v>39</v>
      </c>
      <c r="C19" s="24" t="s">
        <v>840</v>
      </c>
      <c r="D19" s="24" t="s">
        <v>888</v>
      </c>
      <c r="E19" s="24" t="s">
        <v>889</v>
      </c>
      <c r="F19" s="24" t="s">
        <v>890</v>
      </c>
      <c r="G19" s="24" t="s">
        <v>850</v>
      </c>
      <c r="H19" s="24" t="s">
        <v>891</v>
      </c>
      <c r="I19" s="23"/>
      <c r="J19" s="24"/>
      <c r="K19" s="24"/>
      <c r="L19" s="25" t="s">
        <v>95</v>
      </c>
      <c r="M19" s="23"/>
    </row>
    <row r="20" spans="1:13" ht="25.5" x14ac:dyDescent="0.25">
      <c r="A20" s="19" t="s">
        <v>892</v>
      </c>
      <c r="B20" s="20" t="s">
        <v>39</v>
      </c>
      <c r="C20" s="20" t="s">
        <v>840</v>
      </c>
      <c r="D20" s="20" t="s">
        <v>893</v>
      </c>
      <c r="E20" s="20" t="s">
        <v>894</v>
      </c>
      <c r="F20" s="20" t="s">
        <v>895</v>
      </c>
      <c r="G20" s="20" t="s">
        <v>850</v>
      </c>
      <c r="H20" s="20" t="s">
        <v>896</v>
      </c>
      <c r="I20" s="21" t="s">
        <v>66</v>
      </c>
      <c r="J20" s="20"/>
      <c r="K20" s="20"/>
      <c r="L20" s="22" t="s">
        <v>67</v>
      </c>
      <c r="M20" s="19"/>
    </row>
    <row r="21" spans="1:13" ht="25.5" x14ac:dyDescent="0.25">
      <c r="A21" s="23" t="s">
        <v>897</v>
      </c>
      <c r="B21" s="24" t="s">
        <v>39</v>
      </c>
      <c r="C21" s="24" t="s">
        <v>898</v>
      </c>
      <c r="D21" s="24" t="s">
        <v>899</v>
      </c>
      <c r="E21" s="24" t="s">
        <v>900</v>
      </c>
      <c r="F21" s="24" t="s">
        <v>901</v>
      </c>
      <c r="G21" s="24" t="s">
        <v>902</v>
      </c>
      <c r="H21" s="24" t="s">
        <v>903</v>
      </c>
      <c r="I21" s="21" t="s">
        <v>66</v>
      </c>
      <c r="J21" s="24"/>
      <c r="K21" s="24"/>
      <c r="L21" s="22" t="s">
        <v>67</v>
      </c>
      <c r="M21" s="23"/>
    </row>
    <row r="22" spans="1:13" ht="38.25" x14ac:dyDescent="0.25">
      <c r="A22" s="19" t="s">
        <v>904</v>
      </c>
      <c r="B22" s="20" t="s">
        <v>39</v>
      </c>
      <c r="C22" s="20" t="s">
        <v>898</v>
      </c>
      <c r="D22" s="20" t="s">
        <v>905</v>
      </c>
      <c r="E22" s="20" t="s">
        <v>906</v>
      </c>
      <c r="F22" s="20" t="s">
        <v>907</v>
      </c>
      <c r="G22" s="20" t="s">
        <v>908</v>
      </c>
      <c r="H22" s="20" t="s">
        <v>909</v>
      </c>
      <c r="I22" s="21" t="s">
        <v>66</v>
      </c>
      <c r="J22" s="20"/>
      <c r="K22" s="20"/>
      <c r="L22" s="22" t="s">
        <v>67</v>
      </c>
      <c r="M22" s="19"/>
    </row>
    <row r="23" spans="1:13" ht="38.25" x14ac:dyDescent="0.25">
      <c r="A23" s="23" t="s">
        <v>910</v>
      </c>
      <c r="B23" s="24" t="s">
        <v>39</v>
      </c>
      <c r="C23" s="24" t="s">
        <v>898</v>
      </c>
      <c r="D23" s="24" t="s">
        <v>911</v>
      </c>
      <c r="E23" s="24" t="s">
        <v>912</v>
      </c>
      <c r="F23" s="24" t="s">
        <v>913</v>
      </c>
      <c r="G23" s="24" t="s">
        <v>908</v>
      </c>
      <c r="H23" s="24" t="s">
        <v>914</v>
      </c>
      <c r="I23" s="21" t="s">
        <v>66</v>
      </c>
      <c r="J23" s="24"/>
      <c r="K23" s="24"/>
      <c r="L23" s="22" t="s">
        <v>67</v>
      </c>
      <c r="M23" s="23"/>
    </row>
    <row r="24" spans="1:13" ht="38.25" x14ac:dyDescent="0.25">
      <c r="A24" s="19" t="s">
        <v>915</v>
      </c>
      <c r="B24" s="20" t="s">
        <v>39</v>
      </c>
      <c r="C24" s="20" t="s">
        <v>898</v>
      </c>
      <c r="D24" s="20" t="s">
        <v>916</v>
      </c>
      <c r="E24" s="20" t="s">
        <v>917</v>
      </c>
      <c r="F24" s="20" t="s">
        <v>918</v>
      </c>
      <c r="G24" s="20" t="s">
        <v>908</v>
      </c>
      <c r="H24" s="20" t="s">
        <v>919</v>
      </c>
      <c r="I24" s="21" t="s">
        <v>66</v>
      </c>
      <c r="J24" s="20"/>
      <c r="K24" s="20"/>
      <c r="L24" s="25" t="s">
        <v>95</v>
      </c>
      <c r="M24" s="19"/>
    </row>
    <row r="25" spans="1:13" ht="25.5" x14ac:dyDescent="0.25">
      <c r="A25" s="23" t="s">
        <v>920</v>
      </c>
      <c r="B25" s="24" t="s">
        <v>39</v>
      </c>
      <c r="C25" s="24" t="s">
        <v>898</v>
      </c>
      <c r="D25" s="24" t="s">
        <v>921</v>
      </c>
      <c r="E25" s="24" t="s">
        <v>922</v>
      </c>
      <c r="F25" s="24" t="s">
        <v>923</v>
      </c>
      <c r="G25" s="24" t="s">
        <v>924</v>
      </c>
      <c r="H25" s="24" t="s">
        <v>925</v>
      </c>
      <c r="I25" s="21" t="s">
        <v>66</v>
      </c>
      <c r="J25" s="24"/>
      <c r="K25" s="24"/>
      <c r="L25" s="22" t="s">
        <v>67</v>
      </c>
      <c r="M25" s="23"/>
    </row>
    <row r="26" spans="1:13" ht="25.5" x14ac:dyDescent="0.25">
      <c r="A26" s="19" t="s">
        <v>926</v>
      </c>
      <c r="B26" s="20" t="s">
        <v>39</v>
      </c>
      <c r="C26" s="20" t="s">
        <v>898</v>
      </c>
      <c r="D26" s="20" t="s">
        <v>927</v>
      </c>
      <c r="E26" s="20" t="s">
        <v>928</v>
      </c>
      <c r="F26" s="20" t="s">
        <v>929</v>
      </c>
      <c r="G26" s="20" t="s">
        <v>930</v>
      </c>
      <c r="H26" s="20" t="s">
        <v>931</v>
      </c>
      <c r="I26" s="21" t="s">
        <v>66</v>
      </c>
      <c r="J26" s="20"/>
      <c r="K26" s="20"/>
      <c r="L26" s="22" t="s">
        <v>67</v>
      </c>
      <c r="M26" s="19"/>
    </row>
    <row r="27" spans="1:13" ht="38.25" x14ac:dyDescent="0.25">
      <c r="A27" s="23" t="s">
        <v>932</v>
      </c>
      <c r="B27" s="24" t="s">
        <v>39</v>
      </c>
      <c r="C27" s="24" t="s">
        <v>898</v>
      </c>
      <c r="D27" s="24" t="s">
        <v>933</v>
      </c>
      <c r="E27" s="24" t="s">
        <v>934</v>
      </c>
      <c r="F27" s="24" t="s">
        <v>935</v>
      </c>
      <c r="G27" s="24" t="s">
        <v>936</v>
      </c>
      <c r="H27" s="24" t="s">
        <v>937</v>
      </c>
      <c r="I27" s="33" t="s">
        <v>3684</v>
      </c>
      <c r="J27" s="24"/>
      <c r="K27" s="24"/>
      <c r="L27" s="22" t="s">
        <v>67</v>
      </c>
      <c r="M27" s="23"/>
    </row>
    <row r="28" spans="1:13" ht="25.5" x14ac:dyDescent="0.25">
      <c r="A28" s="19" t="s">
        <v>938</v>
      </c>
      <c r="B28" s="20" t="s">
        <v>39</v>
      </c>
      <c r="C28" s="20" t="s">
        <v>898</v>
      </c>
      <c r="D28" s="20" t="s">
        <v>939</v>
      </c>
      <c r="E28" s="20" t="s">
        <v>940</v>
      </c>
      <c r="F28" s="20" t="s">
        <v>941</v>
      </c>
      <c r="G28" s="20" t="s">
        <v>902</v>
      </c>
      <c r="H28" s="20" t="s">
        <v>942</v>
      </c>
      <c r="I28" s="19"/>
      <c r="J28" s="20"/>
      <c r="K28" s="20"/>
      <c r="L28" s="22" t="s">
        <v>67</v>
      </c>
      <c r="M28" s="19"/>
    </row>
    <row r="29" spans="1:13" ht="25.5" x14ac:dyDescent="0.25">
      <c r="A29" s="23" t="s">
        <v>943</v>
      </c>
      <c r="B29" s="24" t="s">
        <v>39</v>
      </c>
      <c r="C29" s="24" t="s">
        <v>898</v>
      </c>
      <c r="D29" s="24" t="s">
        <v>944</v>
      </c>
      <c r="E29" s="24" t="s">
        <v>945</v>
      </c>
      <c r="F29" s="24" t="s">
        <v>946</v>
      </c>
      <c r="G29" s="24" t="s">
        <v>936</v>
      </c>
      <c r="H29" s="24" t="s">
        <v>947</v>
      </c>
      <c r="I29" s="21" t="s">
        <v>66</v>
      </c>
      <c r="J29" s="24"/>
      <c r="K29" s="24"/>
      <c r="L29" s="27" t="s">
        <v>131</v>
      </c>
      <c r="M29" s="23"/>
    </row>
    <row r="30" spans="1:13" ht="51" x14ac:dyDescent="0.25">
      <c r="A30" s="19" t="s">
        <v>948</v>
      </c>
      <c r="B30" s="20" t="s">
        <v>39</v>
      </c>
      <c r="C30" s="20" t="s">
        <v>97</v>
      </c>
      <c r="D30" s="20" t="s">
        <v>949</v>
      </c>
      <c r="E30" s="20" t="s">
        <v>950</v>
      </c>
      <c r="F30" s="20" t="s">
        <v>951</v>
      </c>
      <c r="G30" s="20" t="s">
        <v>952</v>
      </c>
      <c r="H30" s="20" t="s">
        <v>953</v>
      </c>
      <c r="I30" s="21" t="s">
        <v>66</v>
      </c>
      <c r="J30" s="20"/>
      <c r="K30" s="20"/>
      <c r="L30" s="26" t="s">
        <v>103</v>
      </c>
      <c r="M30" s="19"/>
    </row>
    <row r="31" spans="1:13" ht="25.5" x14ac:dyDescent="0.25">
      <c r="A31" s="23" t="s">
        <v>954</v>
      </c>
      <c r="B31" s="24" t="s">
        <v>39</v>
      </c>
      <c r="C31" s="24" t="s">
        <v>97</v>
      </c>
      <c r="D31" s="24" t="s">
        <v>955</v>
      </c>
      <c r="E31" s="24" t="s">
        <v>106</v>
      </c>
      <c r="F31" s="24" t="s">
        <v>956</v>
      </c>
      <c r="G31" s="24" t="s">
        <v>957</v>
      </c>
      <c r="H31" s="24" t="s">
        <v>958</v>
      </c>
      <c r="I31" s="21" t="s">
        <v>66</v>
      </c>
      <c r="J31" s="24"/>
      <c r="K31" s="24"/>
      <c r="L31" s="22" t="s">
        <v>67</v>
      </c>
      <c r="M31" s="23"/>
    </row>
    <row r="32" spans="1:13" ht="25.5" x14ac:dyDescent="0.25">
      <c r="A32" s="19" t="s">
        <v>959</v>
      </c>
      <c r="B32" s="20" t="s">
        <v>39</v>
      </c>
      <c r="C32" s="20" t="s">
        <v>97</v>
      </c>
      <c r="D32" s="20" t="s">
        <v>122</v>
      </c>
      <c r="E32" s="20" t="s">
        <v>123</v>
      </c>
      <c r="F32" s="20" t="s">
        <v>960</v>
      </c>
      <c r="G32" s="20" t="s">
        <v>957</v>
      </c>
      <c r="H32" s="20" t="s">
        <v>961</v>
      </c>
      <c r="I32" s="21" t="s">
        <v>66</v>
      </c>
      <c r="J32" s="20"/>
      <c r="K32" s="20"/>
      <c r="L32" s="22" t="s">
        <v>67</v>
      </c>
      <c r="M32" s="19"/>
    </row>
    <row r="33" spans="1:13" ht="25.5" x14ac:dyDescent="0.25">
      <c r="A33" s="23" t="s">
        <v>962</v>
      </c>
      <c r="B33" s="24" t="s">
        <v>39</v>
      </c>
      <c r="C33" s="24" t="s">
        <v>97</v>
      </c>
      <c r="D33" s="24" t="s">
        <v>963</v>
      </c>
      <c r="E33" s="24" t="s">
        <v>964</v>
      </c>
      <c r="F33" s="24" t="s">
        <v>965</v>
      </c>
      <c r="G33" s="24" t="s">
        <v>952</v>
      </c>
      <c r="H33" s="24" t="s">
        <v>966</v>
      </c>
      <c r="I33" s="21" t="s">
        <v>66</v>
      </c>
      <c r="J33" s="24"/>
      <c r="K33" s="24"/>
      <c r="L33" s="22" t="s">
        <v>67</v>
      </c>
      <c r="M33" s="23"/>
    </row>
    <row r="34" spans="1:13" ht="38.25" x14ac:dyDescent="0.25">
      <c r="A34" s="19" t="s">
        <v>967</v>
      </c>
      <c r="B34" s="20" t="s">
        <v>39</v>
      </c>
      <c r="C34" s="20" t="s">
        <v>97</v>
      </c>
      <c r="D34" s="20" t="s">
        <v>968</v>
      </c>
      <c r="E34" s="20" t="s">
        <v>969</v>
      </c>
      <c r="F34" s="20" t="s">
        <v>970</v>
      </c>
      <c r="G34" s="20" t="s">
        <v>952</v>
      </c>
      <c r="H34" s="20" t="s">
        <v>971</v>
      </c>
      <c r="I34" s="21"/>
      <c r="J34" s="20"/>
      <c r="K34" s="20"/>
      <c r="L34" s="25" t="s">
        <v>95</v>
      </c>
      <c r="M34" s="19"/>
    </row>
    <row r="35" spans="1:13" ht="51" x14ac:dyDescent="0.25">
      <c r="A35" s="23" t="s">
        <v>972</v>
      </c>
      <c r="B35" s="24" t="s">
        <v>39</v>
      </c>
      <c r="C35" s="24" t="s">
        <v>97</v>
      </c>
      <c r="D35" s="24" t="s">
        <v>973</v>
      </c>
      <c r="E35" s="24" t="s">
        <v>974</v>
      </c>
      <c r="F35" s="24" t="s">
        <v>975</v>
      </c>
      <c r="G35" s="24" t="s">
        <v>952</v>
      </c>
      <c r="H35" s="24" t="s">
        <v>976</v>
      </c>
      <c r="I35" s="33" t="s">
        <v>3684</v>
      </c>
      <c r="J35" s="24"/>
      <c r="K35" s="24"/>
      <c r="L35" s="25" t="s">
        <v>95</v>
      </c>
      <c r="M35" s="23"/>
    </row>
    <row r="36" spans="1:13" ht="38.25" x14ac:dyDescent="0.25">
      <c r="A36" s="19" t="s">
        <v>977</v>
      </c>
      <c r="B36" s="20" t="s">
        <v>39</v>
      </c>
      <c r="C36" s="20" t="s">
        <v>97</v>
      </c>
      <c r="D36" s="20" t="s">
        <v>978</v>
      </c>
      <c r="E36" s="20" t="s">
        <v>979</v>
      </c>
      <c r="F36" s="20" t="s">
        <v>980</v>
      </c>
      <c r="G36" s="20" t="s">
        <v>952</v>
      </c>
      <c r="H36" s="20" t="s">
        <v>981</v>
      </c>
      <c r="I36" s="33" t="s">
        <v>3684</v>
      </c>
      <c r="J36" s="20"/>
      <c r="K36" s="20"/>
      <c r="L36" s="25" t="s">
        <v>95</v>
      </c>
      <c r="M36" s="19"/>
    </row>
    <row r="37" spans="1:13" ht="25.5" x14ac:dyDescent="0.25">
      <c r="A37" s="23" t="s">
        <v>982</v>
      </c>
      <c r="B37" s="24" t="s">
        <v>39</v>
      </c>
      <c r="C37" s="24" t="s">
        <v>193</v>
      </c>
      <c r="D37" s="24" t="s">
        <v>194</v>
      </c>
      <c r="E37" s="24" t="s">
        <v>983</v>
      </c>
      <c r="F37" s="24" t="s">
        <v>984</v>
      </c>
      <c r="G37" s="24" t="s">
        <v>985</v>
      </c>
      <c r="H37" s="24" t="s">
        <v>986</v>
      </c>
      <c r="I37" s="21" t="s">
        <v>66</v>
      </c>
      <c r="J37" s="24"/>
      <c r="K37" s="24"/>
      <c r="L37" s="22" t="s">
        <v>67</v>
      </c>
      <c r="M37" s="23"/>
    </row>
    <row r="38" spans="1:13" ht="51" x14ac:dyDescent="0.25">
      <c r="A38" s="19" t="s">
        <v>987</v>
      </c>
      <c r="B38" s="20" t="s">
        <v>39</v>
      </c>
      <c r="C38" s="20" t="s">
        <v>193</v>
      </c>
      <c r="D38" s="20" t="s">
        <v>200</v>
      </c>
      <c r="E38" s="20" t="s">
        <v>988</v>
      </c>
      <c r="F38" s="20" t="s">
        <v>989</v>
      </c>
      <c r="G38" s="20" t="s">
        <v>990</v>
      </c>
      <c r="H38" s="20" t="s">
        <v>204</v>
      </c>
      <c r="I38" s="21" t="s">
        <v>66</v>
      </c>
      <c r="J38" s="20"/>
      <c r="K38" s="20"/>
      <c r="L38" s="25" t="s">
        <v>95</v>
      </c>
      <c r="M38" s="19"/>
    </row>
    <row r="39" spans="1:13" ht="51" x14ac:dyDescent="0.25">
      <c r="A39" s="23" t="s">
        <v>991</v>
      </c>
      <c r="B39" s="24" t="s">
        <v>39</v>
      </c>
      <c r="C39" s="24" t="s">
        <v>193</v>
      </c>
      <c r="D39" s="24" t="s">
        <v>403</v>
      </c>
      <c r="E39" s="24" t="s">
        <v>403</v>
      </c>
      <c r="F39" s="24" t="s">
        <v>992</v>
      </c>
      <c r="G39" s="24" t="s">
        <v>993</v>
      </c>
      <c r="H39" s="24" t="s">
        <v>994</v>
      </c>
      <c r="I39" s="21" t="s">
        <v>66</v>
      </c>
      <c r="J39" s="24"/>
      <c r="K39" s="24"/>
      <c r="L39" s="25" t="s">
        <v>95</v>
      </c>
      <c r="M39" s="23"/>
    </row>
    <row r="40" spans="1:13" ht="51" x14ac:dyDescent="0.25">
      <c r="A40" s="19" t="s">
        <v>995</v>
      </c>
      <c r="B40" s="20" t="s">
        <v>39</v>
      </c>
      <c r="C40" s="20" t="s">
        <v>193</v>
      </c>
      <c r="D40" s="20" t="s">
        <v>996</v>
      </c>
      <c r="E40" s="20" t="s">
        <v>997</v>
      </c>
      <c r="F40" s="20" t="s">
        <v>998</v>
      </c>
      <c r="G40" s="20" t="s">
        <v>990</v>
      </c>
      <c r="H40" s="20" t="s">
        <v>999</v>
      </c>
      <c r="I40" s="21" t="s">
        <v>66</v>
      </c>
      <c r="J40" s="20"/>
      <c r="K40" s="20"/>
      <c r="L40" s="22" t="s">
        <v>67</v>
      </c>
      <c r="M40" s="19"/>
    </row>
    <row r="41" spans="1:13" ht="51" x14ac:dyDescent="0.25">
      <c r="A41" s="23" t="s">
        <v>1000</v>
      </c>
      <c r="B41" s="24" t="s">
        <v>39</v>
      </c>
      <c r="C41" s="24" t="s">
        <v>193</v>
      </c>
      <c r="D41" s="24" t="s">
        <v>1001</v>
      </c>
      <c r="E41" s="24" t="s">
        <v>1002</v>
      </c>
      <c r="F41" s="24" t="s">
        <v>1003</v>
      </c>
      <c r="G41" s="24" t="s">
        <v>993</v>
      </c>
      <c r="H41" s="24" t="s">
        <v>1004</v>
      </c>
      <c r="I41" s="23"/>
      <c r="J41" s="24"/>
      <c r="K41" s="24"/>
      <c r="L41" s="27" t="s">
        <v>131</v>
      </c>
      <c r="M41" s="23"/>
    </row>
    <row r="42" spans="1:13" ht="25.5" x14ac:dyDescent="0.25">
      <c r="A42" s="19" t="s">
        <v>1005</v>
      </c>
      <c r="B42" s="20" t="s">
        <v>39</v>
      </c>
      <c r="C42" s="20" t="s">
        <v>193</v>
      </c>
      <c r="D42" s="20" t="s">
        <v>1006</v>
      </c>
      <c r="E42" s="20" t="s">
        <v>1007</v>
      </c>
      <c r="F42" s="20" t="s">
        <v>1008</v>
      </c>
      <c r="G42" s="20" t="s">
        <v>985</v>
      </c>
      <c r="H42" s="20" t="s">
        <v>1009</v>
      </c>
      <c r="I42" s="21" t="s">
        <v>66</v>
      </c>
      <c r="J42" s="20"/>
      <c r="K42" s="20"/>
      <c r="L42" s="25" t="s">
        <v>95</v>
      </c>
      <c r="M42" s="19"/>
    </row>
    <row r="43" spans="1:13" ht="38.25" x14ac:dyDescent="0.25">
      <c r="A43" s="23" t="s">
        <v>1010</v>
      </c>
      <c r="B43" s="24" t="s">
        <v>39</v>
      </c>
      <c r="C43" s="24" t="s">
        <v>193</v>
      </c>
      <c r="D43" s="24" t="s">
        <v>1011</v>
      </c>
      <c r="E43" s="24" t="s">
        <v>1012</v>
      </c>
      <c r="F43" s="24" t="s">
        <v>1013</v>
      </c>
      <c r="G43" s="24" t="s">
        <v>993</v>
      </c>
      <c r="H43" s="24" t="s">
        <v>1014</v>
      </c>
      <c r="I43" s="21" t="s">
        <v>66</v>
      </c>
      <c r="J43" s="24"/>
      <c r="K43" s="24"/>
      <c r="L43" s="25" t="s">
        <v>95</v>
      </c>
      <c r="M43" s="23"/>
    </row>
    <row r="44" spans="1:13" ht="25.5" x14ac:dyDescent="0.25">
      <c r="A44" s="19" t="s">
        <v>1015</v>
      </c>
      <c r="B44" s="20" t="s">
        <v>39</v>
      </c>
      <c r="C44" s="20" t="s">
        <v>1016</v>
      </c>
      <c r="D44" s="20" t="s">
        <v>1017</v>
      </c>
      <c r="E44" s="20" t="s">
        <v>1018</v>
      </c>
      <c r="F44" s="20" t="s">
        <v>1019</v>
      </c>
      <c r="G44" s="20" t="s">
        <v>1020</v>
      </c>
      <c r="H44" s="20" t="s">
        <v>1021</v>
      </c>
      <c r="I44" s="21" t="s">
        <v>66</v>
      </c>
      <c r="J44" s="20"/>
      <c r="K44" s="20"/>
      <c r="L44" s="25" t="s">
        <v>95</v>
      </c>
      <c r="M44" s="19"/>
    </row>
    <row r="45" spans="1:13" ht="51" x14ac:dyDescent="0.25">
      <c r="A45" s="23" t="s">
        <v>1022</v>
      </c>
      <c r="B45" s="24" t="s">
        <v>39</v>
      </c>
      <c r="C45" s="24" t="s">
        <v>1016</v>
      </c>
      <c r="D45" s="24" t="s">
        <v>1023</v>
      </c>
      <c r="E45" s="24" t="s">
        <v>1024</v>
      </c>
      <c r="F45" s="24" t="s">
        <v>1025</v>
      </c>
      <c r="G45" s="24" t="s">
        <v>1026</v>
      </c>
      <c r="H45" s="24" t="s">
        <v>1027</v>
      </c>
      <c r="I45" s="28" t="s">
        <v>815</v>
      </c>
      <c r="J45" s="32" t="s">
        <v>3685</v>
      </c>
      <c r="K45" s="24"/>
      <c r="L45" s="25" t="s">
        <v>95</v>
      </c>
      <c r="M45" s="23"/>
    </row>
    <row r="46" spans="1:13" ht="25.5" x14ac:dyDescent="0.25">
      <c r="A46" s="19" t="s">
        <v>1028</v>
      </c>
      <c r="B46" s="20" t="s">
        <v>39</v>
      </c>
      <c r="C46" s="20" t="s">
        <v>1016</v>
      </c>
      <c r="D46" s="20" t="s">
        <v>1029</v>
      </c>
      <c r="E46" s="20" t="s">
        <v>1030</v>
      </c>
      <c r="F46" s="20" t="s">
        <v>1031</v>
      </c>
      <c r="G46" s="20" t="s">
        <v>1020</v>
      </c>
      <c r="H46" s="20" t="s">
        <v>1032</v>
      </c>
      <c r="I46" s="21" t="s">
        <v>66</v>
      </c>
      <c r="J46" s="20"/>
      <c r="K46" s="20"/>
      <c r="L46" s="27" t="s">
        <v>131</v>
      </c>
      <c r="M46" s="19"/>
    </row>
    <row r="47" spans="1:13" ht="38.25" x14ac:dyDescent="0.25">
      <c r="A47" s="23" t="s">
        <v>509</v>
      </c>
      <c r="B47" s="24" t="s">
        <v>39</v>
      </c>
      <c r="C47" s="24" t="s">
        <v>1016</v>
      </c>
      <c r="D47" s="24" t="s">
        <v>1033</v>
      </c>
      <c r="E47" s="24" t="s">
        <v>1018</v>
      </c>
      <c r="F47" s="24" t="s">
        <v>1034</v>
      </c>
      <c r="G47" s="24" t="s">
        <v>1020</v>
      </c>
      <c r="H47" s="24" t="s">
        <v>1035</v>
      </c>
      <c r="I47" s="21" t="s">
        <v>66</v>
      </c>
      <c r="J47" s="24"/>
      <c r="K47" s="24"/>
      <c r="L47" s="25" t="s">
        <v>95</v>
      </c>
      <c r="M47" s="23"/>
    </row>
    <row r="48" spans="1:13" ht="63.75" x14ac:dyDescent="0.25">
      <c r="A48" s="19" t="s">
        <v>513</v>
      </c>
      <c r="B48" s="20" t="s">
        <v>39</v>
      </c>
      <c r="C48" s="20" t="s">
        <v>1016</v>
      </c>
      <c r="D48" s="20" t="s">
        <v>1023</v>
      </c>
      <c r="E48" s="20" t="s">
        <v>1024</v>
      </c>
      <c r="F48" s="20" t="s">
        <v>1036</v>
      </c>
      <c r="G48" s="20" t="s">
        <v>1026</v>
      </c>
      <c r="H48" s="20" t="s">
        <v>1037</v>
      </c>
      <c r="I48" s="28" t="s">
        <v>815</v>
      </c>
      <c r="J48" s="32" t="s">
        <v>3685</v>
      </c>
      <c r="K48" s="20"/>
      <c r="L48" s="25" t="s">
        <v>95</v>
      </c>
      <c r="M48" s="19"/>
    </row>
    <row r="49" spans="1:13" ht="38.25" x14ac:dyDescent="0.25">
      <c r="A49" s="23" t="s">
        <v>517</v>
      </c>
      <c r="B49" s="24" t="s">
        <v>39</v>
      </c>
      <c r="C49" s="24" t="s">
        <v>1016</v>
      </c>
      <c r="D49" s="24" t="s">
        <v>1038</v>
      </c>
      <c r="E49" s="24" t="s">
        <v>1039</v>
      </c>
      <c r="F49" s="24" t="s">
        <v>1040</v>
      </c>
      <c r="G49" s="24" t="s">
        <v>1041</v>
      </c>
      <c r="H49" s="24" t="s">
        <v>1042</v>
      </c>
      <c r="I49" s="28" t="s">
        <v>815</v>
      </c>
      <c r="J49" s="32" t="s">
        <v>3685</v>
      </c>
      <c r="K49" s="24"/>
      <c r="L49" s="25" t="s">
        <v>95</v>
      </c>
      <c r="M49" s="23"/>
    </row>
    <row r="50" spans="1:13" ht="51" x14ac:dyDescent="0.25">
      <c r="A50" s="19" t="s">
        <v>520</v>
      </c>
      <c r="B50" s="20" t="s">
        <v>39</v>
      </c>
      <c r="C50" s="20" t="s">
        <v>1043</v>
      </c>
      <c r="D50" s="20" t="s">
        <v>1044</v>
      </c>
      <c r="E50" s="20" t="s">
        <v>1007</v>
      </c>
      <c r="F50" s="20" t="s">
        <v>1045</v>
      </c>
      <c r="G50" s="20" t="s">
        <v>1046</v>
      </c>
      <c r="H50" s="20" t="s">
        <v>1047</v>
      </c>
      <c r="I50" s="21" t="s">
        <v>66</v>
      </c>
      <c r="J50" s="20"/>
      <c r="K50" s="20"/>
      <c r="L50" s="25" t="s">
        <v>95</v>
      </c>
      <c r="M50" s="19"/>
    </row>
    <row r="51" spans="1:13" ht="38.25" x14ac:dyDescent="0.25">
      <c r="A51" s="23" t="s">
        <v>1048</v>
      </c>
      <c r="B51" s="24" t="s">
        <v>39</v>
      </c>
      <c r="C51" s="24" t="s">
        <v>1043</v>
      </c>
      <c r="D51" s="24" t="s">
        <v>1049</v>
      </c>
      <c r="E51" s="24" t="s">
        <v>1050</v>
      </c>
      <c r="F51" s="24" t="s">
        <v>1051</v>
      </c>
      <c r="G51" s="24" t="s">
        <v>1052</v>
      </c>
      <c r="H51" s="24" t="s">
        <v>1053</v>
      </c>
      <c r="I51" s="21" t="s">
        <v>66</v>
      </c>
      <c r="J51" s="24"/>
      <c r="K51" s="24"/>
      <c r="L51" s="27" t="s">
        <v>131</v>
      </c>
      <c r="M51" s="23"/>
    </row>
    <row r="52" spans="1:13" ht="51" x14ac:dyDescent="0.25">
      <c r="A52" s="19" t="s">
        <v>1054</v>
      </c>
      <c r="B52" s="20" t="s">
        <v>39</v>
      </c>
      <c r="C52" s="20" t="s">
        <v>1043</v>
      </c>
      <c r="D52" s="20" t="s">
        <v>1055</v>
      </c>
      <c r="E52" s="20" t="s">
        <v>1056</v>
      </c>
      <c r="F52" s="20" t="s">
        <v>1057</v>
      </c>
      <c r="G52" s="20" t="s">
        <v>1052</v>
      </c>
      <c r="H52" s="20" t="s">
        <v>1058</v>
      </c>
      <c r="I52" s="21" t="s">
        <v>66</v>
      </c>
      <c r="J52" s="20"/>
      <c r="K52" s="20"/>
      <c r="L52" s="25" t="s">
        <v>95</v>
      </c>
      <c r="M52" s="19"/>
    </row>
    <row r="53" spans="1:13" ht="51" x14ac:dyDescent="0.25">
      <c r="A53" s="23" t="s">
        <v>1059</v>
      </c>
      <c r="B53" s="24" t="s">
        <v>39</v>
      </c>
      <c r="C53" s="24" t="s">
        <v>1043</v>
      </c>
      <c r="D53" s="24" t="s">
        <v>1060</v>
      </c>
      <c r="E53" s="24" t="s">
        <v>1061</v>
      </c>
      <c r="F53" s="24" t="s">
        <v>1062</v>
      </c>
      <c r="G53" s="24" t="s">
        <v>1046</v>
      </c>
      <c r="H53" s="24" t="s">
        <v>1063</v>
      </c>
      <c r="I53" s="21" t="s">
        <v>66</v>
      </c>
      <c r="J53" s="24"/>
      <c r="K53" s="24"/>
      <c r="L53" s="27" t="s">
        <v>131</v>
      </c>
      <c r="M53" s="23"/>
    </row>
    <row r="54" spans="1:13" ht="51" x14ac:dyDescent="0.25">
      <c r="A54" s="19" t="s">
        <v>1064</v>
      </c>
      <c r="B54" s="20" t="s">
        <v>39</v>
      </c>
      <c r="C54" s="20" t="s">
        <v>1043</v>
      </c>
      <c r="D54" s="20" t="s">
        <v>1065</v>
      </c>
      <c r="E54" s="20" t="s">
        <v>1066</v>
      </c>
      <c r="F54" s="20" t="s">
        <v>1067</v>
      </c>
      <c r="G54" s="20" t="s">
        <v>1052</v>
      </c>
      <c r="H54" s="20" t="s">
        <v>1068</v>
      </c>
      <c r="I54" s="21" t="s">
        <v>66</v>
      </c>
      <c r="J54" s="20"/>
      <c r="K54" s="20"/>
      <c r="L54" s="25" t="s">
        <v>95</v>
      </c>
      <c r="M54" s="19"/>
    </row>
    <row r="55" spans="1:13" ht="51" x14ac:dyDescent="0.25">
      <c r="A55" s="23" t="s">
        <v>1069</v>
      </c>
      <c r="B55" s="24" t="s">
        <v>39</v>
      </c>
      <c r="C55" s="24" t="s">
        <v>898</v>
      </c>
      <c r="D55" s="24" t="s">
        <v>1070</v>
      </c>
      <c r="E55" s="24" t="s">
        <v>1071</v>
      </c>
      <c r="F55" s="24" t="s">
        <v>1072</v>
      </c>
      <c r="G55" s="24" t="s">
        <v>936</v>
      </c>
      <c r="H55" s="24" t="s">
        <v>1073</v>
      </c>
      <c r="I55" s="21" t="s">
        <v>66</v>
      </c>
      <c r="J55" s="24"/>
      <c r="K55" s="24"/>
      <c r="L55" s="27" t="s">
        <v>131</v>
      </c>
      <c r="M55" s="23"/>
    </row>
    <row r="56" spans="1:13" ht="38.25" x14ac:dyDescent="0.25">
      <c r="A56" s="19" t="s">
        <v>1074</v>
      </c>
      <c r="B56" s="20" t="s">
        <v>39</v>
      </c>
      <c r="C56" s="20" t="s">
        <v>898</v>
      </c>
      <c r="D56" s="20" t="s">
        <v>1075</v>
      </c>
      <c r="E56" s="20" t="s">
        <v>1076</v>
      </c>
      <c r="F56" s="20" t="s">
        <v>1077</v>
      </c>
      <c r="G56" s="20" t="s">
        <v>902</v>
      </c>
      <c r="H56" s="20" t="s">
        <v>1078</v>
      </c>
      <c r="I56" s="21" t="s">
        <v>66</v>
      </c>
      <c r="J56" s="20"/>
      <c r="K56" s="20"/>
      <c r="L56" s="27" t="s">
        <v>131</v>
      </c>
      <c r="M56" s="19"/>
    </row>
    <row r="57" spans="1:13" ht="63.75" x14ac:dyDescent="0.25">
      <c r="A57" s="23" t="s">
        <v>523</v>
      </c>
      <c r="B57" s="24" t="s">
        <v>39</v>
      </c>
      <c r="C57" s="24" t="s">
        <v>898</v>
      </c>
      <c r="D57" s="24" t="s">
        <v>1079</v>
      </c>
      <c r="E57" s="24" t="s">
        <v>1080</v>
      </c>
      <c r="F57" s="24" t="s">
        <v>1081</v>
      </c>
      <c r="G57" s="24" t="s">
        <v>902</v>
      </c>
      <c r="H57" s="24" t="s">
        <v>1082</v>
      </c>
      <c r="I57" s="21" t="s">
        <v>66</v>
      </c>
      <c r="J57" s="24"/>
      <c r="K57" s="24"/>
      <c r="L57" s="25" t="s">
        <v>95</v>
      </c>
      <c r="M57" s="23"/>
    </row>
    <row r="58" spans="1:13" ht="51" x14ac:dyDescent="0.25">
      <c r="A58" s="19" t="s">
        <v>528</v>
      </c>
      <c r="B58" s="20" t="s">
        <v>39</v>
      </c>
      <c r="C58" s="20" t="s">
        <v>898</v>
      </c>
      <c r="D58" s="20" t="s">
        <v>1083</v>
      </c>
      <c r="E58" s="20" t="s">
        <v>1084</v>
      </c>
      <c r="F58" s="20" t="s">
        <v>1085</v>
      </c>
      <c r="G58" s="20" t="s">
        <v>930</v>
      </c>
      <c r="H58" s="20" t="s">
        <v>1086</v>
      </c>
      <c r="I58" s="21" t="s">
        <v>66</v>
      </c>
      <c r="J58" s="20"/>
      <c r="K58" s="20"/>
      <c r="L58" s="27" t="s">
        <v>131</v>
      </c>
      <c r="M58" s="19"/>
    </row>
    <row r="59" spans="1:13" ht="51" x14ac:dyDescent="0.25">
      <c r="A59" s="23" t="s">
        <v>533</v>
      </c>
      <c r="B59" s="24" t="s">
        <v>39</v>
      </c>
      <c r="C59" s="24" t="s">
        <v>898</v>
      </c>
      <c r="D59" s="24" t="s">
        <v>1087</v>
      </c>
      <c r="E59" s="24" t="s">
        <v>1088</v>
      </c>
      <c r="F59" s="24" t="s">
        <v>1089</v>
      </c>
      <c r="G59" s="24" t="s">
        <v>930</v>
      </c>
      <c r="H59" s="24" t="s">
        <v>1090</v>
      </c>
      <c r="I59" s="21" t="s">
        <v>66</v>
      </c>
      <c r="J59" s="24"/>
      <c r="K59" s="24"/>
      <c r="L59" s="25" t="s">
        <v>95</v>
      </c>
      <c r="M59" s="23"/>
    </row>
    <row r="60" spans="1:13" ht="63.75" x14ac:dyDescent="0.25">
      <c r="A60" s="19" t="s">
        <v>538</v>
      </c>
      <c r="B60" s="20" t="s">
        <v>39</v>
      </c>
      <c r="C60" s="20" t="s">
        <v>97</v>
      </c>
      <c r="D60" s="20" t="s">
        <v>1091</v>
      </c>
      <c r="E60" s="20" t="s">
        <v>1092</v>
      </c>
      <c r="F60" s="20" t="s">
        <v>1093</v>
      </c>
      <c r="G60" s="20" t="s">
        <v>952</v>
      </c>
      <c r="H60" s="20" t="s">
        <v>1094</v>
      </c>
      <c r="I60" s="21"/>
      <c r="J60" s="20"/>
      <c r="K60" s="20"/>
      <c r="L60" s="25" t="s">
        <v>95</v>
      </c>
      <c r="M60" s="19"/>
    </row>
    <row r="61" spans="1:13" ht="38.25" x14ac:dyDescent="0.25">
      <c r="A61" s="23" t="s">
        <v>543</v>
      </c>
      <c r="B61" s="24" t="s">
        <v>39</v>
      </c>
      <c r="C61" s="24" t="s">
        <v>97</v>
      </c>
      <c r="D61" s="24" t="s">
        <v>1095</v>
      </c>
      <c r="E61" s="24" t="s">
        <v>1096</v>
      </c>
      <c r="F61" s="24" t="s">
        <v>1097</v>
      </c>
      <c r="G61" s="24" t="s">
        <v>952</v>
      </c>
      <c r="H61" s="24" t="s">
        <v>1098</v>
      </c>
      <c r="I61" s="23"/>
      <c r="J61" s="24"/>
      <c r="K61" s="24"/>
      <c r="L61" s="25" t="s">
        <v>95</v>
      </c>
      <c r="M61" s="23"/>
    </row>
    <row r="62" spans="1:13" ht="51" x14ac:dyDescent="0.25">
      <c r="A62" s="19" t="s">
        <v>548</v>
      </c>
      <c r="B62" s="20" t="s">
        <v>39</v>
      </c>
      <c r="C62" s="20" t="s">
        <v>97</v>
      </c>
      <c r="D62" s="20" t="s">
        <v>1099</v>
      </c>
      <c r="E62" s="20" t="s">
        <v>1100</v>
      </c>
      <c r="F62" s="20" t="s">
        <v>1101</v>
      </c>
      <c r="G62" s="20" t="s">
        <v>952</v>
      </c>
      <c r="H62" s="20" t="s">
        <v>1102</v>
      </c>
      <c r="I62" s="19"/>
      <c r="J62" s="20"/>
      <c r="K62" s="20"/>
      <c r="L62" s="25" t="s">
        <v>95</v>
      </c>
      <c r="M62" s="19"/>
    </row>
    <row r="63" spans="1:13" ht="38.25" x14ac:dyDescent="0.25">
      <c r="A63" s="23" t="s">
        <v>551</v>
      </c>
      <c r="B63" s="24" t="s">
        <v>39</v>
      </c>
      <c r="C63" s="24" t="s">
        <v>97</v>
      </c>
      <c r="D63" s="24" t="s">
        <v>1103</v>
      </c>
      <c r="E63" s="24" t="s">
        <v>1104</v>
      </c>
      <c r="F63" s="24" t="s">
        <v>1105</v>
      </c>
      <c r="G63" s="24" t="s">
        <v>952</v>
      </c>
      <c r="H63" s="24" t="s">
        <v>1106</v>
      </c>
      <c r="I63" s="33" t="s">
        <v>3684</v>
      </c>
      <c r="J63" s="24"/>
      <c r="K63" s="24"/>
      <c r="L63" s="27" t="s">
        <v>131</v>
      </c>
      <c r="M63" s="23"/>
    </row>
    <row r="64" spans="1:13" ht="51" x14ac:dyDescent="0.25">
      <c r="A64" s="19" t="s">
        <v>1107</v>
      </c>
      <c r="B64" s="20" t="s">
        <v>39</v>
      </c>
      <c r="C64" s="20" t="s">
        <v>97</v>
      </c>
      <c r="D64" s="20" t="s">
        <v>1108</v>
      </c>
      <c r="E64" s="20" t="s">
        <v>1109</v>
      </c>
      <c r="F64" s="20" t="s">
        <v>1110</v>
      </c>
      <c r="G64" s="20" t="s">
        <v>957</v>
      </c>
      <c r="H64" s="20" t="s">
        <v>1111</v>
      </c>
      <c r="I64" s="33" t="s">
        <v>3684</v>
      </c>
      <c r="J64" s="20"/>
      <c r="K64" s="20"/>
      <c r="L64" s="27" t="s">
        <v>131</v>
      </c>
      <c r="M64" s="19"/>
    </row>
    <row r="65" spans="1:13" ht="51" x14ac:dyDescent="0.25">
      <c r="A65" s="23" t="s">
        <v>1112</v>
      </c>
      <c r="B65" s="24" t="s">
        <v>39</v>
      </c>
      <c r="C65" s="24" t="s">
        <v>97</v>
      </c>
      <c r="D65" s="24" t="s">
        <v>1113</v>
      </c>
      <c r="E65" s="24" t="s">
        <v>1114</v>
      </c>
      <c r="F65" s="24" t="s">
        <v>1115</v>
      </c>
      <c r="G65" s="24" t="s">
        <v>1116</v>
      </c>
      <c r="H65" s="24" t="s">
        <v>1117</v>
      </c>
      <c r="I65" s="33" t="s">
        <v>3684</v>
      </c>
      <c r="J65" s="24"/>
      <c r="K65" s="24"/>
      <c r="L65" s="25" t="s">
        <v>95</v>
      </c>
      <c r="M65" s="23"/>
    </row>
    <row r="66" spans="1:13" ht="51" x14ac:dyDescent="0.25">
      <c r="A66" s="19" t="s">
        <v>1118</v>
      </c>
      <c r="B66" s="20" t="s">
        <v>39</v>
      </c>
      <c r="C66" s="20" t="s">
        <v>840</v>
      </c>
      <c r="D66" s="20" t="s">
        <v>1119</v>
      </c>
      <c r="E66" s="20" t="s">
        <v>1120</v>
      </c>
      <c r="F66" s="20" t="s">
        <v>1121</v>
      </c>
      <c r="G66" s="20" t="s">
        <v>844</v>
      </c>
      <c r="H66" s="20" t="s">
        <v>1122</v>
      </c>
      <c r="I66" s="21" t="s">
        <v>66</v>
      </c>
      <c r="J66" s="20"/>
      <c r="K66" s="20"/>
      <c r="L66" s="27" t="s">
        <v>131</v>
      </c>
      <c r="M66" s="19"/>
    </row>
    <row r="67" spans="1:13" ht="51" x14ac:dyDescent="0.25">
      <c r="A67" s="23" t="s">
        <v>557</v>
      </c>
      <c r="B67" s="24" t="s">
        <v>39</v>
      </c>
      <c r="C67" s="24" t="s">
        <v>840</v>
      </c>
      <c r="D67" s="24" t="s">
        <v>1123</v>
      </c>
      <c r="E67" s="24" t="s">
        <v>1124</v>
      </c>
      <c r="F67" s="24" t="s">
        <v>1125</v>
      </c>
      <c r="G67" s="24" t="s">
        <v>850</v>
      </c>
      <c r="H67" s="24" t="s">
        <v>1126</v>
      </c>
      <c r="I67" s="21" t="s">
        <v>66</v>
      </c>
      <c r="J67" s="24"/>
      <c r="K67" s="24"/>
      <c r="L67" s="25" t="s">
        <v>95</v>
      </c>
      <c r="M67" s="23"/>
    </row>
    <row r="68" spans="1:13" ht="51" x14ac:dyDescent="0.25">
      <c r="A68" s="19" t="s">
        <v>562</v>
      </c>
      <c r="B68" s="20" t="s">
        <v>39</v>
      </c>
      <c r="C68" s="20" t="s">
        <v>840</v>
      </c>
      <c r="D68" s="20" t="s">
        <v>1127</v>
      </c>
      <c r="E68" s="20" t="s">
        <v>1128</v>
      </c>
      <c r="F68" s="20" t="s">
        <v>1129</v>
      </c>
      <c r="G68" s="20" t="s">
        <v>850</v>
      </c>
      <c r="H68" s="20" t="s">
        <v>1130</v>
      </c>
      <c r="I68" s="19"/>
      <c r="J68" s="20"/>
      <c r="K68" s="20"/>
      <c r="L68" s="25" t="s">
        <v>95</v>
      </c>
      <c r="M68" s="19"/>
    </row>
    <row r="69" spans="1:13" ht="51" x14ac:dyDescent="0.25">
      <c r="A69" s="23" t="s">
        <v>567</v>
      </c>
      <c r="B69" s="24" t="s">
        <v>39</v>
      </c>
      <c r="C69" s="24" t="s">
        <v>840</v>
      </c>
      <c r="D69" s="24" t="s">
        <v>1131</v>
      </c>
      <c r="E69" s="24" t="s">
        <v>1132</v>
      </c>
      <c r="F69" s="24" t="s">
        <v>1133</v>
      </c>
      <c r="G69" s="24" t="s">
        <v>850</v>
      </c>
      <c r="H69" s="24" t="s">
        <v>1134</v>
      </c>
      <c r="I69" s="33" t="s">
        <v>3684</v>
      </c>
      <c r="J69" s="24"/>
      <c r="K69" s="24"/>
      <c r="L69" s="25" t="s">
        <v>95</v>
      </c>
      <c r="M69" s="23"/>
    </row>
    <row r="70" spans="1:13" ht="51" x14ac:dyDescent="0.25">
      <c r="A70" s="19" t="s">
        <v>572</v>
      </c>
      <c r="B70" s="20" t="s">
        <v>39</v>
      </c>
      <c r="C70" s="20" t="s">
        <v>193</v>
      </c>
      <c r="D70" s="20" t="s">
        <v>1135</v>
      </c>
      <c r="E70" s="20" t="s">
        <v>1136</v>
      </c>
      <c r="F70" s="20" t="s">
        <v>1137</v>
      </c>
      <c r="G70" s="20" t="s">
        <v>1138</v>
      </c>
      <c r="H70" s="20" t="s">
        <v>1139</v>
      </c>
      <c r="I70" s="21" t="s">
        <v>66</v>
      </c>
      <c r="J70" s="20"/>
      <c r="K70" s="20"/>
      <c r="L70" s="25" t="s">
        <v>95</v>
      </c>
      <c r="M70" s="19"/>
    </row>
    <row r="71" spans="1:13" ht="51" x14ac:dyDescent="0.25">
      <c r="A71" s="23" t="s">
        <v>576</v>
      </c>
      <c r="B71" s="24" t="s">
        <v>39</v>
      </c>
      <c r="C71" s="24" t="s">
        <v>193</v>
      </c>
      <c r="D71" s="24" t="s">
        <v>1140</v>
      </c>
      <c r="E71" s="24" t="s">
        <v>1141</v>
      </c>
      <c r="F71" s="24" t="s">
        <v>1142</v>
      </c>
      <c r="G71" s="24" t="s">
        <v>1138</v>
      </c>
      <c r="H71" s="24" t="s">
        <v>1143</v>
      </c>
      <c r="I71" s="21" t="s">
        <v>66</v>
      </c>
      <c r="J71" s="24"/>
      <c r="K71" s="24"/>
      <c r="L71" s="25" t="s">
        <v>95</v>
      </c>
      <c r="M71" s="23"/>
    </row>
    <row r="72" spans="1:13" ht="51" x14ac:dyDescent="0.25">
      <c r="A72" s="19" t="s">
        <v>580</v>
      </c>
      <c r="B72" s="20" t="s">
        <v>39</v>
      </c>
      <c r="C72" s="20" t="s">
        <v>193</v>
      </c>
      <c r="D72" s="20" t="s">
        <v>1144</v>
      </c>
      <c r="E72" s="20" t="s">
        <v>1145</v>
      </c>
      <c r="F72" s="20" t="s">
        <v>1146</v>
      </c>
      <c r="G72" s="20" t="s">
        <v>1138</v>
      </c>
      <c r="H72" s="20" t="s">
        <v>1147</v>
      </c>
      <c r="I72" s="21" t="s">
        <v>66</v>
      </c>
      <c r="J72" s="20"/>
      <c r="K72" s="20"/>
      <c r="L72" s="27" t="s">
        <v>131</v>
      </c>
      <c r="M72" s="19"/>
    </row>
    <row r="73" spans="1:13" ht="63.75" x14ac:dyDescent="0.25">
      <c r="A73" s="23" t="s">
        <v>584</v>
      </c>
      <c r="B73" s="24" t="s">
        <v>39</v>
      </c>
      <c r="C73" s="24" t="s">
        <v>193</v>
      </c>
      <c r="D73" s="24" t="s">
        <v>1148</v>
      </c>
      <c r="E73" s="24" t="s">
        <v>1149</v>
      </c>
      <c r="F73" s="24" t="s">
        <v>1150</v>
      </c>
      <c r="G73" s="24" t="s">
        <v>993</v>
      </c>
      <c r="H73" s="24" t="s">
        <v>416</v>
      </c>
      <c r="I73" s="23"/>
      <c r="J73" s="24"/>
      <c r="K73" s="24"/>
      <c r="L73" s="27" t="s">
        <v>131</v>
      </c>
      <c r="M73" s="23"/>
    </row>
    <row r="74" spans="1:13" ht="51" x14ac:dyDescent="0.25">
      <c r="A74" s="19" t="s">
        <v>1151</v>
      </c>
      <c r="B74" s="20" t="s">
        <v>39</v>
      </c>
      <c r="C74" s="20" t="s">
        <v>193</v>
      </c>
      <c r="D74" s="20" t="s">
        <v>1152</v>
      </c>
      <c r="E74" s="20" t="s">
        <v>1153</v>
      </c>
      <c r="F74" s="20" t="s">
        <v>1154</v>
      </c>
      <c r="G74" s="20" t="s">
        <v>993</v>
      </c>
      <c r="H74" s="20" t="s">
        <v>1155</v>
      </c>
      <c r="I74" s="19"/>
      <c r="J74" s="20"/>
      <c r="K74" s="20"/>
      <c r="L74" s="27" t="s">
        <v>131</v>
      </c>
      <c r="M74" s="19"/>
    </row>
    <row r="75" spans="1:13" ht="51" x14ac:dyDescent="0.25">
      <c r="A75" s="23" t="s">
        <v>1156</v>
      </c>
      <c r="B75" s="24" t="s">
        <v>39</v>
      </c>
      <c r="C75" s="24" t="s">
        <v>193</v>
      </c>
      <c r="D75" s="24" t="s">
        <v>1157</v>
      </c>
      <c r="E75" s="24" t="s">
        <v>1158</v>
      </c>
      <c r="F75" s="24" t="s">
        <v>1159</v>
      </c>
      <c r="G75" s="24" t="s">
        <v>993</v>
      </c>
      <c r="H75" s="24" t="s">
        <v>1160</v>
      </c>
      <c r="I75" s="23"/>
      <c r="J75" s="24"/>
      <c r="K75" s="24"/>
      <c r="L75" s="25" t="s">
        <v>95</v>
      </c>
      <c r="M75" s="23"/>
    </row>
    <row r="76" spans="1:13" ht="51" x14ac:dyDescent="0.25">
      <c r="A76" s="19" t="s">
        <v>1161</v>
      </c>
      <c r="B76" s="20" t="s">
        <v>39</v>
      </c>
      <c r="C76" s="20" t="s">
        <v>193</v>
      </c>
      <c r="D76" s="20" t="s">
        <v>1162</v>
      </c>
      <c r="E76" s="20" t="s">
        <v>1163</v>
      </c>
      <c r="F76" s="20" t="s">
        <v>1164</v>
      </c>
      <c r="G76" s="20" t="s">
        <v>993</v>
      </c>
      <c r="H76" s="20" t="s">
        <v>1165</v>
      </c>
      <c r="I76" s="31" t="s">
        <v>3684</v>
      </c>
      <c r="J76" s="20"/>
      <c r="K76" s="20"/>
      <c r="L76" s="27" t="s">
        <v>131</v>
      </c>
      <c r="M76" s="19"/>
    </row>
    <row r="77" spans="1:13" ht="51" x14ac:dyDescent="0.25">
      <c r="A77" s="23" t="s">
        <v>1166</v>
      </c>
      <c r="B77" s="24" t="s">
        <v>39</v>
      </c>
      <c r="C77" s="24" t="s">
        <v>1167</v>
      </c>
      <c r="D77" s="24" t="s">
        <v>1168</v>
      </c>
      <c r="E77" s="24" t="s">
        <v>1169</v>
      </c>
      <c r="F77" s="24" t="s">
        <v>1170</v>
      </c>
      <c r="G77" s="24" t="s">
        <v>828</v>
      </c>
      <c r="H77" s="24" t="s">
        <v>1171</v>
      </c>
      <c r="I77" s="23"/>
      <c r="J77" s="24"/>
      <c r="K77" s="24"/>
      <c r="L77" s="26" t="s">
        <v>103</v>
      </c>
      <c r="M77" s="23"/>
    </row>
    <row r="78" spans="1:13" ht="51" x14ac:dyDescent="0.25">
      <c r="A78" s="19" t="s">
        <v>1172</v>
      </c>
      <c r="B78" s="20" t="s">
        <v>39</v>
      </c>
      <c r="C78" s="20" t="s">
        <v>1167</v>
      </c>
      <c r="D78" s="20" t="s">
        <v>1173</v>
      </c>
      <c r="E78" s="20" t="s">
        <v>1174</v>
      </c>
      <c r="F78" s="20" t="s">
        <v>1175</v>
      </c>
      <c r="G78" s="20" t="s">
        <v>957</v>
      </c>
      <c r="H78" s="20" t="s">
        <v>1176</v>
      </c>
      <c r="I78" s="21" t="s">
        <v>66</v>
      </c>
      <c r="J78" s="20"/>
      <c r="K78" s="20"/>
      <c r="L78" s="26" t="s">
        <v>103</v>
      </c>
      <c r="M78" s="19"/>
    </row>
    <row r="79" spans="1:13" ht="38.25" x14ac:dyDescent="0.25">
      <c r="A79" s="23" t="s">
        <v>1177</v>
      </c>
      <c r="B79" s="24" t="s">
        <v>39</v>
      </c>
      <c r="C79" s="24" t="s">
        <v>1167</v>
      </c>
      <c r="D79" s="24" t="s">
        <v>270</v>
      </c>
      <c r="E79" s="24" t="s">
        <v>1178</v>
      </c>
      <c r="F79" s="24" t="s">
        <v>1179</v>
      </c>
      <c r="G79" s="24" t="s">
        <v>1180</v>
      </c>
      <c r="H79" s="24" t="s">
        <v>1181</v>
      </c>
      <c r="I79" s="23"/>
      <c r="J79" s="24"/>
      <c r="K79" s="24"/>
      <c r="L79" s="22" t="s">
        <v>67</v>
      </c>
      <c r="M79" s="23"/>
    </row>
    <row r="80" spans="1:13" ht="51" x14ac:dyDescent="0.25">
      <c r="A80" s="19" t="s">
        <v>1182</v>
      </c>
      <c r="B80" s="20" t="s">
        <v>39</v>
      </c>
      <c r="C80" s="20" t="s">
        <v>840</v>
      </c>
      <c r="D80" s="20" t="s">
        <v>1183</v>
      </c>
      <c r="E80" s="20" t="s">
        <v>1184</v>
      </c>
      <c r="F80" s="20" t="s">
        <v>1185</v>
      </c>
      <c r="G80" s="20" t="s">
        <v>1186</v>
      </c>
      <c r="H80" s="20" t="s">
        <v>1187</v>
      </c>
      <c r="I80" s="33" t="s">
        <v>3684</v>
      </c>
      <c r="J80" s="20"/>
      <c r="K80" s="20"/>
      <c r="L80" s="25" t="s">
        <v>95</v>
      </c>
      <c r="M80" s="19"/>
    </row>
    <row r="81" spans="1:13" ht="51" x14ac:dyDescent="0.25">
      <c r="A81" s="23" t="s">
        <v>751</v>
      </c>
      <c r="B81" s="24" t="s">
        <v>39</v>
      </c>
      <c r="C81" s="24" t="s">
        <v>840</v>
      </c>
      <c r="D81" s="24" t="s">
        <v>1188</v>
      </c>
      <c r="E81" s="24" t="s">
        <v>1189</v>
      </c>
      <c r="F81" s="24" t="s">
        <v>1190</v>
      </c>
      <c r="G81" s="24" t="s">
        <v>828</v>
      </c>
      <c r="H81" s="24" t="s">
        <v>1191</v>
      </c>
      <c r="I81" s="33" t="s">
        <v>3684</v>
      </c>
      <c r="J81" s="24"/>
      <c r="K81" s="24"/>
      <c r="L81" s="25" t="s">
        <v>95</v>
      </c>
      <c r="M81" s="23"/>
    </row>
    <row r="82" spans="1:13" ht="51" x14ac:dyDescent="0.25">
      <c r="A82" s="19" t="s">
        <v>755</v>
      </c>
      <c r="B82" s="20" t="s">
        <v>39</v>
      </c>
      <c r="C82" s="20" t="s">
        <v>840</v>
      </c>
      <c r="D82" s="20" t="s">
        <v>1192</v>
      </c>
      <c r="E82" s="20" t="s">
        <v>1193</v>
      </c>
      <c r="F82" s="20" t="s">
        <v>1194</v>
      </c>
      <c r="G82" s="20" t="s">
        <v>930</v>
      </c>
      <c r="H82" s="20" t="s">
        <v>1195</v>
      </c>
      <c r="I82" s="19"/>
      <c r="J82" s="20"/>
      <c r="K82" s="20"/>
      <c r="L82" s="22" t="s">
        <v>67</v>
      </c>
      <c r="M82" s="19"/>
    </row>
    <row r="83" spans="1:13" ht="51" x14ac:dyDescent="0.25">
      <c r="A83" s="23" t="s">
        <v>760</v>
      </c>
      <c r="B83" s="24" t="s">
        <v>39</v>
      </c>
      <c r="C83" s="24" t="s">
        <v>840</v>
      </c>
      <c r="D83" s="24" t="s">
        <v>1196</v>
      </c>
      <c r="E83" s="24" t="s">
        <v>1197</v>
      </c>
      <c r="F83" s="24" t="s">
        <v>1198</v>
      </c>
      <c r="G83" s="24" t="s">
        <v>850</v>
      </c>
      <c r="H83" s="24" t="s">
        <v>1199</v>
      </c>
      <c r="I83" s="21" t="s">
        <v>66</v>
      </c>
      <c r="J83" s="24"/>
      <c r="K83" s="24"/>
      <c r="L83" s="25" t="s">
        <v>95</v>
      </c>
      <c r="M83" s="23"/>
    </row>
    <row r="84" spans="1:13" ht="51" x14ac:dyDescent="0.25">
      <c r="A84" s="19" t="s">
        <v>764</v>
      </c>
      <c r="B84" s="20" t="s">
        <v>39</v>
      </c>
      <c r="C84" s="20" t="s">
        <v>840</v>
      </c>
      <c r="D84" s="20" t="s">
        <v>1200</v>
      </c>
      <c r="E84" s="20" t="s">
        <v>1201</v>
      </c>
      <c r="F84" s="20" t="s">
        <v>1202</v>
      </c>
      <c r="G84" s="20" t="s">
        <v>850</v>
      </c>
      <c r="H84" s="20" t="s">
        <v>1203</v>
      </c>
      <c r="I84" s="21" t="s">
        <v>66</v>
      </c>
      <c r="J84" s="20"/>
      <c r="K84" s="20"/>
      <c r="L84" s="27" t="s">
        <v>131</v>
      </c>
      <c r="M84" s="19"/>
    </row>
    <row r="85" spans="1:13" ht="51" x14ac:dyDescent="0.25">
      <c r="A85" s="23" t="s">
        <v>1204</v>
      </c>
      <c r="B85" s="24" t="s">
        <v>39</v>
      </c>
      <c r="C85" s="24" t="s">
        <v>1205</v>
      </c>
      <c r="D85" s="24" t="s">
        <v>1206</v>
      </c>
      <c r="E85" s="24" t="s">
        <v>1207</v>
      </c>
      <c r="F85" s="24" t="s">
        <v>1208</v>
      </c>
      <c r="G85" s="24" t="s">
        <v>828</v>
      </c>
      <c r="H85" s="24" t="s">
        <v>1209</v>
      </c>
      <c r="I85" s="21" t="s">
        <v>66</v>
      </c>
      <c r="J85" s="24"/>
      <c r="K85" s="24"/>
      <c r="L85" s="27" t="s">
        <v>131</v>
      </c>
      <c r="M85" s="23"/>
    </row>
    <row r="86" spans="1:13" ht="51" x14ac:dyDescent="0.25">
      <c r="A86" s="19" t="s">
        <v>1210</v>
      </c>
      <c r="B86" s="20" t="s">
        <v>39</v>
      </c>
      <c r="C86" s="20" t="s">
        <v>1205</v>
      </c>
      <c r="D86" s="20" t="s">
        <v>1211</v>
      </c>
      <c r="E86" s="20" t="s">
        <v>1212</v>
      </c>
      <c r="F86" s="20" t="s">
        <v>1213</v>
      </c>
      <c r="G86" s="20" t="s">
        <v>1214</v>
      </c>
      <c r="H86" s="20" t="s">
        <v>1215</v>
      </c>
      <c r="I86" s="21" t="s">
        <v>66</v>
      </c>
      <c r="J86" s="20"/>
      <c r="K86" s="20"/>
      <c r="L86" s="27" t="s">
        <v>131</v>
      </c>
      <c r="M86" s="19"/>
    </row>
    <row r="87" spans="1:13" ht="51" x14ac:dyDescent="0.25">
      <c r="A87" s="23" t="s">
        <v>1216</v>
      </c>
      <c r="B87" s="24" t="s">
        <v>39</v>
      </c>
      <c r="C87" s="24" t="s">
        <v>483</v>
      </c>
      <c r="D87" s="24" t="s">
        <v>1217</v>
      </c>
      <c r="E87" s="24" t="s">
        <v>1218</v>
      </c>
      <c r="F87" s="24" t="s">
        <v>1219</v>
      </c>
      <c r="G87" s="24" t="s">
        <v>902</v>
      </c>
      <c r="H87" s="24" t="s">
        <v>1220</v>
      </c>
      <c r="I87" s="21" t="s">
        <v>66</v>
      </c>
      <c r="J87" s="24"/>
      <c r="K87" s="24"/>
      <c r="L87" s="22" t="s">
        <v>67</v>
      </c>
      <c r="M87" s="23"/>
    </row>
    <row r="88" spans="1:13" ht="51" x14ac:dyDescent="0.25">
      <c r="A88" s="19" t="s">
        <v>1221</v>
      </c>
      <c r="B88" s="20" t="s">
        <v>39</v>
      </c>
      <c r="C88" s="20" t="s">
        <v>483</v>
      </c>
      <c r="D88" s="20" t="s">
        <v>1222</v>
      </c>
      <c r="E88" s="20" t="s">
        <v>1223</v>
      </c>
      <c r="F88" s="20" t="s">
        <v>1224</v>
      </c>
      <c r="G88" s="20" t="s">
        <v>1225</v>
      </c>
      <c r="H88" s="20" t="s">
        <v>1226</v>
      </c>
      <c r="I88" s="21" t="s">
        <v>66</v>
      </c>
      <c r="J88" s="20"/>
      <c r="K88" s="20"/>
      <c r="L88" s="25" t="s">
        <v>95</v>
      </c>
      <c r="M88" s="19"/>
    </row>
    <row r="89" spans="1:13" ht="51" x14ac:dyDescent="0.25">
      <c r="A89" s="23" t="s">
        <v>1227</v>
      </c>
      <c r="B89" s="24" t="s">
        <v>39</v>
      </c>
      <c r="C89" s="24" t="s">
        <v>483</v>
      </c>
      <c r="D89" s="24" t="s">
        <v>1228</v>
      </c>
      <c r="E89" s="24" t="s">
        <v>1229</v>
      </c>
      <c r="F89" s="24" t="s">
        <v>1230</v>
      </c>
      <c r="G89" s="24" t="s">
        <v>1231</v>
      </c>
      <c r="H89" s="24" t="s">
        <v>1232</v>
      </c>
      <c r="I89" s="21" t="s">
        <v>66</v>
      </c>
      <c r="J89" s="24"/>
      <c r="K89" s="24"/>
      <c r="L89" s="25" t="s">
        <v>95</v>
      </c>
      <c r="M89" s="23"/>
    </row>
    <row r="90" spans="1:13" ht="51" x14ac:dyDescent="0.25">
      <c r="A90" s="19" t="s">
        <v>1233</v>
      </c>
      <c r="B90" s="20" t="s">
        <v>39</v>
      </c>
      <c r="C90" s="20" t="s">
        <v>1234</v>
      </c>
      <c r="D90" s="20" t="s">
        <v>1235</v>
      </c>
      <c r="E90" s="20" t="s">
        <v>1236</v>
      </c>
      <c r="F90" s="20" t="s">
        <v>1237</v>
      </c>
      <c r="G90" s="20" t="s">
        <v>1238</v>
      </c>
      <c r="H90" s="20" t="s">
        <v>1239</v>
      </c>
      <c r="I90" s="21" t="s">
        <v>66</v>
      </c>
      <c r="J90" s="20"/>
      <c r="K90" s="20"/>
      <c r="L90" s="25" t="s">
        <v>95</v>
      </c>
      <c r="M90" s="19"/>
    </row>
    <row r="91" spans="1:13" ht="51" x14ac:dyDescent="0.25">
      <c r="A91" s="23" t="s">
        <v>767</v>
      </c>
      <c r="B91" s="24" t="s">
        <v>39</v>
      </c>
      <c r="C91" s="24" t="s">
        <v>1234</v>
      </c>
      <c r="D91" s="24" t="s">
        <v>1240</v>
      </c>
      <c r="E91" s="24" t="s">
        <v>1241</v>
      </c>
      <c r="F91" s="24" t="s">
        <v>1242</v>
      </c>
      <c r="G91" s="24" t="s">
        <v>1243</v>
      </c>
      <c r="H91" s="24" t="s">
        <v>1244</v>
      </c>
      <c r="I91" s="21" t="s">
        <v>66</v>
      </c>
      <c r="J91" s="24"/>
      <c r="K91" s="24"/>
      <c r="L91" s="22" t="s">
        <v>67</v>
      </c>
      <c r="M91" s="23"/>
    </row>
    <row r="92" spans="1:13" ht="51" x14ac:dyDescent="0.25">
      <c r="A92" s="19" t="s">
        <v>772</v>
      </c>
      <c r="B92" s="20" t="s">
        <v>39</v>
      </c>
      <c r="C92" s="20" t="s">
        <v>1234</v>
      </c>
      <c r="D92" s="20" t="s">
        <v>1245</v>
      </c>
      <c r="E92" s="20" t="s">
        <v>1246</v>
      </c>
      <c r="F92" s="20" t="s">
        <v>1247</v>
      </c>
      <c r="G92" s="20" t="s">
        <v>828</v>
      </c>
      <c r="H92" s="20" t="s">
        <v>1248</v>
      </c>
      <c r="I92" s="21" t="s">
        <v>66</v>
      </c>
      <c r="J92" s="20"/>
      <c r="K92" s="20"/>
      <c r="L92" s="27" t="s">
        <v>131</v>
      </c>
      <c r="M92" s="19"/>
    </row>
    <row r="93" spans="1:13" ht="51" x14ac:dyDescent="0.25">
      <c r="A93" s="23" t="s">
        <v>1249</v>
      </c>
      <c r="B93" s="24" t="s">
        <v>39</v>
      </c>
      <c r="C93" s="24" t="s">
        <v>1234</v>
      </c>
      <c r="D93" s="24" t="s">
        <v>1250</v>
      </c>
      <c r="E93" s="24" t="s">
        <v>1251</v>
      </c>
      <c r="F93" s="24" t="s">
        <v>1252</v>
      </c>
      <c r="G93" s="24" t="s">
        <v>1253</v>
      </c>
      <c r="H93" s="24" t="s">
        <v>1254</v>
      </c>
      <c r="I93" s="21" t="s">
        <v>66</v>
      </c>
      <c r="J93" s="24"/>
      <c r="K93" s="24"/>
      <c r="L93" s="25" t="s">
        <v>95</v>
      </c>
      <c r="M93" s="23"/>
    </row>
    <row r="94" spans="1:13" ht="51" x14ac:dyDescent="0.25">
      <c r="A94" s="19" t="s">
        <v>1255</v>
      </c>
      <c r="B94" s="20" t="s">
        <v>39</v>
      </c>
      <c r="C94" s="20" t="s">
        <v>1234</v>
      </c>
      <c r="D94" s="20" t="s">
        <v>1256</v>
      </c>
      <c r="E94" s="20" t="s">
        <v>1257</v>
      </c>
      <c r="F94" s="20" t="s">
        <v>1258</v>
      </c>
      <c r="G94" s="20" t="s">
        <v>828</v>
      </c>
      <c r="H94" s="20" t="s">
        <v>1259</v>
      </c>
      <c r="I94" s="21" t="s">
        <v>66</v>
      </c>
      <c r="J94" s="20"/>
      <c r="K94" s="20"/>
      <c r="L94" s="27" t="s">
        <v>131</v>
      </c>
      <c r="M94" s="19"/>
    </row>
    <row r="95" spans="1:13" ht="51" x14ac:dyDescent="0.25">
      <c r="A95" s="23" t="s">
        <v>1260</v>
      </c>
      <c r="B95" s="24" t="s">
        <v>39</v>
      </c>
      <c r="C95" s="24" t="s">
        <v>97</v>
      </c>
      <c r="D95" s="24" t="s">
        <v>1261</v>
      </c>
      <c r="E95" s="24" t="s">
        <v>1262</v>
      </c>
      <c r="F95" s="24" t="s">
        <v>1263</v>
      </c>
      <c r="G95" s="24" t="s">
        <v>1264</v>
      </c>
      <c r="H95" s="24" t="s">
        <v>1265</v>
      </c>
      <c r="I95" s="21" t="s">
        <v>66</v>
      </c>
      <c r="J95" s="24"/>
      <c r="K95" s="24"/>
      <c r="L95" s="22" t="s">
        <v>67</v>
      </c>
      <c r="M95" s="23"/>
    </row>
    <row r="96" spans="1:13" ht="51" x14ac:dyDescent="0.25">
      <c r="A96" s="19" t="s">
        <v>1266</v>
      </c>
      <c r="B96" s="20" t="s">
        <v>39</v>
      </c>
      <c r="C96" s="20" t="s">
        <v>97</v>
      </c>
      <c r="D96" s="20" t="s">
        <v>327</v>
      </c>
      <c r="E96" s="20" t="s">
        <v>1267</v>
      </c>
      <c r="F96" s="20" t="s">
        <v>1268</v>
      </c>
      <c r="G96" s="20" t="s">
        <v>952</v>
      </c>
      <c r="H96" s="20" t="s">
        <v>1269</v>
      </c>
      <c r="I96" s="33" t="s">
        <v>3684</v>
      </c>
      <c r="J96" s="20"/>
      <c r="K96" s="20"/>
      <c r="L96" s="22" t="s">
        <v>67</v>
      </c>
      <c r="M96" s="19"/>
    </row>
    <row r="97" spans="1:13" ht="51" x14ac:dyDescent="0.25">
      <c r="A97" s="23" t="s">
        <v>1270</v>
      </c>
      <c r="B97" s="24" t="s">
        <v>39</v>
      </c>
      <c r="C97" s="24" t="s">
        <v>97</v>
      </c>
      <c r="D97" s="24" t="s">
        <v>1271</v>
      </c>
      <c r="E97" s="24" t="s">
        <v>1100</v>
      </c>
      <c r="F97" s="24" t="s">
        <v>1272</v>
      </c>
      <c r="G97" s="24" t="s">
        <v>952</v>
      </c>
      <c r="H97" s="24" t="s">
        <v>1273</v>
      </c>
      <c r="I97" s="21" t="s">
        <v>66</v>
      </c>
      <c r="J97" s="24"/>
      <c r="K97" s="24"/>
      <c r="L97" s="25" t="s">
        <v>95</v>
      </c>
      <c r="M97" s="23"/>
    </row>
    <row r="98" spans="1:13" ht="76.5" x14ac:dyDescent="0.25">
      <c r="A98" s="19" t="s">
        <v>1274</v>
      </c>
      <c r="B98" s="20" t="s">
        <v>39</v>
      </c>
      <c r="C98" s="20" t="s">
        <v>97</v>
      </c>
      <c r="D98" s="20" t="s">
        <v>1275</v>
      </c>
      <c r="E98" s="20" t="s">
        <v>1276</v>
      </c>
      <c r="F98" s="20" t="s">
        <v>1277</v>
      </c>
      <c r="G98" s="20" t="s">
        <v>957</v>
      </c>
      <c r="H98" s="20" t="s">
        <v>1278</v>
      </c>
      <c r="I98" s="33" t="s">
        <v>3684</v>
      </c>
      <c r="J98" s="20"/>
      <c r="K98" s="20"/>
      <c r="L98" s="25" t="s">
        <v>95</v>
      </c>
      <c r="M98" s="19"/>
    </row>
    <row r="99" spans="1:13" ht="63.75" x14ac:dyDescent="0.25">
      <c r="A99" s="23" t="s">
        <v>1279</v>
      </c>
      <c r="B99" s="35" t="s">
        <v>39</v>
      </c>
      <c r="C99" s="35" t="s">
        <v>898</v>
      </c>
      <c r="D99" s="35" t="s">
        <v>498</v>
      </c>
      <c r="E99" s="35" t="s">
        <v>1280</v>
      </c>
      <c r="F99" s="35" t="s">
        <v>1281</v>
      </c>
      <c r="G99" s="35" t="s">
        <v>930</v>
      </c>
      <c r="H99" s="35" t="s">
        <v>1282</v>
      </c>
      <c r="I99" s="23"/>
      <c r="J99" s="34" t="s">
        <v>3686</v>
      </c>
      <c r="K99" s="24"/>
      <c r="L99" s="25" t="s">
        <v>95</v>
      </c>
      <c r="M99" s="23"/>
    </row>
    <row r="100" spans="1:13" ht="51" x14ac:dyDescent="0.25">
      <c r="A100" s="19" t="s">
        <v>1283</v>
      </c>
      <c r="B100" s="20" t="s">
        <v>39</v>
      </c>
      <c r="C100" s="20" t="s">
        <v>898</v>
      </c>
      <c r="D100" s="20" t="s">
        <v>1284</v>
      </c>
      <c r="E100" s="20" t="s">
        <v>1285</v>
      </c>
      <c r="F100" s="20" t="s">
        <v>1286</v>
      </c>
      <c r="G100" s="20" t="s">
        <v>902</v>
      </c>
      <c r="H100" s="20" t="s">
        <v>1287</v>
      </c>
      <c r="I100" s="21" t="s">
        <v>66</v>
      </c>
      <c r="J100" s="20"/>
      <c r="K100" s="20"/>
      <c r="L100" s="27" t="s">
        <v>131</v>
      </c>
      <c r="M100" s="19"/>
    </row>
    <row r="101" spans="1:13" ht="51" x14ac:dyDescent="0.25">
      <c r="A101" s="23" t="s">
        <v>777</v>
      </c>
      <c r="B101" s="24" t="s">
        <v>39</v>
      </c>
      <c r="C101" s="24" t="s">
        <v>898</v>
      </c>
      <c r="D101" s="24" t="s">
        <v>1288</v>
      </c>
      <c r="E101" s="24" t="s">
        <v>1289</v>
      </c>
      <c r="F101" s="24" t="s">
        <v>1290</v>
      </c>
      <c r="G101" s="24" t="s">
        <v>1291</v>
      </c>
      <c r="H101" s="24" t="s">
        <v>1292</v>
      </c>
      <c r="I101" s="23"/>
      <c r="J101" s="24"/>
      <c r="K101" s="24"/>
      <c r="L101" s="25" t="s">
        <v>95</v>
      </c>
      <c r="M101" s="23"/>
    </row>
    <row r="102" spans="1:13" ht="51" x14ac:dyDescent="0.25">
      <c r="A102" s="19" t="s">
        <v>1293</v>
      </c>
      <c r="B102" s="20" t="s">
        <v>39</v>
      </c>
      <c r="C102" s="20" t="s">
        <v>1016</v>
      </c>
      <c r="D102" s="20" t="s">
        <v>1294</v>
      </c>
      <c r="E102" s="20" t="s">
        <v>1295</v>
      </c>
      <c r="F102" s="20" t="s">
        <v>1296</v>
      </c>
      <c r="G102" s="20" t="s">
        <v>1291</v>
      </c>
      <c r="H102" s="20" t="s">
        <v>1297</v>
      </c>
      <c r="I102" s="19"/>
      <c r="J102" s="20"/>
      <c r="K102" s="20"/>
      <c r="L102" s="22" t="s">
        <v>67</v>
      </c>
      <c r="M102" s="19"/>
    </row>
    <row r="103" spans="1:13" ht="51" x14ac:dyDescent="0.25">
      <c r="A103" s="23" t="s">
        <v>1298</v>
      </c>
      <c r="B103" s="24" t="s">
        <v>39</v>
      </c>
      <c r="C103" s="24" t="s">
        <v>1016</v>
      </c>
      <c r="D103" s="24" t="s">
        <v>1299</v>
      </c>
      <c r="E103" s="24" t="s">
        <v>1300</v>
      </c>
      <c r="F103" s="24" t="s">
        <v>1301</v>
      </c>
      <c r="G103" s="24" t="s">
        <v>1302</v>
      </c>
      <c r="H103" s="24" t="s">
        <v>1303</v>
      </c>
      <c r="I103" s="23"/>
      <c r="J103" s="24"/>
      <c r="K103" s="24"/>
      <c r="L103" s="27" t="s">
        <v>131</v>
      </c>
      <c r="M103" s="23"/>
    </row>
    <row r="104" spans="1:13" ht="51" x14ac:dyDescent="0.25">
      <c r="A104" s="19" t="s">
        <v>1304</v>
      </c>
      <c r="B104" s="20" t="s">
        <v>39</v>
      </c>
      <c r="C104" s="20" t="s">
        <v>1305</v>
      </c>
      <c r="D104" s="20" t="s">
        <v>1306</v>
      </c>
      <c r="E104" s="20" t="s">
        <v>1307</v>
      </c>
      <c r="F104" s="20" t="s">
        <v>1308</v>
      </c>
      <c r="G104" s="20" t="s">
        <v>1309</v>
      </c>
      <c r="H104" s="20" t="s">
        <v>1310</v>
      </c>
      <c r="I104" s="21" t="s">
        <v>66</v>
      </c>
      <c r="J104" s="20"/>
      <c r="K104" s="20"/>
      <c r="L104" s="25" t="s">
        <v>95</v>
      </c>
      <c r="M104" s="19"/>
    </row>
    <row r="105" spans="1:13" ht="51" x14ac:dyDescent="0.25">
      <c r="A105" s="23" t="s">
        <v>1311</v>
      </c>
      <c r="B105" s="24" t="s">
        <v>39</v>
      </c>
      <c r="C105" s="24" t="s">
        <v>1305</v>
      </c>
      <c r="D105" s="24" t="s">
        <v>1312</v>
      </c>
      <c r="E105" s="24" t="s">
        <v>1313</v>
      </c>
      <c r="F105" s="24" t="s">
        <v>1314</v>
      </c>
      <c r="G105" s="24" t="s">
        <v>1315</v>
      </c>
      <c r="H105" s="24" t="s">
        <v>1316</v>
      </c>
      <c r="I105" s="21" t="s">
        <v>66</v>
      </c>
      <c r="J105" s="24"/>
      <c r="K105" s="24"/>
      <c r="L105" s="25" t="s">
        <v>95</v>
      </c>
      <c r="M105" s="23"/>
    </row>
    <row r="106" spans="1:13" ht="51" x14ac:dyDescent="0.25">
      <c r="A106" s="19" t="s">
        <v>1317</v>
      </c>
      <c r="B106" s="20" t="s">
        <v>39</v>
      </c>
      <c r="C106" s="20" t="s">
        <v>792</v>
      </c>
      <c r="D106" s="20" t="s">
        <v>413</v>
      </c>
      <c r="E106" s="20" t="s">
        <v>1149</v>
      </c>
      <c r="F106" s="20" t="s">
        <v>1318</v>
      </c>
      <c r="G106" s="20" t="s">
        <v>1319</v>
      </c>
      <c r="H106" s="20" t="s">
        <v>1320</v>
      </c>
      <c r="I106" s="19"/>
      <c r="J106" s="20"/>
      <c r="K106" s="20"/>
      <c r="L106" s="25" t="s">
        <v>95</v>
      </c>
      <c r="M106" s="19"/>
    </row>
    <row r="107" spans="1:13" ht="51" x14ac:dyDescent="0.25">
      <c r="A107" s="23" t="s">
        <v>1321</v>
      </c>
      <c r="B107" s="24" t="s">
        <v>39</v>
      </c>
      <c r="C107" s="24" t="s">
        <v>792</v>
      </c>
      <c r="D107" s="24" t="s">
        <v>1152</v>
      </c>
      <c r="E107" s="24" t="s">
        <v>1153</v>
      </c>
      <c r="F107" s="24" t="s">
        <v>1322</v>
      </c>
      <c r="G107" s="24" t="s">
        <v>1323</v>
      </c>
      <c r="H107" s="24" t="s">
        <v>1155</v>
      </c>
      <c r="I107" s="23"/>
      <c r="J107" s="24"/>
      <c r="K107" s="24"/>
      <c r="L107" s="27" t="s">
        <v>131</v>
      </c>
      <c r="M107" s="23"/>
    </row>
    <row r="108" spans="1:13" ht="51" x14ac:dyDescent="0.25">
      <c r="A108" s="19" t="s">
        <v>1324</v>
      </c>
      <c r="B108" s="20" t="s">
        <v>39</v>
      </c>
      <c r="C108" s="20" t="s">
        <v>1325</v>
      </c>
      <c r="D108" s="20" t="s">
        <v>1326</v>
      </c>
      <c r="E108" s="20" t="s">
        <v>1327</v>
      </c>
      <c r="F108" s="20" t="s">
        <v>1328</v>
      </c>
      <c r="G108" s="20" t="s">
        <v>1329</v>
      </c>
      <c r="H108" s="20" t="s">
        <v>1330</v>
      </c>
      <c r="I108" s="33" t="s">
        <v>3684</v>
      </c>
      <c r="J108" s="20"/>
      <c r="K108" s="20"/>
      <c r="L108" s="27" t="s">
        <v>131</v>
      </c>
      <c r="M108" s="19"/>
    </row>
    <row r="109" spans="1:13" ht="89.25" x14ac:dyDescent="0.25">
      <c r="A109" s="23" t="s">
        <v>1331</v>
      </c>
      <c r="B109" s="24" t="s">
        <v>39</v>
      </c>
      <c r="C109" s="24" t="s">
        <v>60</v>
      </c>
      <c r="D109" s="24" t="s">
        <v>1332</v>
      </c>
      <c r="E109" s="24" t="s">
        <v>1333</v>
      </c>
      <c r="F109" s="24" t="s">
        <v>1334</v>
      </c>
      <c r="G109" s="24" t="s">
        <v>804</v>
      </c>
      <c r="H109" s="24" t="s">
        <v>1335</v>
      </c>
      <c r="I109" s="23"/>
      <c r="J109" s="24"/>
      <c r="K109" s="24"/>
      <c r="L109" s="26" t="s">
        <v>103</v>
      </c>
      <c r="M109" s="23"/>
    </row>
    <row r="110" spans="1:13" ht="51" x14ac:dyDescent="0.25">
      <c r="A110" s="19" t="s">
        <v>1336</v>
      </c>
      <c r="B110" s="20" t="s">
        <v>39</v>
      </c>
      <c r="C110" s="20" t="s">
        <v>60</v>
      </c>
      <c r="D110" s="20" t="s">
        <v>1337</v>
      </c>
      <c r="E110" s="20" t="s">
        <v>1338</v>
      </c>
      <c r="F110" s="20" t="s">
        <v>1339</v>
      </c>
      <c r="G110" s="20" t="s">
        <v>804</v>
      </c>
      <c r="H110" s="20" t="s">
        <v>1340</v>
      </c>
      <c r="I110" s="19"/>
      <c r="J110" s="20"/>
      <c r="K110" s="20"/>
      <c r="L110" s="26" t="s">
        <v>103</v>
      </c>
      <c r="M110" s="19"/>
    </row>
    <row r="111" spans="1:13" ht="51" x14ac:dyDescent="0.25">
      <c r="A111" s="23" t="s">
        <v>1341</v>
      </c>
      <c r="B111" s="24" t="s">
        <v>39</v>
      </c>
      <c r="C111" s="24" t="s">
        <v>60</v>
      </c>
      <c r="D111" s="24" t="s">
        <v>1342</v>
      </c>
      <c r="E111" s="24" t="s">
        <v>1343</v>
      </c>
      <c r="F111" s="24" t="s">
        <v>1344</v>
      </c>
      <c r="G111" s="24" t="s">
        <v>804</v>
      </c>
      <c r="H111" s="24" t="s">
        <v>1345</v>
      </c>
      <c r="I111" s="23"/>
      <c r="J111" s="24"/>
      <c r="K111" s="24"/>
      <c r="L111" s="22" t="s">
        <v>67</v>
      </c>
      <c r="M111" s="23"/>
    </row>
    <row r="112" spans="1:13" ht="63.75" x14ac:dyDescent="0.25">
      <c r="A112" s="19" t="s">
        <v>1346</v>
      </c>
      <c r="B112" s="20" t="s">
        <v>39</v>
      </c>
      <c r="C112" s="20" t="s">
        <v>60</v>
      </c>
      <c r="D112" s="20" t="s">
        <v>1347</v>
      </c>
      <c r="E112" s="20" t="s">
        <v>1348</v>
      </c>
      <c r="F112" s="20" t="s">
        <v>1349</v>
      </c>
      <c r="G112" s="20" t="s">
        <v>1350</v>
      </c>
      <c r="H112" s="20" t="s">
        <v>1351</v>
      </c>
      <c r="I112" s="19"/>
      <c r="J112" s="20"/>
      <c r="K112" s="20"/>
      <c r="L112" s="22" t="s">
        <v>67</v>
      </c>
      <c r="M112" s="19"/>
    </row>
    <row r="113" spans="1:13" ht="51" x14ac:dyDescent="0.25">
      <c r="A113" s="23" t="s">
        <v>1352</v>
      </c>
      <c r="B113" s="24" t="s">
        <v>39</v>
      </c>
      <c r="C113" s="24" t="s">
        <v>60</v>
      </c>
      <c r="D113" s="24" t="s">
        <v>1353</v>
      </c>
      <c r="E113" s="24" t="s">
        <v>1354</v>
      </c>
      <c r="F113" s="24" t="s">
        <v>1355</v>
      </c>
      <c r="G113" s="24" t="s">
        <v>828</v>
      </c>
      <c r="H113" s="24" t="s">
        <v>1356</v>
      </c>
      <c r="I113" s="23"/>
      <c r="J113" s="24"/>
      <c r="K113" s="24"/>
      <c r="L113" s="25" t="s">
        <v>95</v>
      </c>
      <c r="M113" s="23"/>
    </row>
    <row r="114" spans="1:13" ht="51" x14ac:dyDescent="0.25">
      <c r="A114" s="19" t="s">
        <v>1357</v>
      </c>
      <c r="B114" s="20" t="s">
        <v>39</v>
      </c>
      <c r="C114" s="20" t="s">
        <v>60</v>
      </c>
      <c r="D114" s="20" t="s">
        <v>1358</v>
      </c>
      <c r="E114" s="20" t="s">
        <v>1359</v>
      </c>
      <c r="F114" s="20" t="s">
        <v>1360</v>
      </c>
      <c r="G114" s="20" t="s">
        <v>804</v>
      </c>
      <c r="H114" s="20" t="s">
        <v>1361</v>
      </c>
      <c r="I114" s="19"/>
      <c r="J114" s="20"/>
      <c r="K114" s="20"/>
      <c r="L114" s="27" t="s">
        <v>131</v>
      </c>
      <c r="M114" s="19"/>
    </row>
    <row r="115" spans="1:13" ht="51" x14ac:dyDescent="0.25">
      <c r="A115" s="23" t="s">
        <v>1362</v>
      </c>
      <c r="B115" s="24" t="s">
        <v>39</v>
      </c>
      <c r="C115" s="24" t="s">
        <v>60</v>
      </c>
      <c r="D115" s="24" t="s">
        <v>1363</v>
      </c>
      <c r="E115" s="24" t="s">
        <v>1364</v>
      </c>
      <c r="F115" s="24" t="s">
        <v>1365</v>
      </c>
      <c r="G115" s="24" t="s">
        <v>804</v>
      </c>
      <c r="H115" s="24" t="s">
        <v>1366</v>
      </c>
      <c r="I115" s="23"/>
      <c r="J115" s="24"/>
      <c r="K115" s="24"/>
      <c r="L115" s="27" t="s">
        <v>131</v>
      </c>
      <c r="M115" s="23"/>
    </row>
    <row r="116" spans="1:13" ht="51" x14ac:dyDescent="0.25">
      <c r="A116" s="19" t="s">
        <v>1367</v>
      </c>
      <c r="B116" s="20" t="s">
        <v>39</v>
      </c>
      <c r="C116" s="20" t="s">
        <v>237</v>
      </c>
      <c r="D116" s="20" t="s">
        <v>1368</v>
      </c>
      <c r="E116" s="20" t="s">
        <v>1369</v>
      </c>
      <c r="F116" s="20" t="s">
        <v>1370</v>
      </c>
      <c r="G116" s="20" t="s">
        <v>1371</v>
      </c>
      <c r="H116" s="20" t="s">
        <v>1372</v>
      </c>
      <c r="I116" s="19"/>
      <c r="J116" s="20"/>
      <c r="K116" s="20"/>
      <c r="L116" s="26" t="s">
        <v>103</v>
      </c>
      <c r="M116" s="19"/>
    </row>
    <row r="117" spans="1:13" ht="38.25" x14ac:dyDescent="0.25">
      <c r="A117" s="23" t="s">
        <v>1373</v>
      </c>
      <c r="B117" s="24" t="s">
        <v>39</v>
      </c>
      <c r="C117" s="24" t="s">
        <v>237</v>
      </c>
      <c r="D117" s="24" t="s">
        <v>1374</v>
      </c>
      <c r="E117" s="24" t="s">
        <v>1375</v>
      </c>
      <c r="F117" s="24" t="s">
        <v>1376</v>
      </c>
      <c r="G117" s="24" t="s">
        <v>1371</v>
      </c>
      <c r="H117" s="24" t="s">
        <v>1377</v>
      </c>
      <c r="I117" s="23"/>
      <c r="J117" s="24"/>
      <c r="K117" s="24"/>
      <c r="L117" s="26" t="s">
        <v>103</v>
      </c>
      <c r="M117" s="23"/>
    </row>
    <row r="118" spans="1:13" ht="63.75" x14ac:dyDescent="0.25">
      <c r="A118" s="19" t="s">
        <v>1378</v>
      </c>
      <c r="B118" s="20" t="s">
        <v>39</v>
      </c>
      <c r="C118" s="20" t="s">
        <v>237</v>
      </c>
      <c r="D118" s="20" t="s">
        <v>1379</v>
      </c>
      <c r="E118" s="20" t="s">
        <v>1380</v>
      </c>
      <c r="F118" s="20" t="s">
        <v>1381</v>
      </c>
      <c r="G118" s="20" t="s">
        <v>1371</v>
      </c>
      <c r="H118" s="20" t="s">
        <v>1382</v>
      </c>
      <c r="I118" s="19"/>
      <c r="J118" s="20"/>
      <c r="K118" s="20"/>
      <c r="L118" s="26" t="s">
        <v>103</v>
      </c>
      <c r="M118" s="19"/>
    </row>
    <row r="119" spans="1:13" ht="38.25" x14ac:dyDescent="0.25">
      <c r="A119" s="23" t="s">
        <v>1383</v>
      </c>
      <c r="B119" s="24" t="s">
        <v>39</v>
      </c>
      <c r="C119" s="24" t="s">
        <v>237</v>
      </c>
      <c r="D119" s="24" t="s">
        <v>1384</v>
      </c>
      <c r="E119" s="24" t="s">
        <v>1385</v>
      </c>
      <c r="F119" s="24" t="s">
        <v>1386</v>
      </c>
      <c r="G119" s="24" t="s">
        <v>1371</v>
      </c>
      <c r="H119" s="24" t="s">
        <v>1387</v>
      </c>
      <c r="I119" s="23"/>
      <c r="J119" s="24"/>
      <c r="K119" s="24"/>
      <c r="L119" s="26" t="s">
        <v>103</v>
      </c>
      <c r="M119" s="23"/>
    </row>
    <row r="120" spans="1:13" ht="51" x14ac:dyDescent="0.25">
      <c r="A120" s="19" t="s">
        <v>1388</v>
      </c>
      <c r="B120" s="20" t="s">
        <v>39</v>
      </c>
      <c r="C120" s="20" t="s">
        <v>237</v>
      </c>
      <c r="D120" s="20" t="s">
        <v>1389</v>
      </c>
      <c r="E120" s="20" t="s">
        <v>1390</v>
      </c>
      <c r="F120" s="20" t="s">
        <v>1391</v>
      </c>
      <c r="G120" s="20" t="s">
        <v>1371</v>
      </c>
      <c r="H120" s="20" t="s">
        <v>1392</v>
      </c>
      <c r="I120" s="19"/>
      <c r="J120" s="20"/>
      <c r="K120" s="20"/>
      <c r="L120" s="26" t="s">
        <v>103</v>
      </c>
      <c r="M120" s="19"/>
    </row>
    <row r="121" spans="1:13" ht="51" x14ac:dyDescent="0.25">
      <c r="A121" s="23" t="s">
        <v>1393</v>
      </c>
      <c r="B121" s="24" t="s">
        <v>39</v>
      </c>
      <c r="C121" s="24" t="s">
        <v>237</v>
      </c>
      <c r="D121" s="24" t="s">
        <v>1394</v>
      </c>
      <c r="E121" s="24" t="s">
        <v>1395</v>
      </c>
      <c r="F121" s="24" t="s">
        <v>1396</v>
      </c>
      <c r="G121" s="24" t="s">
        <v>1371</v>
      </c>
      <c r="H121" s="24" t="s">
        <v>1397</v>
      </c>
      <c r="I121" s="23"/>
      <c r="J121" s="24"/>
      <c r="K121" s="24"/>
      <c r="L121" s="25" t="s">
        <v>95</v>
      </c>
      <c r="M121" s="23"/>
    </row>
    <row r="122" spans="1:13" ht="51" x14ac:dyDescent="0.25">
      <c r="A122" s="19" t="s">
        <v>1398</v>
      </c>
      <c r="B122" s="20" t="s">
        <v>39</v>
      </c>
      <c r="C122" s="20" t="s">
        <v>237</v>
      </c>
      <c r="D122" s="20" t="s">
        <v>1399</v>
      </c>
      <c r="E122" s="20" t="s">
        <v>1400</v>
      </c>
      <c r="F122" s="20" t="s">
        <v>1401</v>
      </c>
      <c r="G122" s="20" t="s">
        <v>1371</v>
      </c>
      <c r="H122" s="20" t="s">
        <v>1402</v>
      </c>
      <c r="I122" s="19"/>
      <c r="J122" s="20"/>
      <c r="K122" s="20"/>
      <c r="L122" s="25" t="s">
        <v>95</v>
      </c>
      <c r="M122" s="19"/>
    </row>
    <row r="123" spans="1:13" ht="38.25" x14ac:dyDescent="0.25">
      <c r="A123" s="23" t="s">
        <v>1403</v>
      </c>
      <c r="B123" s="24" t="s">
        <v>39</v>
      </c>
      <c r="C123" s="24" t="s">
        <v>237</v>
      </c>
      <c r="D123" s="24" t="s">
        <v>1404</v>
      </c>
      <c r="E123" s="24" t="s">
        <v>1405</v>
      </c>
      <c r="F123" s="24" t="s">
        <v>1406</v>
      </c>
      <c r="G123" s="24" t="s">
        <v>1371</v>
      </c>
      <c r="H123" s="24" t="s">
        <v>1407</v>
      </c>
      <c r="I123" s="23"/>
      <c r="J123" s="24"/>
      <c r="K123" s="24"/>
      <c r="L123" s="25" t="s">
        <v>95</v>
      </c>
      <c r="M123" s="23"/>
    </row>
    <row r="124" spans="1:13" ht="51" x14ac:dyDescent="0.25">
      <c r="A124" s="19" t="s">
        <v>1408</v>
      </c>
      <c r="B124" s="20" t="s">
        <v>39</v>
      </c>
      <c r="C124" s="20" t="s">
        <v>79</v>
      </c>
      <c r="D124" s="20" t="s">
        <v>558</v>
      </c>
      <c r="E124" s="20" t="s">
        <v>1409</v>
      </c>
      <c r="F124" s="20" t="s">
        <v>1410</v>
      </c>
      <c r="G124" s="20" t="s">
        <v>828</v>
      </c>
      <c r="H124" s="20" t="s">
        <v>1411</v>
      </c>
      <c r="I124" s="21" t="s">
        <v>66</v>
      </c>
      <c r="J124" s="20"/>
      <c r="K124" s="20"/>
      <c r="L124" s="26" t="s">
        <v>103</v>
      </c>
      <c r="M124" s="19"/>
    </row>
    <row r="125" spans="1:13" ht="51" x14ac:dyDescent="0.25">
      <c r="A125" s="23" t="s">
        <v>1412</v>
      </c>
      <c r="B125" s="24" t="s">
        <v>39</v>
      </c>
      <c r="C125" s="24" t="s">
        <v>79</v>
      </c>
      <c r="D125" s="24" t="s">
        <v>91</v>
      </c>
      <c r="E125" s="24" t="s">
        <v>92</v>
      </c>
      <c r="F125" s="24" t="s">
        <v>1413</v>
      </c>
      <c r="G125" s="24" t="s">
        <v>828</v>
      </c>
      <c r="H125" s="24" t="s">
        <v>1414</v>
      </c>
      <c r="I125" s="21" t="s">
        <v>66</v>
      </c>
      <c r="J125" s="24"/>
      <c r="K125" s="24"/>
      <c r="L125" s="22" t="s">
        <v>67</v>
      </c>
      <c r="M125" s="23"/>
    </row>
    <row r="126" spans="1:13" ht="51" x14ac:dyDescent="0.25">
      <c r="A126" s="19" t="s">
        <v>1415</v>
      </c>
      <c r="B126" s="20" t="s">
        <v>39</v>
      </c>
      <c r="C126" s="20" t="s">
        <v>79</v>
      </c>
      <c r="D126" s="20" t="s">
        <v>1416</v>
      </c>
      <c r="E126" s="20" t="s">
        <v>1417</v>
      </c>
      <c r="F126" s="20" t="s">
        <v>1418</v>
      </c>
      <c r="G126" s="20" t="s">
        <v>828</v>
      </c>
      <c r="H126" s="20" t="s">
        <v>1419</v>
      </c>
      <c r="I126" s="21" t="s">
        <v>66</v>
      </c>
      <c r="J126" s="20"/>
      <c r="K126" s="20"/>
      <c r="L126" s="22" t="s">
        <v>67</v>
      </c>
      <c r="M126" s="19"/>
    </row>
    <row r="127" spans="1:13" ht="51" x14ac:dyDescent="0.25">
      <c r="A127" s="23" t="s">
        <v>1420</v>
      </c>
      <c r="B127" s="24" t="s">
        <v>39</v>
      </c>
      <c r="C127" s="24" t="s">
        <v>79</v>
      </c>
      <c r="D127" s="24" t="s">
        <v>1421</v>
      </c>
      <c r="E127" s="24" t="s">
        <v>1422</v>
      </c>
      <c r="F127" s="24" t="s">
        <v>1423</v>
      </c>
      <c r="G127" s="24" t="s">
        <v>828</v>
      </c>
      <c r="H127" s="24" t="s">
        <v>1424</v>
      </c>
      <c r="I127" s="21" t="s">
        <v>66</v>
      </c>
      <c r="J127" s="24"/>
      <c r="K127" s="24"/>
      <c r="L127" s="22" t="s">
        <v>67</v>
      </c>
      <c r="M127" s="23"/>
    </row>
    <row r="128" spans="1:13" ht="51" x14ac:dyDescent="0.25">
      <c r="A128" s="19" t="s">
        <v>1425</v>
      </c>
      <c r="B128" s="20" t="s">
        <v>39</v>
      </c>
      <c r="C128" s="20" t="s">
        <v>79</v>
      </c>
      <c r="D128" s="20" t="s">
        <v>1426</v>
      </c>
      <c r="E128" s="20" t="s">
        <v>1427</v>
      </c>
      <c r="F128" s="20" t="s">
        <v>1428</v>
      </c>
      <c r="G128" s="20" t="s">
        <v>828</v>
      </c>
      <c r="H128" s="20" t="s">
        <v>1429</v>
      </c>
      <c r="I128" s="21" t="s">
        <v>66</v>
      </c>
      <c r="J128" s="20"/>
      <c r="K128" s="20"/>
      <c r="L128" s="22" t="s">
        <v>67</v>
      </c>
      <c r="M128" s="19"/>
    </row>
    <row r="129" spans="1:13" ht="51" x14ac:dyDescent="0.25">
      <c r="A129" s="23" t="s">
        <v>1430</v>
      </c>
      <c r="B129" s="24" t="s">
        <v>39</v>
      </c>
      <c r="C129" s="24" t="s">
        <v>79</v>
      </c>
      <c r="D129" s="24" t="s">
        <v>1431</v>
      </c>
      <c r="E129" s="24" t="s">
        <v>1432</v>
      </c>
      <c r="F129" s="24" t="s">
        <v>1433</v>
      </c>
      <c r="G129" s="24" t="s">
        <v>828</v>
      </c>
      <c r="H129" s="24" t="s">
        <v>1248</v>
      </c>
      <c r="I129" s="21" t="s">
        <v>66</v>
      </c>
      <c r="J129" s="24"/>
      <c r="K129" s="24"/>
      <c r="L129" s="25" t="s">
        <v>95</v>
      </c>
      <c r="M129" s="23"/>
    </row>
    <row r="130" spans="1:13" ht="51" x14ac:dyDescent="0.25">
      <c r="A130" s="19" t="s">
        <v>1434</v>
      </c>
      <c r="B130" s="20" t="s">
        <v>39</v>
      </c>
      <c r="C130" s="20" t="s">
        <v>79</v>
      </c>
      <c r="D130" s="20" t="s">
        <v>1435</v>
      </c>
      <c r="E130" s="20" t="s">
        <v>1436</v>
      </c>
      <c r="F130" s="20" t="s">
        <v>1437</v>
      </c>
      <c r="G130" s="20" t="s">
        <v>828</v>
      </c>
      <c r="H130" s="20" t="s">
        <v>1438</v>
      </c>
      <c r="I130" s="21" t="s">
        <v>66</v>
      </c>
      <c r="J130" s="20"/>
      <c r="K130" s="20"/>
      <c r="L130" s="25" t="s">
        <v>95</v>
      </c>
      <c r="M130" s="19"/>
    </row>
    <row r="131" spans="1:13" ht="51" x14ac:dyDescent="0.25">
      <c r="A131" s="23" t="s">
        <v>1439</v>
      </c>
      <c r="B131" s="24" t="s">
        <v>39</v>
      </c>
      <c r="C131" s="24" t="s">
        <v>79</v>
      </c>
      <c r="D131" s="24" t="s">
        <v>1440</v>
      </c>
      <c r="E131" s="24" t="s">
        <v>1441</v>
      </c>
      <c r="F131" s="24" t="s">
        <v>1442</v>
      </c>
      <c r="G131" s="24" t="s">
        <v>828</v>
      </c>
      <c r="H131" s="24" t="s">
        <v>1443</v>
      </c>
      <c r="I131" s="21" t="s">
        <v>66</v>
      </c>
      <c r="J131" s="24"/>
      <c r="K131" s="24"/>
      <c r="L131" s="25" t="s">
        <v>95</v>
      </c>
      <c r="M131" s="23"/>
    </row>
    <row r="132" spans="1:13" ht="51" x14ac:dyDescent="0.25">
      <c r="A132" s="19" t="s">
        <v>1444</v>
      </c>
      <c r="B132" s="20" t="s">
        <v>39</v>
      </c>
      <c r="C132" s="20" t="s">
        <v>79</v>
      </c>
      <c r="D132" s="20" t="s">
        <v>1445</v>
      </c>
      <c r="E132" s="20" t="s">
        <v>1446</v>
      </c>
      <c r="F132" s="20" t="s">
        <v>1447</v>
      </c>
      <c r="G132" s="20" t="s">
        <v>828</v>
      </c>
      <c r="H132" s="20" t="s">
        <v>1448</v>
      </c>
      <c r="I132" s="21" t="s">
        <v>66</v>
      </c>
      <c r="J132" s="20"/>
      <c r="K132" s="20"/>
      <c r="L132" s="27" t="s">
        <v>131</v>
      </c>
      <c r="M132" s="19"/>
    </row>
    <row r="133" spans="1:13" ht="51" x14ac:dyDescent="0.25">
      <c r="A133" s="23" t="s">
        <v>1449</v>
      </c>
      <c r="B133" s="24" t="s">
        <v>39</v>
      </c>
      <c r="C133" s="24" t="s">
        <v>79</v>
      </c>
      <c r="D133" s="24" t="s">
        <v>1450</v>
      </c>
      <c r="E133" s="24" t="s">
        <v>1451</v>
      </c>
      <c r="F133" s="24" t="s">
        <v>1452</v>
      </c>
      <c r="G133" s="24" t="s">
        <v>828</v>
      </c>
      <c r="H133" s="24" t="s">
        <v>1453</v>
      </c>
      <c r="I133" s="21" t="s">
        <v>66</v>
      </c>
      <c r="J133" s="24"/>
      <c r="K133" s="24"/>
      <c r="L133" s="25" t="s">
        <v>95</v>
      </c>
      <c r="M133" s="23"/>
    </row>
    <row r="134" spans="1:13" ht="51" x14ac:dyDescent="0.25">
      <c r="A134" s="19" t="s">
        <v>1454</v>
      </c>
      <c r="B134" s="20" t="s">
        <v>39</v>
      </c>
      <c r="C134" s="20" t="s">
        <v>79</v>
      </c>
      <c r="D134" s="20" t="s">
        <v>1455</v>
      </c>
      <c r="E134" s="20" t="s">
        <v>1456</v>
      </c>
      <c r="F134" s="20" t="s">
        <v>1457</v>
      </c>
      <c r="G134" s="20" t="s">
        <v>828</v>
      </c>
      <c r="H134" s="20" t="s">
        <v>1458</v>
      </c>
      <c r="I134" s="21" t="s">
        <v>66</v>
      </c>
      <c r="J134" s="20"/>
      <c r="K134" s="20"/>
      <c r="L134" s="25" t="s">
        <v>95</v>
      </c>
      <c r="M134" s="19"/>
    </row>
    <row r="135" spans="1:13" ht="51" x14ac:dyDescent="0.25">
      <c r="A135" s="23" t="s">
        <v>1459</v>
      </c>
      <c r="B135" s="24" t="s">
        <v>39</v>
      </c>
      <c r="C135" s="24" t="s">
        <v>79</v>
      </c>
      <c r="D135" s="24" t="s">
        <v>1460</v>
      </c>
      <c r="E135" s="24" t="s">
        <v>1461</v>
      </c>
      <c r="F135" s="24" t="s">
        <v>1462</v>
      </c>
      <c r="G135" s="24" t="s">
        <v>828</v>
      </c>
      <c r="H135" s="24" t="s">
        <v>1463</v>
      </c>
      <c r="I135" s="21" t="s">
        <v>66</v>
      </c>
      <c r="J135" s="24"/>
      <c r="K135" s="24"/>
      <c r="L135" s="27" t="s">
        <v>131</v>
      </c>
      <c r="M135" s="23"/>
    </row>
    <row r="136" spans="1:13" ht="51" x14ac:dyDescent="0.25">
      <c r="A136" s="19" t="s">
        <v>1464</v>
      </c>
      <c r="B136" s="20" t="s">
        <v>39</v>
      </c>
      <c r="C136" s="20" t="s">
        <v>79</v>
      </c>
      <c r="D136" s="20" t="s">
        <v>1465</v>
      </c>
      <c r="E136" s="20" t="s">
        <v>1466</v>
      </c>
      <c r="F136" s="20" t="s">
        <v>1467</v>
      </c>
      <c r="G136" s="20" t="s">
        <v>828</v>
      </c>
      <c r="H136" s="20" t="s">
        <v>1468</v>
      </c>
      <c r="I136" s="21" t="s">
        <v>66</v>
      </c>
      <c r="J136" s="20"/>
      <c r="K136" s="20"/>
      <c r="L136" s="27" t="s">
        <v>131</v>
      </c>
      <c r="M136" s="19"/>
    </row>
    <row r="137" spans="1:13" ht="51" x14ac:dyDescent="0.25">
      <c r="A137" s="23" t="s">
        <v>1469</v>
      </c>
      <c r="B137" s="24" t="s">
        <v>39</v>
      </c>
      <c r="C137" s="24" t="s">
        <v>79</v>
      </c>
      <c r="D137" s="24" t="s">
        <v>1470</v>
      </c>
      <c r="E137" s="24" t="s">
        <v>1471</v>
      </c>
      <c r="F137" s="24" t="s">
        <v>1472</v>
      </c>
      <c r="G137" s="24" t="s">
        <v>1253</v>
      </c>
      <c r="H137" s="24" t="s">
        <v>1473</v>
      </c>
      <c r="I137" s="21" t="s">
        <v>66</v>
      </c>
      <c r="J137" s="24"/>
      <c r="K137" s="24"/>
      <c r="L137" s="25" t="s">
        <v>95</v>
      </c>
      <c r="M137" s="23"/>
    </row>
    <row r="138" spans="1:13" ht="51" x14ac:dyDescent="0.25">
      <c r="A138" s="19" t="s">
        <v>1474</v>
      </c>
      <c r="B138" s="20" t="s">
        <v>39</v>
      </c>
      <c r="C138" s="20" t="s">
        <v>79</v>
      </c>
      <c r="D138" s="20" t="s">
        <v>1475</v>
      </c>
      <c r="E138" s="20" t="s">
        <v>1476</v>
      </c>
      <c r="F138" s="20" t="s">
        <v>1477</v>
      </c>
      <c r="G138" s="20" t="s">
        <v>828</v>
      </c>
      <c r="H138" s="20" t="s">
        <v>1478</v>
      </c>
      <c r="I138" s="21" t="s">
        <v>66</v>
      </c>
      <c r="J138" s="20"/>
      <c r="K138" s="20"/>
      <c r="L138" s="27" t="s">
        <v>131</v>
      </c>
      <c r="M138" s="19"/>
    </row>
    <row r="139" spans="1:13" ht="51" x14ac:dyDescent="0.25">
      <c r="A139" s="23" t="s">
        <v>1479</v>
      </c>
      <c r="B139" s="24" t="s">
        <v>39</v>
      </c>
      <c r="C139" s="24" t="s">
        <v>898</v>
      </c>
      <c r="D139" s="24" t="s">
        <v>900</v>
      </c>
      <c r="E139" s="24" t="s">
        <v>1480</v>
      </c>
      <c r="F139" s="24" t="s">
        <v>1481</v>
      </c>
      <c r="G139" s="24" t="s">
        <v>902</v>
      </c>
      <c r="H139" s="24" t="s">
        <v>1482</v>
      </c>
      <c r="I139" s="21" t="s">
        <v>66</v>
      </c>
      <c r="J139" s="24"/>
      <c r="K139" s="24"/>
      <c r="L139" s="26" t="s">
        <v>103</v>
      </c>
      <c r="M139" s="23"/>
    </row>
    <row r="140" spans="1:13" ht="51" x14ac:dyDescent="0.25">
      <c r="A140" s="19" t="s">
        <v>1483</v>
      </c>
      <c r="B140" s="20" t="s">
        <v>39</v>
      </c>
      <c r="C140" s="20" t="s">
        <v>898</v>
      </c>
      <c r="D140" s="20" t="s">
        <v>1484</v>
      </c>
      <c r="E140" s="20" t="s">
        <v>1485</v>
      </c>
      <c r="F140" s="20" t="s">
        <v>1486</v>
      </c>
      <c r="G140" s="20" t="s">
        <v>902</v>
      </c>
      <c r="H140" s="20" t="s">
        <v>1487</v>
      </c>
      <c r="I140" s="21" t="s">
        <v>66</v>
      </c>
      <c r="J140" s="20"/>
      <c r="K140" s="20"/>
      <c r="L140" s="22" t="s">
        <v>67</v>
      </c>
      <c r="M140" s="19"/>
    </row>
    <row r="141" spans="1:13" ht="51" x14ac:dyDescent="0.25">
      <c r="A141" s="23" t="s">
        <v>1488</v>
      </c>
      <c r="B141" s="24" t="s">
        <v>39</v>
      </c>
      <c r="C141" s="24" t="s">
        <v>898</v>
      </c>
      <c r="D141" s="24" t="s">
        <v>906</v>
      </c>
      <c r="E141" s="24" t="s">
        <v>1489</v>
      </c>
      <c r="F141" s="24" t="s">
        <v>1490</v>
      </c>
      <c r="G141" s="24" t="s">
        <v>902</v>
      </c>
      <c r="H141" s="24" t="s">
        <v>1491</v>
      </c>
      <c r="I141" s="21" t="s">
        <v>66</v>
      </c>
      <c r="J141" s="24"/>
      <c r="K141" s="24"/>
      <c r="L141" s="22" t="s">
        <v>67</v>
      </c>
      <c r="M141" s="23"/>
    </row>
    <row r="142" spans="1:13" ht="51" x14ac:dyDescent="0.25">
      <c r="A142" s="19" t="s">
        <v>1492</v>
      </c>
      <c r="B142" s="20" t="s">
        <v>39</v>
      </c>
      <c r="C142" s="20" t="s">
        <v>898</v>
      </c>
      <c r="D142" s="20" t="s">
        <v>912</v>
      </c>
      <c r="E142" s="20" t="s">
        <v>1493</v>
      </c>
      <c r="F142" s="20" t="s">
        <v>1494</v>
      </c>
      <c r="G142" s="20" t="s">
        <v>902</v>
      </c>
      <c r="H142" s="20" t="s">
        <v>1495</v>
      </c>
      <c r="I142" s="21" t="s">
        <v>66</v>
      </c>
      <c r="J142" s="20"/>
      <c r="K142" s="20"/>
      <c r="L142" s="22" t="s">
        <v>67</v>
      </c>
      <c r="M142" s="19"/>
    </row>
    <row r="143" spans="1:13" ht="51" x14ac:dyDescent="0.25">
      <c r="A143" s="23" t="s">
        <v>1496</v>
      </c>
      <c r="B143" s="24" t="s">
        <v>39</v>
      </c>
      <c r="C143" s="24" t="s">
        <v>898</v>
      </c>
      <c r="D143" s="24" t="s">
        <v>917</v>
      </c>
      <c r="E143" s="24" t="s">
        <v>1497</v>
      </c>
      <c r="F143" s="24" t="s">
        <v>1498</v>
      </c>
      <c r="G143" s="24" t="s">
        <v>902</v>
      </c>
      <c r="H143" s="24" t="s">
        <v>919</v>
      </c>
      <c r="I143" s="21" t="s">
        <v>66</v>
      </c>
      <c r="J143" s="24"/>
      <c r="K143" s="24"/>
      <c r="L143" s="25" t="s">
        <v>95</v>
      </c>
      <c r="M143" s="23"/>
    </row>
    <row r="144" spans="1:13" ht="38.25" x14ac:dyDescent="0.25">
      <c r="A144" s="19" t="s">
        <v>1499</v>
      </c>
      <c r="B144" s="20" t="s">
        <v>39</v>
      </c>
      <c r="C144" s="20" t="s">
        <v>898</v>
      </c>
      <c r="D144" s="20" t="s">
        <v>1500</v>
      </c>
      <c r="E144" s="20" t="s">
        <v>1501</v>
      </c>
      <c r="F144" s="20" t="s">
        <v>1502</v>
      </c>
      <c r="G144" s="20" t="s">
        <v>902</v>
      </c>
      <c r="H144" s="20" t="s">
        <v>1503</v>
      </c>
      <c r="I144" s="21" t="s">
        <v>66</v>
      </c>
      <c r="J144" s="20"/>
      <c r="K144" s="20"/>
      <c r="L144" s="25" t="s">
        <v>95</v>
      </c>
      <c r="M144" s="19"/>
    </row>
    <row r="145" spans="1:13" ht="51" x14ac:dyDescent="0.25">
      <c r="A145" s="23" t="s">
        <v>1504</v>
      </c>
      <c r="B145" s="24" t="s">
        <v>39</v>
      </c>
      <c r="C145" s="24" t="s">
        <v>898</v>
      </c>
      <c r="D145" s="24" t="s">
        <v>1505</v>
      </c>
      <c r="E145" s="24" t="s">
        <v>1506</v>
      </c>
      <c r="F145" s="24" t="s">
        <v>1507</v>
      </c>
      <c r="G145" s="24" t="s">
        <v>902</v>
      </c>
      <c r="H145" s="24" t="s">
        <v>1508</v>
      </c>
      <c r="I145" s="21" t="s">
        <v>66</v>
      </c>
      <c r="J145" s="24"/>
      <c r="K145" s="24"/>
      <c r="L145" s="25" t="s">
        <v>95</v>
      </c>
      <c r="M145" s="23"/>
    </row>
    <row r="146" spans="1:13" ht="51" x14ac:dyDescent="0.25">
      <c r="A146" s="19" t="s">
        <v>1509</v>
      </c>
      <c r="B146" s="20" t="s">
        <v>39</v>
      </c>
      <c r="C146" s="20" t="s">
        <v>898</v>
      </c>
      <c r="D146" s="20" t="s">
        <v>1510</v>
      </c>
      <c r="E146" s="20" t="s">
        <v>1511</v>
      </c>
      <c r="F146" s="20" t="s">
        <v>1512</v>
      </c>
      <c r="G146" s="20" t="s">
        <v>902</v>
      </c>
      <c r="H146" s="20" t="s">
        <v>1513</v>
      </c>
      <c r="I146" s="33" t="s">
        <v>3684</v>
      </c>
      <c r="J146" s="20"/>
      <c r="K146" s="20"/>
      <c r="L146" s="25" t="s">
        <v>95</v>
      </c>
      <c r="M146" s="19"/>
    </row>
    <row r="147" spans="1:13" ht="38.25" x14ac:dyDescent="0.25">
      <c r="A147" s="23" t="s">
        <v>1514</v>
      </c>
      <c r="B147" s="24" t="s">
        <v>39</v>
      </c>
      <c r="C147" s="24" t="s">
        <v>898</v>
      </c>
      <c r="D147" s="24" t="s">
        <v>1515</v>
      </c>
      <c r="E147" s="24" t="s">
        <v>1516</v>
      </c>
      <c r="F147" s="24" t="s">
        <v>1517</v>
      </c>
      <c r="G147" s="24" t="s">
        <v>902</v>
      </c>
      <c r="H147" s="24" t="s">
        <v>1518</v>
      </c>
      <c r="I147" s="33" t="s">
        <v>3684</v>
      </c>
      <c r="J147" s="24"/>
      <c r="K147" s="24"/>
      <c r="L147" s="27" t="s">
        <v>131</v>
      </c>
      <c r="M147" s="23"/>
    </row>
    <row r="148" spans="1:13" ht="51" x14ac:dyDescent="0.25">
      <c r="A148" s="19" t="s">
        <v>1519</v>
      </c>
      <c r="B148" s="20" t="s">
        <v>39</v>
      </c>
      <c r="C148" s="20" t="s">
        <v>898</v>
      </c>
      <c r="D148" s="20" t="s">
        <v>1520</v>
      </c>
      <c r="E148" s="20" t="s">
        <v>928</v>
      </c>
      <c r="F148" s="20" t="s">
        <v>1521</v>
      </c>
      <c r="G148" s="20" t="s">
        <v>930</v>
      </c>
      <c r="H148" s="20" t="s">
        <v>1522</v>
      </c>
      <c r="I148" s="21" t="s">
        <v>66</v>
      </c>
      <c r="J148" s="20"/>
      <c r="K148" s="20"/>
      <c r="L148" s="26" t="s">
        <v>103</v>
      </c>
      <c r="M148" s="19"/>
    </row>
    <row r="149" spans="1:13" ht="51" x14ac:dyDescent="0.25">
      <c r="A149" s="23" t="s">
        <v>1523</v>
      </c>
      <c r="B149" s="24" t="s">
        <v>39</v>
      </c>
      <c r="C149" s="24" t="s">
        <v>898</v>
      </c>
      <c r="D149" s="24" t="s">
        <v>1524</v>
      </c>
      <c r="E149" s="24" t="s">
        <v>1525</v>
      </c>
      <c r="F149" s="24" t="s">
        <v>1526</v>
      </c>
      <c r="G149" s="24" t="s">
        <v>930</v>
      </c>
      <c r="H149" s="24" t="s">
        <v>1527</v>
      </c>
      <c r="I149" s="21" t="s">
        <v>66</v>
      </c>
      <c r="J149" s="24"/>
      <c r="K149" s="24"/>
      <c r="L149" s="22" t="s">
        <v>67</v>
      </c>
      <c r="M149" s="23"/>
    </row>
    <row r="150" spans="1:13" ht="51" x14ac:dyDescent="0.25">
      <c r="A150" s="19" t="s">
        <v>1528</v>
      </c>
      <c r="B150" s="20" t="s">
        <v>39</v>
      </c>
      <c r="C150" s="20" t="s">
        <v>898</v>
      </c>
      <c r="D150" s="20" t="s">
        <v>1529</v>
      </c>
      <c r="E150" s="20" t="s">
        <v>1530</v>
      </c>
      <c r="F150" s="20" t="s">
        <v>1531</v>
      </c>
      <c r="G150" s="20" t="s">
        <v>930</v>
      </c>
      <c r="H150" s="20" t="s">
        <v>1532</v>
      </c>
      <c r="I150" s="21" t="s">
        <v>66</v>
      </c>
      <c r="J150" s="20"/>
      <c r="K150" s="20"/>
      <c r="L150" s="22" t="s">
        <v>67</v>
      </c>
      <c r="M150" s="19"/>
    </row>
    <row r="151" spans="1:13" ht="51" x14ac:dyDescent="0.25">
      <c r="A151" s="23" t="s">
        <v>1533</v>
      </c>
      <c r="B151" s="24" t="s">
        <v>39</v>
      </c>
      <c r="C151" s="24" t="s">
        <v>898</v>
      </c>
      <c r="D151" s="24" t="s">
        <v>1534</v>
      </c>
      <c r="E151" s="24" t="s">
        <v>1535</v>
      </c>
      <c r="F151" s="24" t="s">
        <v>1536</v>
      </c>
      <c r="G151" s="24" t="s">
        <v>930</v>
      </c>
      <c r="H151" s="24" t="s">
        <v>1537</v>
      </c>
      <c r="I151" s="33" t="s">
        <v>3684</v>
      </c>
      <c r="J151" s="24"/>
      <c r="K151" s="24"/>
      <c r="L151" s="25" t="s">
        <v>95</v>
      </c>
      <c r="M151" s="23"/>
    </row>
    <row r="152" spans="1:13" ht="51" x14ac:dyDescent="0.25">
      <c r="A152" s="19" t="s">
        <v>1538</v>
      </c>
      <c r="B152" s="20" t="s">
        <v>39</v>
      </c>
      <c r="C152" s="20" t="s">
        <v>898</v>
      </c>
      <c r="D152" s="20" t="s">
        <v>1539</v>
      </c>
      <c r="E152" s="20" t="s">
        <v>1540</v>
      </c>
      <c r="F152" s="20" t="s">
        <v>1541</v>
      </c>
      <c r="G152" s="20" t="s">
        <v>1542</v>
      </c>
      <c r="H152" s="20" t="s">
        <v>1543</v>
      </c>
      <c r="I152" s="21" t="s">
        <v>66</v>
      </c>
      <c r="J152" s="20"/>
      <c r="K152" s="20"/>
      <c r="L152" s="25" t="s">
        <v>95</v>
      </c>
      <c r="M152" s="19"/>
    </row>
    <row r="153" spans="1:13" ht="51" x14ac:dyDescent="0.25">
      <c r="A153" s="23" t="s">
        <v>1544</v>
      </c>
      <c r="B153" s="24" t="s">
        <v>39</v>
      </c>
      <c r="C153" s="24" t="s">
        <v>898</v>
      </c>
      <c r="D153" s="24" t="s">
        <v>945</v>
      </c>
      <c r="E153" s="24" t="s">
        <v>1071</v>
      </c>
      <c r="F153" s="24" t="s">
        <v>1545</v>
      </c>
      <c r="G153" s="24" t="s">
        <v>902</v>
      </c>
      <c r="H153" s="24" t="s">
        <v>1073</v>
      </c>
      <c r="I153" s="21" t="s">
        <v>66</v>
      </c>
      <c r="J153" s="24"/>
      <c r="K153" s="24"/>
      <c r="L153" s="22" t="s">
        <v>67</v>
      </c>
      <c r="M153" s="23"/>
    </row>
    <row r="154" spans="1:13" ht="51" x14ac:dyDescent="0.25">
      <c r="A154" s="19" t="s">
        <v>1546</v>
      </c>
      <c r="B154" s="20" t="s">
        <v>39</v>
      </c>
      <c r="C154" s="20" t="s">
        <v>898</v>
      </c>
      <c r="D154" s="20" t="s">
        <v>1076</v>
      </c>
      <c r="E154" s="20" t="s">
        <v>1547</v>
      </c>
      <c r="F154" s="20" t="s">
        <v>1548</v>
      </c>
      <c r="G154" s="20" t="s">
        <v>1549</v>
      </c>
      <c r="H154" s="20" t="s">
        <v>1078</v>
      </c>
      <c r="I154" s="21" t="s">
        <v>66</v>
      </c>
      <c r="J154" s="20"/>
      <c r="K154" s="20"/>
      <c r="L154" s="22" t="s">
        <v>67</v>
      </c>
      <c r="M154" s="19"/>
    </row>
    <row r="155" spans="1:13" ht="51" x14ac:dyDescent="0.25">
      <c r="A155" s="23" t="s">
        <v>1550</v>
      </c>
      <c r="B155" s="24" t="s">
        <v>39</v>
      </c>
      <c r="C155" s="24" t="s">
        <v>898</v>
      </c>
      <c r="D155" s="24" t="s">
        <v>1551</v>
      </c>
      <c r="E155" s="24" t="s">
        <v>1552</v>
      </c>
      <c r="F155" s="24" t="s">
        <v>1553</v>
      </c>
      <c r="G155" s="24" t="s">
        <v>1549</v>
      </c>
      <c r="H155" s="24" t="s">
        <v>1554</v>
      </c>
      <c r="I155" s="21" t="s">
        <v>66</v>
      </c>
      <c r="J155" s="24"/>
      <c r="K155" s="24"/>
      <c r="L155" s="22" t="s">
        <v>67</v>
      </c>
      <c r="M155" s="23"/>
    </row>
    <row r="156" spans="1:13" ht="51" x14ac:dyDescent="0.25">
      <c r="A156" s="19" t="s">
        <v>1555</v>
      </c>
      <c r="B156" s="20" t="s">
        <v>39</v>
      </c>
      <c r="C156" s="20" t="s">
        <v>898</v>
      </c>
      <c r="D156" s="20" t="s">
        <v>1556</v>
      </c>
      <c r="E156" s="20" t="s">
        <v>1557</v>
      </c>
      <c r="F156" s="20" t="s">
        <v>1558</v>
      </c>
      <c r="G156" s="20" t="s">
        <v>930</v>
      </c>
      <c r="H156" s="20" t="s">
        <v>1559</v>
      </c>
      <c r="I156" s="21" t="s">
        <v>66</v>
      </c>
      <c r="J156" s="20"/>
      <c r="K156" s="20"/>
      <c r="L156" s="25" t="s">
        <v>95</v>
      </c>
      <c r="M156" s="19"/>
    </row>
    <row r="157" spans="1:13" ht="51" x14ac:dyDescent="0.25">
      <c r="A157" s="23" t="s">
        <v>1560</v>
      </c>
      <c r="B157" s="24" t="s">
        <v>39</v>
      </c>
      <c r="C157" s="24" t="s">
        <v>898</v>
      </c>
      <c r="D157" s="24" t="s">
        <v>1561</v>
      </c>
      <c r="E157" s="24" t="s">
        <v>1562</v>
      </c>
      <c r="F157" s="24" t="s">
        <v>1563</v>
      </c>
      <c r="G157" s="24" t="s">
        <v>902</v>
      </c>
      <c r="H157" s="24" t="s">
        <v>1564</v>
      </c>
      <c r="I157" s="33" t="s">
        <v>3684</v>
      </c>
      <c r="J157" s="24"/>
      <c r="K157" s="24"/>
      <c r="L157" s="25" t="s">
        <v>95</v>
      </c>
      <c r="M157" s="23"/>
    </row>
    <row r="158" spans="1:13" ht="51" x14ac:dyDescent="0.25">
      <c r="A158" s="19" t="s">
        <v>1565</v>
      </c>
      <c r="B158" s="20" t="s">
        <v>39</v>
      </c>
      <c r="C158" s="20" t="s">
        <v>898</v>
      </c>
      <c r="D158" s="20" t="s">
        <v>1566</v>
      </c>
      <c r="E158" s="20" t="s">
        <v>1285</v>
      </c>
      <c r="F158" s="20" t="s">
        <v>1567</v>
      </c>
      <c r="G158" s="20" t="s">
        <v>902</v>
      </c>
      <c r="H158" s="20" t="s">
        <v>1568</v>
      </c>
      <c r="I158" s="21" t="s">
        <v>66</v>
      </c>
      <c r="J158" s="20"/>
      <c r="K158" s="20"/>
      <c r="L158" s="27" t="s">
        <v>131</v>
      </c>
      <c r="M158" s="19"/>
    </row>
    <row r="159" spans="1:13" ht="51" x14ac:dyDescent="0.25">
      <c r="A159" s="23" t="s">
        <v>1569</v>
      </c>
      <c r="B159" s="24" t="s">
        <v>39</v>
      </c>
      <c r="C159" s="24" t="s">
        <v>898</v>
      </c>
      <c r="D159" s="24" t="s">
        <v>1570</v>
      </c>
      <c r="E159" s="24" t="s">
        <v>1571</v>
      </c>
      <c r="F159" s="24" t="s">
        <v>1572</v>
      </c>
      <c r="G159" s="24" t="s">
        <v>902</v>
      </c>
      <c r="H159" s="24" t="s">
        <v>1220</v>
      </c>
      <c r="I159" s="21" t="s">
        <v>66</v>
      </c>
      <c r="J159" s="24"/>
      <c r="K159" s="24"/>
      <c r="L159" s="22" t="s">
        <v>67</v>
      </c>
      <c r="M159" s="23"/>
    </row>
    <row r="160" spans="1:13" ht="51" x14ac:dyDescent="0.25">
      <c r="A160" s="19" t="s">
        <v>1573</v>
      </c>
      <c r="B160" s="20" t="s">
        <v>39</v>
      </c>
      <c r="C160" s="20" t="s">
        <v>898</v>
      </c>
      <c r="D160" s="20" t="s">
        <v>1574</v>
      </c>
      <c r="E160" s="20" t="s">
        <v>1575</v>
      </c>
      <c r="F160" s="20" t="s">
        <v>1576</v>
      </c>
      <c r="G160" s="20" t="s">
        <v>902</v>
      </c>
      <c r="H160" s="20" t="s">
        <v>1577</v>
      </c>
      <c r="I160" s="21" t="s">
        <v>66</v>
      </c>
      <c r="J160" s="20"/>
      <c r="K160" s="20"/>
      <c r="L160" s="27" t="s">
        <v>131</v>
      </c>
      <c r="M160" s="19"/>
    </row>
    <row r="161" spans="1:13" ht="51" x14ac:dyDescent="0.25">
      <c r="A161" s="23" t="s">
        <v>1578</v>
      </c>
      <c r="B161" s="24" t="s">
        <v>39</v>
      </c>
      <c r="C161" s="24" t="s">
        <v>898</v>
      </c>
      <c r="D161" s="24" t="s">
        <v>1579</v>
      </c>
      <c r="E161" s="24" t="s">
        <v>1580</v>
      </c>
      <c r="F161" s="24" t="s">
        <v>1581</v>
      </c>
      <c r="G161" s="24" t="s">
        <v>902</v>
      </c>
      <c r="H161" s="24" t="s">
        <v>1582</v>
      </c>
      <c r="I161" s="21" t="s">
        <v>66</v>
      </c>
      <c r="J161" s="24"/>
      <c r="K161" s="24"/>
      <c r="L161" s="27" t="s">
        <v>131</v>
      </c>
      <c r="M161" s="23"/>
    </row>
    <row r="162" spans="1:13" ht="51" x14ac:dyDescent="0.25">
      <c r="A162" s="19" t="s">
        <v>1583</v>
      </c>
      <c r="B162" s="20" t="s">
        <v>39</v>
      </c>
      <c r="C162" s="20" t="s">
        <v>898</v>
      </c>
      <c r="D162" s="20" t="s">
        <v>1584</v>
      </c>
      <c r="E162" s="20" t="s">
        <v>1585</v>
      </c>
      <c r="F162" s="20" t="s">
        <v>1586</v>
      </c>
      <c r="G162" s="20" t="s">
        <v>902</v>
      </c>
      <c r="H162" s="20" t="s">
        <v>1587</v>
      </c>
      <c r="I162" s="21" t="s">
        <v>66</v>
      </c>
      <c r="J162" s="20"/>
      <c r="K162" s="20"/>
      <c r="L162" s="25" t="s">
        <v>95</v>
      </c>
      <c r="M162" s="19"/>
    </row>
    <row r="163" spans="1:13" ht="51" x14ac:dyDescent="0.25">
      <c r="A163" s="23" t="s">
        <v>1588</v>
      </c>
      <c r="B163" s="24" t="s">
        <v>39</v>
      </c>
      <c r="C163" s="24" t="s">
        <v>898</v>
      </c>
      <c r="D163" s="24" t="s">
        <v>1589</v>
      </c>
      <c r="E163" s="24" t="s">
        <v>1590</v>
      </c>
      <c r="F163" s="24" t="s">
        <v>1591</v>
      </c>
      <c r="G163" s="24" t="s">
        <v>930</v>
      </c>
      <c r="H163" s="24" t="s">
        <v>1592</v>
      </c>
      <c r="I163" s="21" t="s">
        <v>66</v>
      </c>
      <c r="J163" s="24"/>
      <c r="K163" s="24"/>
      <c r="L163" s="27" t="s">
        <v>131</v>
      </c>
      <c r="M163" s="23"/>
    </row>
    <row r="164" spans="1:13" ht="51" x14ac:dyDescent="0.25">
      <c r="A164" s="19" t="s">
        <v>1593</v>
      </c>
      <c r="B164" s="20" t="s">
        <v>39</v>
      </c>
      <c r="C164" s="20" t="s">
        <v>898</v>
      </c>
      <c r="D164" s="20" t="s">
        <v>1594</v>
      </c>
      <c r="E164" s="20" t="s">
        <v>1595</v>
      </c>
      <c r="F164" s="20" t="s">
        <v>1596</v>
      </c>
      <c r="G164" s="20" t="s">
        <v>902</v>
      </c>
      <c r="H164" s="20" t="s">
        <v>1597</v>
      </c>
      <c r="I164" s="21" t="s">
        <v>66</v>
      </c>
      <c r="J164" s="20"/>
      <c r="K164" s="20"/>
      <c r="L164" s="25" t="s">
        <v>95</v>
      </c>
      <c r="M164" s="19"/>
    </row>
    <row r="165" spans="1:13" ht="51" x14ac:dyDescent="0.25">
      <c r="A165" s="23" t="s">
        <v>1598</v>
      </c>
      <c r="B165" s="24" t="s">
        <v>39</v>
      </c>
      <c r="C165" s="24" t="s">
        <v>840</v>
      </c>
      <c r="D165" s="24" t="s">
        <v>1599</v>
      </c>
      <c r="E165" s="24" t="s">
        <v>1600</v>
      </c>
      <c r="F165" s="24" t="s">
        <v>1601</v>
      </c>
      <c r="G165" s="24" t="s">
        <v>850</v>
      </c>
      <c r="H165" s="24" t="s">
        <v>1602</v>
      </c>
      <c r="I165" s="21" t="s">
        <v>66</v>
      </c>
      <c r="J165" s="24"/>
      <c r="K165" s="24"/>
      <c r="L165" s="26" t="s">
        <v>103</v>
      </c>
      <c r="M165" s="23"/>
    </row>
    <row r="166" spans="1:13" ht="51" x14ac:dyDescent="0.25">
      <c r="A166" s="19" t="s">
        <v>1603</v>
      </c>
      <c r="B166" s="20" t="s">
        <v>39</v>
      </c>
      <c r="C166" s="20" t="s">
        <v>840</v>
      </c>
      <c r="D166" s="20" t="s">
        <v>1604</v>
      </c>
      <c r="E166" s="20" t="s">
        <v>1605</v>
      </c>
      <c r="F166" s="20" t="s">
        <v>1606</v>
      </c>
      <c r="G166" s="20" t="s">
        <v>850</v>
      </c>
      <c r="H166" s="20" t="s">
        <v>1607</v>
      </c>
      <c r="I166" s="21" t="s">
        <v>66</v>
      </c>
      <c r="J166" s="20"/>
      <c r="K166" s="20"/>
      <c r="L166" s="22" t="s">
        <v>67</v>
      </c>
      <c r="M166" s="19"/>
    </row>
    <row r="167" spans="1:13" ht="51" x14ac:dyDescent="0.25">
      <c r="A167" s="23" t="s">
        <v>1608</v>
      </c>
      <c r="B167" s="24" t="s">
        <v>39</v>
      </c>
      <c r="C167" s="24" t="s">
        <v>840</v>
      </c>
      <c r="D167" s="24" t="s">
        <v>1609</v>
      </c>
      <c r="E167" s="24" t="s">
        <v>848</v>
      </c>
      <c r="F167" s="24" t="s">
        <v>1610</v>
      </c>
      <c r="G167" s="24" t="s">
        <v>850</v>
      </c>
      <c r="H167" s="24" t="s">
        <v>1611</v>
      </c>
      <c r="I167" s="21" t="s">
        <v>66</v>
      </c>
      <c r="J167" s="24"/>
      <c r="K167" s="24"/>
      <c r="L167" s="26" t="s">
        <v>103</v>
      </c>
      <c r="M167" s="23"/>
    </row>
    <row r="168" spans="1:13" ht="51" x14ac:dyDescent="0.25">
      <c r="A168" s="19" t="s">
        <v>1612</v>
      </c>
      <c r="B168" s="20" t="s">
        <v>39</v>
      </c>
      <c r="C168" s="20" t="s">
        <v>840</v>
      </c>
      <c r="D168" s="20" t="s">
        <v>1613</v>
      </c>
      <c r="E168" s="20" t="s">
        <v>854</v>
      </c>
      <c r="F168" s="20" t="s">
        <v>1614</v>
      </c>
      <c r="G168" s="20" t="s">
        <v>850</v>
      </c>
      <c r="H168" s="20" t="s">
        <v>1615</v>
      </c>
      <c r="I168" s="21" t="s">
        <v>66</v>
      </c>
      <c r="J168" s="20"/>
      <c r="K168" s="20"/>
      <c r="L168" s="26" t="s">
        <v>103</v>
      </c>
      <c r="M168" s="19"/>
    </row>
    <row r="169" spans="1:13" ht="51" x14ac:dyDescent="0.25">
      <c r="A169" s="23" t="s">
        <v>1616</v>
      </c>
      <c r="B169" s="24" t="s">
        <v>39</v>
      </c>
      <c r="C169" s="24" t="s">
        <v>840</v>
      </c>
      <c r="D169" s="24" t="s">
        <v>1617</v>
      </c>
      <c r="E169" s="24" t="s">
        <v>859</v>
      </c>
      <c r="F169" s="24" t="s">
        <v>1618</v>
      </c>
      <c r="G169" s="24" t="s">
        <v>850</v>
      </c>
      <c r="H169" s="24" t="s">
        <v>1619</v>
      </c>
      <c r="I169" s="21" t="s">
        <v>66</v>
      </c>
      <c r="J169" s="24"/>
      <c r="K169" s="24"/>
      <c r="L169" s="26" t="s">
        <v>103</v>
      </c>
      <c r="M169" s="23"/>
    </row>
    <row r="170" spans="1:13" ht="51" x14ac:dyDescent="0.25">
      <c r="A170" s="19" t="s">
        <v>1620</v>
      </c>
      <c r="B170" s="20" t="s">
        <v>39</v>
      </c>
      <c r="C170" s="20" t="s">
        <v>840</v>
      </c>
      <c r="D170" s="20" t="s">
        <v>1621</v>
      </c>
      <c r="E170" s="20" t="s">
        <v>864</v>
      </c>
      <c r="F170" s="20" t="s">
        <v>1622</v>
      </c>
      <c r="G170" s="20" t="s">
        <v>850</v>
      </c>
      <c r="H170" s="20" t="s">
        <v>1623</v>
      </c>
      <c r="I170" s="21" t="s">
        <v>66</v>
      </c>
      <c r="J170" s="20"/>
      <c r="K170" s="20"/>
      <c r="L170" s="26" t="s">
        <v>103</v>
      </c>
      <c r="M170" s="19"/>
    </row>
    <row r="171" spans="1:13" ht="51" x14ac:dyDescent="0.25">
      <c r="A171" s="23" t="s">
        <v>1624</v>
      </c>
      <c r="B171" s="24" t="s">
        <v>39</v>
      </c>
      <c r="C171" s="24" t="s">
        <v>840</v>
      </c>
      <c r="D171" s="24" t="s">
        <v>1625</v>
      </c>
      <c r="E171" s="24" t="s">
        <v>1626</v>
      </c>
      <c r="F171" s="24" t="s">
        <v>1627</v>
      </c>
      <c r="G171" s="24" t="s">
        <v>850</v>
      </c>
      <c r="H171" s="24" t="s">
        <v>1628</v>
      </c>
      <c r="I171" s="21" t="s">
        <v>66</v>
      </c>
      <c r="J171" s="24"/>
      <c r="K171" s="24"/>
      <c r="L171" s="25" t="s">
        <v>95</v>
      </c>
      <c r="M171" s="23"/>
    </row>
    <row r="172" spans="1:13" ht="51" x14ac:dyDescent="0.25">
      <c r="A172" s="19" t="s">
        <v>1629</v>
      </c>
      <c r="B172" s="20" t="s">
        <v>39</v>
      </c>
      <c r="C172" s="20" t="s">
        <v>840</v>
      </c>
      <c r="D172" s="20" t="s">
        <v>1183</v>
      </c>
      <c r="E172" s="20" t="s">
        <v>1630</v>
      </c>
      <c r="F172" s="20" t="s">
        <v>1631</v>
      </c>
      <c r="G172" s="20" t="s">
        <v>1186</v>
      </c>
      <c r="H172" s="20" t="s">
        <v>1632</v>
      </c>
      <c r="I172" s="21" t="s">
        <v>66</v>
      </c>
      <c r="J172" s="20"/>
      <c r="K172" s="20"/>
      <c r="L172" s="22" t="s">
        <v>67</v>
      </c>
      <c r="M172" s="19"/>
    </row>
    <row r="173" spans="1:13" ht="51" x14ac:dyDescent="0.25">
      <c r="A173" s="23" t="s">
        <v>1633</v>
      </c>
      <c r="B173" s="24" t="s">
        <v>39</v>
      </c>
      <c r="C173" s="24" t="s">
        <v>840</v>
      </c>
      <c r="D173" s="24" t="s">
        <v>1634</v>
      </c>
      <c r="E173" s="24" t="s">
        <v>1635</v>
      </c>
      <c r="F173" s="24" t="s">
        <v>1636</v>
      </c>
      <c r="G173" s="24" t="s">
        <v>850</v>
      </c>
      <c r="H173" s="24" t="s">
        <v>1637</v>
      </c>
      <c r="I173" s="21" t="s">
        <v>66</v>
      </c>
      <c r="J173" s="24"/>
      <c r="K173" s="24"/>
      <c r="L173" s="26" t="s">
        <v>103</v>
      </c>
      <c r="M173" s="23"/>
    </row>
    <row r="174" spans="1:13" ht="51" x14ac:dyDescent="0.25">
      <c r="A174" s="19" t="s">
        <v>1638</v>
      </c>
      <c r="B174" s="20" t="s">
        <v>39</v>
      </c>
      <c r="C174" s="20" t="s">
        <v>840</v>
      </c>
      <c r="D174" s="20" t="s">
        <v>1639</v>
      </c>
      <c r="E174" s="20" t="s">
        <v>1640</v>
      </c>
      <c r="F174" s="20" t="s">
        <v>1641</v>
      </c>
      <c r="G174" s="20" t="s">
        <v>850</v>
      </c>
      <c r="H174" s="20" t="s">
        <v>1642</v>
      </c>
      <c r="I174" s="21" t="s">
        <v>66</v>
      </c>
      <c r="J174" s="20"/>
      <c r="K174" s="20"/>
      <c r="L174" s="22" t="s">
        <v>67</v>
      </c>
      <c r="M174" s="19"/>
    </row>
    <row r="175" spans="1:13" ht="51" x14ac:dyDescent="0.25">
      <c r="A175" s="23" t="s">
        <v>1643</v>
      </c>
      <c r="B175" s="24" t="s">
        <v>39</v>
      </c>
      <c r="C175" s="24" t="s">
        <v>840</v>
      </c>
      <c r="D175" s="24" t="s">
        <v>1644</v>
      </c>
      <c r="E175" s="24" t="s">
        <v>1119</v>
      </c>
      <c r="F175" s="24" t="s">
        <v>1645</v>
      </c>
      <c r="G175" s="24" t="s">
        <v>850</v>
      </c>
      <c r="H175" s="24" t="s">
        <v>1122</v>
      </c>
      <c r="I175" s="21" t="s">
        <v>66</v>
      </c>
      <c r="J175" s="24"/>
      <c r="K175" s="24"/>
      <c r="L175" s="25" t="s">
        <v>95</v>
      </c>
      <c r="M175" s="23"/>
    </row>
    <row r="176" spans="1:13" ht="51" x14ac:dyDescent="0.25">
      <c r="A176" s="19" t="s">
        <v>1646</v>
      </c>
      <c r="B176" s="20" t="s">
        <v>39</v>
      </c>
      <c r="C176" s="20" t="s">
        <v>840</v>
      </c>
      <c r="D176" s="20" t="s">
        <v>1200</v>
      </c>
      <c r="E176" s="20" t="s">
        <v>1201</v>
      </c>
      <c r="F176" s="20" t="s">
        <v>1647</v>
      </c>
      <c r="G176" s="20" t="s">
        <v>850</v>
      </c>
      <c r="H176" s="20" t="s">
        <v>1648</v>
      </c>
      <c r="I176" s="21" t="s">
        <v>66</v>
      </c>
      <c r="J176" s="20"/>
      <c r="K176" s="20"/>
      <c r="L176" s="25" t="s">
        <v>95</v>
      </c>
      <c r="M176" s="19"/>
    </row>
    <row r="177" spans="1:13" ht="51" x14ac:dyDescent="0.25">
      <c r="A177" s="23" t="s">
        <v>1649</v>
      </c>
      <c r="B177" s="24" t="s">
        <v>39</v>
      </c>
      <c r="C177" s="24" t="s">
        <v>840</v>
      </c>
      <c r="D177" s="24" t="s">
        <v>1650</v>
      </c>
      <c r="E177" s="24" t="s">
        <v>869</v>
      </c>
      <c r="F177" s="24" t="s">
        <v>1651</v>
      </c>
      <c r="G177" s="24" t="s">
        <v>850</v>
      </c>
      <c r="H177" s="24" t="s">
        <v>1652</v>
      </c>
      <c r="I177" s="21" t="s">
        <v>66</v>
      </c>
      <c r="J177" s="24"/>
      <c r="K177" s="24"/>
      <c r="L177" s="22" t="s">
        <v>67</v>
      </c>
      <c r="M177" s="23"/>
    </row>
    <row r="178" spans="1:13" ht="51" x14ac:dyDescent="0.25">
      <c r="A178" s="19" t="s">
        <v>1653</v>
      </c>
      <c r="B178" s="20" t="s">
        <v>39</v>
      </c>
      <c r="C178" s="20" t="s">
        <v>840</v>
      </c>
      <c r="D178" s="20" t="s">
        <v>1654</v>
      </c>
      <c r="E178" s="20" t="s">
        <v>874</v>
      </c>
      <c r="F178" s="20" t="s">
        <v>1655</v>
      </c>
      <c r="G178" s="20" t="s">
        <v>850</v>
      </c>
      <c r="H178" s="20" t="s">
        <v>1656</v>
      </c>
      <c r="I178" s="21" t="s">
        <v>66</v>
      </c>
      <c r="J178" s="20"/>
      <c r="K178" s="20"/>
      <c r="L178" s="22" t="s">
        <v>67</v>
      </c>
      <c r="M178" s="19"/>
    </row>
    <row r="179" spans="1:13" ht="51" x14ac:dyDescent="0.25">
      <c r="A179" s="23" t="s">
        <v>1657</v>
      </c>
      <c r="B179" s="24" t="s">
        <v>39</v>
      </c>
      <c r="C179" s="24" t="s">
        <v>840</v>
      </c>
      <c r="D179" s="24" t="s">
        <v>1658</v>
      </c>
      <c r="E179" s="24" t="s">
        <v>1659</v>
      </c>
      <c r="F179" s="24" t="s">
        <v>1660</v>
      </c>
      <c r="G179" s="24" t="s">
        <v>850</v>
      </c>
      <c r="H179" s="24" t="s">
        <v>1661</v>
      </c>
      <c r="I179" s="21" t="s">
        <v>66</v>
      </c>
      <c r="J179" s="24"/>
      <c r="K179" s="24"/>
      <c r="L179" s="22" t="s">
        <v>67</v>
      </c>
      <c r="M179" s="23"/>
    </row>
    <row r="180" spans="1:13" ht="51" x14ac:dyDescent="0.25">
      <c r="A180" s="19" t="s">
        <v>1662</v>
      </c>
      <c r="B180" s="20" t="s">
        <v>39</v>
      </c>
      <c r="C180" s="20" t="s">
        <v>840</v>
      </c>
      <c r="D180" s="20" t="s">
        <v>879</v>
      </c>
      <c r="E180" s="20" t="s">
        <v>879</v>
      </c>
      <c r="F180" s="20" t="s">
        <v>1663</v>
      </c>
      <c r="G180" s="20" t="s">
        <v>850</v>
      </c>
      <c r="H180" s="20" t="s">
        <v>1664</v>
      </c>
      <c r="I180" s="21" t="s">
        <v>66</v>
      </c>
      <c r="J180" s="20"/>
      <c r="K180" s="20"/>
      <c r="L180" s="22" t="s">
        <v>67</v>
      </c>
      <c r="M180" s="19"/>
    </row>
    <row r="181" spans="1:13" ht="51" x14ac:dyDescent="0.25">
      <c r="A181" s="23" t="s">
        <v>1665</v>
      </c>
      <c r="B181" s="24" t="s">
        <v>39</v>
      </c>
      <c r="C181" s="24" t="s">
        <v>840</v>
      </c>
      <c r="D181" s="24" t="s">
        <v>884</v>
      </c>
      <c r="E181" s="24" t="s">
        <v>1666</v>
      </c>
      <c r="F181" s="24" t="s">
        <v>1667</v>
      </c>
      <c r="G181" s="24" t="s">
        <v>850</v>
      </c>
      <c r="H181" s="24" t="s">
        <v>1668</v>
      </c>
      <c r="I181" s="21" t="s">
        <v>66</v>
      </c>
      <c r="J181" s="24"/>
      <c r="K181" s="24"/>
      <c r="L181" s="22" t="s">
        <v>67</v>
      </c>
      <c r="M181" s="23"/>
    </row>
    <row r="182" spans="1:13" ht="51" x14ac:dyDescent="0.25">
      <c r="A182" s="19" t="s">
        <v>1669</v>
      </c>
      <c r="B182" s="20" t="s">
        <v>39</v>
      </c>
      <c r="C182" s="20" t="s">
        <v>840</v>
      </c>
      <c r="D182" s="20" t="s">
        <v>889</v>
      </c>
      <c r="E182" s="20" t="s">
        <v>889</v>
      </c>
      <c r="F182" s="20" t="s">
        <v>1670</v>
      </c>
      <c r="G182" s="20" t="s">
        <v>850</v>
      </c>
      <c r="H182" s="20" t="s">
        <v>1671</v>
      </c>
      <c r="I182" s="21" t="s">
        <v>66</v>
      </c>
      <c r="J182" s="20"/>
      <c r="K182" s="20"/>
      <c r="L182" s="26" t="s">
        <v>103</v>
      </c>
      <c r="M182" s="19"/>
    </row>
    <row r="183" spans="1:13" ht="51" x14ac:dyDescent="0.25">
      <c r="A183" s="23" t="s">
        <v>1672</v>
      </c>
      <c r="B183" s="24" t="s">
        <v>39</v>
      </c>
      <c r="C183" s="24" t="s">
        <v>840</v>
      </c>
      <c r="D183" s="24" t="s">
        <v>1673</v>
      </c>
      <c r="E183" s="24" t="s">
        <v>1674</v>
      </c>
      <c r="F183" s="24" t="s">
        <v>1675</v>
      </c>
      <c r="G183" s="24" t="s">
        <v>850</v>
      </c>
      <c r="H183" s="24" t="s">
        <v>1676</v>
      </c>
      <c r="I183" s="21" t="s">
        <v>66</v>
      </c>
      <c r="J183" s="24"/>
      <c r="K183" s="24"/>
      <c r="L183" s="25" t="s">
        <v>95</v>
      </c>
      <c r="M183" s="23"/>
    </row>
    <row r="184" spans="1:13" ht="51" x14ac:dyDescent="0.25">
      <c r="A184" s="19" t="s">
        <v>1677</v>
      </c>
      <c r="B184" s="20" t="s">
        <v>39</v>
      </c>
      <c r="C184" s="20" t="s">
        <v>840</v>
      </c>
      <c r="D184" s="20" t="s">
        <v>1192</v>
      </c>
      <c r="E184" s="20" t="s">
        <v>1193</v>
      </c>
      <c r="F184" s="20" t="s">
        <v>1678</v>
      </c>
      <c r="G184" s="20" t="s">
        <v>828</v>
      </c>
      <c r="H184" s="20" t="s">
        <v>1679</v>
      </c>
      <c r="I184" s="21" t="s">
        <v>66</v>
      </c>
      <c r="J184" s="20"/>
      <c r="K184" s="20"/>
      <c r="L184" s="22" t="s">
        <v>67</v>
      </c>
      <c r="M184" s="19"/>
    </row>
    <row r="185" spans="1:13" ht="51" x14ac:dyDescent="0.25">
      <c r="A185" s="23" t="s">
        <v>1680</v>
      </c>
      <c r="B185" s="24" t="s">
        <v>39</v>
      </c>
      <c r="C185" s="24" t="s">
        <v>840</v>
      </c>
      <c r="D185" s="24" t="s">
        <v>1681</v>
      </c>
      <c r="E185" s="24" t="s">
        <v>1682</v>
      </c>
      <c r="F185" s="24" t="s">
        <v>1683</v>
      </c>
      <c r="G185" s="24" t="s">
        <v>828</v>
      </c>
      <c r="H185" s="24" t="s">
        <v>1684</v>
      </c>
      <c r="I185" s="21" t="s">
        <v>66</v>
      </c>
      <c r="J185" s="24"/>
      <c r="K185" s="24"/>
      <c r="L185" s="22" t="s">
        <v>67</v>
      </c>
      <c r="M185" s="23"/>
    </row>
    <row r="186" spans="1:13" ht="51" x14ac:dyDescent="0.25">
      <c r="A186" s="19" t="s">
        <v>1685</v>
      </c>
      <c r="B186" s="20" t="s">
        <v>39</v>
      </c>
      <c r="C186" s="20" t="s">
        <v>840</v>
      </c>
      <c r="D186" s="20" t="s">
        <v>1686</v>
      </c>
      <c r="E186" s="20" t="s">
        <v>1687</v>
      </c>
      <c r="F186" s="20" t="s">
        <v>1688</v>
      </c>
      <c r="G186" s="20" t="s">
        <v>828</v>
      </c>
      <c r="H186" s="20" t="s">
        <v>1689</v>
      </c>
      <c r="I186" s="21" t="s">
        <v>66</v>
      </c>
      <c r="J186" s="20"/>
      <c r="K186" s="20"/>
      <c r="L186" s="22" t="s">
        <v>67</v>
      </c>
      <c r="M186" s="19"/>
    </row>
    <row r="187" spans="1:13" ht="51" x14ac:dyDescent="0.25">
      <c r="A187" s="23" t="s">
        <v>1690</v>
      </c>
      <c r="B187" s="24" t="s">
        <v>39</v>
      </c>
      <c r="C187" s="24" t="s">
        <v>840</v>
      </c>
      <c r="D187" s="24" t="s">
        <v>1691</v>
      </c>
      <c r="E187" s="24" t="s">
        <v>1692</v>
      </c>
      <c r="F187" s="24" t="s">
        <v>1693</v>
      </c>
      <c r="G187" s="24" t="s">
        <v>902</v>
      </c>
      <c r="H187" s="24" t="s">
        <v>1694</v>
      </c>
      <c r="I187" s="21" t="s">
        <v>66</v>
      </c>
      <c r="J187" s="24"/>
      <c r="K187" s="24"/>
      <c r="L187" s="25" t="s">
        <v>95</v>
      </c>
      <c r="M187" s="23"/>
    </row>
    <row r="188" spans="1:13" ht="51" x14ac:dyDescent="0.25">
      <c r="A188" s="19" t="s">
        <v>1695</v>
      </c>
      <c r="B188" s="20" t="s">
        <v>39</v>
      </c>
      <c r="C188" s="20" t="s">
        <v>840</v>
      </c>
      <c r="D188" s="20" t="s">
        <v>1696</v>
      </c>
      <c r="E188" s="20" t="s">
        <v>1697</v>
      </c>
      <c r="F188" s="20" t="s">
        <v>1698</v>
      </c>
      <c r="G188" s="20" t="s">
        <v>850</v>
      </c>
      <c r="H188" s="20" t="s">
        <v>1699</v>
      </c>
      <c r="I188" s="19"/>
      <c r="J188" s="20"/>
      <c r="K188" s="20"/>
      <c r="L188" s="25" t="s">
        <v>95</v>
      </c>
      <c r="M188" s="19"/>
    </row>
    <row r="189" spans="1:13" ht="51" x14ac:dyDescent="0.25">
      <c r="A189" s="23" t="s">
        <v>1700</v>
      </c>
      <c r="B189" s="24" t="s">
        <v>39</v>
      </c>
      <c r="C189" s="24" t="s">
        <v>840</v>
      </c>
      <c r="D189" s="24" t="s">
        <v>1701</v>
      </c>
      <c r="E189" s="24" t="s">
        <v>1702</v>
      </c>
      <c r="F189" s="24" t="s">
        <v>1703</v>
      </c>
      <c r="G189" s="24" t="s">
        <v>850</v>
      </c>
      <c r="H189" s="24" t="s">
        <v>1704</v>
      </c>
      <c r="I189" s="33" t="s">
        <v>3684</v>
      </c>
      <c r="J189" s="24"/>
      <c r="K189" s="24"/>
      <c r="L189" s="25" t="s">
        <v>95</v>
      </c>
      <c r="M189" s="23"/>
    </row>
    <row r="190" spans="1:13" ht="51" x14ac:dyDescent="0.25">
      <c r="A190" s="19" t="s">
        <v>1705</v>
      </c>
      <c r="B190" s="20" t="s">
        <v>39</v>
      </c>
      <c r="C190" s="20" t="s">
        <v>840</v>
      </c>
      <c r="D190" s="20" t="s">
        <v>1706</v>
      </c>
      <c r="E190" s="20" t="s">
        <v>1707</v>
      </c>
      <c r="F190" s="20" t="s">
        <v>1708</v>
      </c>
      <c r="G190" s="20" t="s">
        <v>850</v>
      </c>
      <c r="H190" s="20" t="s">
        <v>1709</v>
      </c>
      <c r="I190" s="33" t="s">
        <v>3684</v>
      </c>
      <c r="J190" s="20"/>
      <c r="K190" s="20"/>
      <c r="L190" s="27" t="s">
        <v>131</v>
      </c>
      <c r="M190" s="19"/>
    </row>
    <row r="191" spans="1:13" ht="51" x14ac:dyDescent="0.25">
      <c r="A191" s="23" t="s">
        <v>1710</v>
      </c>
      <c r="B191" s="24" t="s">
        <v>39</v>
      </c>
      <c r="C191" s="24" t="s">
        <v>97</v>
      </c>
      <c r="D191" s="24" t="s">
        <v>106</v>
      </c>
      <c r="E191" s="24" t="s">
        <v>1711</v>
      </c>
      <c r="F191" s="24" t="s">
        <v>1712</v>
      </c>
      <c r="G191" s="24" t="s">
        <v>952</v>
      </c>
      <c r="H191" s="24" t="s">
        <v>1713</v>
      </c>
      <c r="I191" s="23"/>
      <c r="J191" s="24"/>
      <c r="K191" s="24"/>
      <c r="L191" s="26" t="s">
        <v>103</v>
      </c>
      <c r="M191" s="23"/>
    </row>
    <row r="192" spans="1:13" ht="51" x14ac:dyDescent="0.25">
      <c r="A192" s="19" t="s">
        <v>1714</v>
      </c>
      <c r="B192" s="20" t="s">
        <v>39</v>
      </c>
      <c r="C192" s="20" t="s">
        <v>97</v>
      </c>
      <c r="D192" s="20" t="s">
        <v>1715</v>
      </c>
      <c r="E192" s="20" t="s">
        <v>123</v>
      </c>
      <c r="F192" s="20" t="s">
        <v>1716</v>
      </c>
      <c r="G192" s="20" t="s">
        <v>1717</v>
      </c>
      <c r="H192" s="20" t="s">
        <v>1718</v>
      </c>
      <c r="I192" s="21" t="s">
        <v>66</v>
      </c>
      <c r="J192" s="20"/>
      <c r="K192" s="20"/>
      <c r="L192" s="26" t="s">
        <v>103</v>
      </c>
      <c r="M192" s="19"/>
    </row>
    <row r="193" spans="1:13" ht="51" x14ac:dyDescent="0.25">
      <c r="A193" s="23" t="s">
        <v>1719</v>
      </c>
      <c r="B193" s="24" t="s">
        <v>39</v>
      </c>
      <c r="C193" s="24" t="s">
        <v>97</v>
      </c>
      <c r="D193" s="24" t="s">
        <v>1720</v>
      </c>
      <c r="E193" s="24" t="s">
        <v>1721</v>
      </c>
      <c r="F193" s="24" t="s">
        <v>1722</v>
      </c>
      <c r="G193" s="24" t="s">
        <v>952</v>
      </c>
      <c r="H193" s="24" t="s">
        <v>1723</v>
      </c>
      <c r="I193" s="21" t="s">
        <v>66</v>
      </c>
      <c r="J193" s="24"/>
      <c r="K193" s="24"/>
      <c r="L193" s="22" t="s">
        <v>67</v>
      </c>
      <c r="M193" s="23"/>
    </row>
    <row r="194" spans="1:13" ht="51" x14ac:dyDescent="0.25">
      <c r="A194" s="19" t="s">
        <v>1724</v>
      </c>
      <c r="B194" s="20" t="s">
        <v>39</v>
      </c>
      <c r="C194" s="20" t="s">
        <v>97</v>
      </c>
      <c r="D194" s="20" t="s">
        <v>1725</v>
      </c>
      <c r="E194" s="20" t="s">
        <v>1726</v>
      </c>
      <c r="F194" s="20" t="s">
        <v>1727</v>
      </c>
      <c r="G194" s="20" t="s">
        <v>952</v>
      </c>
      <c r="H194" s="20" t="s">
        <v>1728</v>
      </c>
      <c r="I194" s="21" t="s">
        <v>66</v>
      </c>
      <c r="J194" s="20"/>
      <c r="K194" s="20"/>
      <c r="L194" s="22" t="s">
        <v>67</v>
      </c>
      <c r="M194" s="19"/>
    </row>
    <row r="195" spans="1:13" ht="51" x14ac:dyDescent="0.25">
      <c r="A195" s="23" t="s">
        <v>1729</v>
      </c>
      <c r="B195" s="24" t="s">
        <v>39</v>
      </c>
      <c r="C195" s="24" t="s">
        <v>97</v>
      </c>
      <c r="D195" s="24" t="s">
        <v>1730</v>
      </c>
      <c r="E195" s="24" t="s">
        <v>1731</v>
      </c>
      <c r="F195" s="24" t="s">
        <v>1732</v>
      </c>
      <c r="G195" s="24" t="s">
        <v>952</v>
      </c>
      <c r="H195" s="24" t="s">
        <v>1733</v>
      </c>
      <c r="I195" s="21" t="s">
        <v>66</v>
      </c>
      <c r="J195" s="24"/>
      <c r="K195" s="24"/>
      <c r="L195" s="25" t="s">
        <v>95</v>
      </c>
      <c r="M195" s="23"/>
    </row>
    <row r="196" spans="1:13" ht="51" x14ac:dyDescent="0.25">
      <c r="A196" s="19" t="s">
        <v>1734</v>
      </c>
      <c r="B196" s="20" t="s">
        <v>39</v>
      </c>
      <c r="C196" s="20" t="s">
        <v>97</v>
      </c>
      <c r="D196" s="20" t="s">
        <v>308</v>
      </c>
      <c r="E196" s="20" t="s">
        <v>308</v>
      </c>
      <c r="F196" s="20" t="s">
        <v>1735</v>
      </c>
      <c r="G196" s="20" t="s">
        <v>952</v>
      </c>
      <c r="H196" s="20" t="s">
        <v>1736</v>
      </c>
      <c r="I196" s="21" t="s">
        <v>66</v>
      </c>
      <c r="J196" s="20"/>
      <c r="K196" s="20"/>
      <c r="L196" s="25" t="s">
        <v>95</v>
      </c>
      <c r="M196" s="19"/>
    </row>
    <row r="197" spans="1:13" ht="51" x14ac:dyDescent="0.25">
      <c r="A197" s="23" t="s">
        <v>1737</v>
      </c>
      <c r="B197" s="24" t="s">
        <v>39</v>
      </c>
      <c r="C197" s="24" t="s">
        <v>97</v>
      </c>
      <c r="D197" s="24" t="s">
        <v>969</v>
      </c>
      <c r="E197" s="24" t="s">
        <v>969</v>
      </c>
      <c r="F197" s="24" t="s">
        <v>1738</v>
      </c>
      <c r="G197" s="24" t="s">
        <v>1717</v>
      </c>
      <c r="H197" s="24" t="s">
        <v>1739</v>
      </c>
      <c r="I197" s="21" t="s">
        <v>66</v>
      </c>
      <c r="J197" s="24"/>
      <c r="K197" s="24"/>
      <c r="L197" s="22" t="s">
        <v>67</v>
      </c>
      <c r="M197" s="23"/>
    </row>
    <row r="198" spans="1:13" ht="51" x14ac:dyDescent="0.25">
      <c r="A198" s="19" t="s">
        <v>1740</v>
      </c>
      <c r="B198" s="20" t="s">
        <v>39</v>
      </c>
      <c r="C198" s="20" t="s">
        <v>97</v>
      </c>
      <c r="D198" s="20" t="s">
        <v>1741</v>
      </c>
      <c r="E198" s="20" t="s">
        <v>1095</v>
      </c>
      <c r="F198" s="20" t="s">
        <v>1742</v>
      </c>
      <c r="G198" s="20" t="s">
        <v>1717</v>
      </c>
      <c r="H198" s="20" t="s">
        <v>1743</v>
      </c>
      <c r="I198" s="19"/>
      <c r="J198" s="20"/>
      <c r="K198" s="20"/>
      <c r="L198" s="22" t="s">
        <v>67</v>
      </c>
      <c r="M198" s="19"/>
    </row>
    <row r="199" spans="1:13" ht="51" x14ac:dyDescent="0.25">
      <c r="A199" s="23" t="s">
        <v>1744</v>
      </c>
      <c r="B199" s="24" t="s">
        <v>39</v>
      </c>
      <c r="C199" s="24" t="s">
        <v>97</v>
      </c>
      <c r="D199" s="24" t="s">
        <v>979</v>
      </c>
      <c r="E199" s="24" t="s">
        <v>1099</v>
      </c>
      <c r="F199" s="24" t="s">
        <v>1745</v>
      </c>
      <c r="G199" s="24" t="s">
        <v>952</v>
      </c>
      <c r="H199" s="24" t="s">
        <v>1746</v>
      </c>
      <c r="I199" s="33" t="s">
        <v>3684</v>
      </c>
      <c r="J199" s="24"/>
      <c r="K199" s="24"/>
      <c r="L199" s="22" t="s">
        <v>67</v>
      </c>
      <c r="M199" s="23"/>
    </row>
    <row r="200" spans="1:13" ht="63.75" x14ac:dyDescent="0.25">
      <c r="A200" s="19" t="s">
        <v>1747</v>
      </c>
      <c r="B200" s="20" t="s">
        <v>39</v>
      </c>
      <c r="C200" s="20" t="s">
        <v>97</v>
      </c>
      <c r="D200" s="20" t="s">
        <v>974</v>
      </c>
      <c r="E200" s="20" t="s">
        <v>1748</v>
      </c>
      <c r="F200" s="20" t="s">
        <v>1749</v>
      </c>
      <c r="G200" s="20" t="s">
        <v>1717</v>
      </c>
      <c r="H200" s="20" t="s">
        <v>1750</v>
      </c>
      <c r="I200" s="33" t="s">
        <v>3684</v>
      </c>
      <c r="J200" s="20"/>
      <c r="K200" s="20"/>
      <c r="L200" s="22" t="s">
        <v>67</v>
      </c>
      <c r="M200" s="19"/>
    </row>
    <row r="201" spans="1:13" ht="51" x14ac:dyDescent="0.25">
      <c r="A201" s="23" t="s">
        <v>1751</v>
      </c>
      <c r="B201" s="24" t="s">
        <v>39</v>
      </c>
      <c r="C201" s="24" t="s">
        <v>97</v>
      </c>
      <c r="D201" s="24" t="s">
        <v>1103</v>
      </c>
      <c r="E201" s="24" t="s">
        <v>1104</v>
      </c>
      <c r="F201" s="24" t="s">
        <v>1752</v>
      </c>
      <c r="G201" s="24" t="s">
        <v>1717</v>
      </c>
      <c r="H201" s="24" t="s">
        <v>1106</v>
      </c>
      <c r="I201" s="33" t="s">
        <v>3684</v>
      </c>
      <c r="J201" s="24"/>
      <c r="K201" s="24"/>
      <c r="L201" s="25" t="s">
        <v>95</v>
      </c>
      <c r="M201" s="23"/>
    </row>
    <row r="202" spans="1:13" ht="51" x14ac:dyDescent="0.25">
      <c r="A202" s="19" t="s">
        <v>1753</v>
      </c>
      <c r="B202" s="20" t="s">
        <v>39</v>
      </c>
      <c r="C202" s="20" t="s">
        <v>97</v>
      </c>
      <c r="D202" s="20" t="s">
        <v>1108</v>
      </c>
      <c r="E202" s="20" t="s">
        <v>1109</v>
      </c>
      <c r="F202" s="20" t="s">
        <v>1754</v>
      </c>
      <c r="G202" s="20" t="s">
        <v>1717</v>
      </c>
      <c r="H202" s="20" t="s">
        <v>1111</v>
      </c>
      <c r="I202" s="33" t="s">
        <v>3684</v>
      </c>
      <c r="J202" s="20"/>
      <c r="K202" s="20"/>
      <c r="L202" s="25" t="s">
        <v>95</v>
      </c>
      <c r="M202" s="19"/>
    </row>
    <row r="203" spans="1:13" ht="51" x14ac:dyDescent="0.25">
      <c r="A203" s="23" t="s">
        <v>1755</v>
      </c>
      <c r="B203" s="24" t="s">
        <v>39</v>
      </c>
      <c r="C203" s="24" t="s">
        <v>97</v>
      </c>
      <c r="D203" s="24" t="s">
        <v>1756</v>
      </c>
      <c r="E203" s="24" t="s">
        <v>315</v>
      </c>
      <c r="F203" s="24" t="s">
        <v>1757</v>
      </c>
      <c r="G203" s="24" t="s">
        <v>1717</v>
      </c>
      <c r="H203" s="24" t="s">
        <v>1758</v>
      </c>
      <c r="I203" s="21" t="s">
        <v>66</v>
      </c>
      <c r="J203" s="24"/>
      <c r="K203" s="24"/>
      <c r="L203" s="22" t="s">
        <v>67</v>
      </c>
      <c r="M203" s="23"/>
    </row>
    <row r="204" spans="1:13" ht="51" x14ac:dyDescent="0.25">
      <c r="A204" s="19" t="s">
        <v>1759</v>
      </c>
      <c r="B204" s="20" t="s">
        <v>39</v>
      </c>
      <c r="C204" s="20" t="s">
        <v>97</v>
      </c>
      <c r="D204" s="20" t="s">
        <v>1113</v>
      </c>
      <c r="E204" s="20" t="s">
        <v>1760</v>
      </c>
      <c r="F204" s="20" t="s">
        <v>1761</v>
      </c>
      <c r="G204" s="20" t="s">
        <v>1291</v>
      </c>
      <c r="H204" s="20" t="s">
        <v>1117</v>
      </c>
      <c r="I204" s="33" t="s">
        <v>3684</v>
      </c>
      <c r="J204" s="20"/>
      <c r="K204" s="20"/>
      <c r="L204" s="25" t="s">
        <v>95</v>
      </c>
      <c r="M204" s="19"/>
    </row>
    <row r="205" spans="1:13" ht="51" x14ac:dyDescent="0.25">
      <c r="A205" s="23" t="s">
        <v>1762</v>
      </c>
      <c r="B205" s="24" t="s">
        <v>39</v>
      </c>
      <c r="C205" s="24" t="s">
        <v>97</v>
      </c>
      <c r="D205" s="24" t="s">
        <v>964</v>
      </c>
      <c r="E205" s="24" t="s">
        <v>1763</v>
      </c>
      <c r="F205" s="24" t="s">
        <v>1764</v>
      </c>
      <c r="G205" s="24" t="s">
        <v>1180</v>
      </c>
      <c r="H205" s="24" t="s">
        <v>1765</v>
      </c>
      <c r="I205" s="33" t="s">
        <v>3684</v>
      </c>
      <c r="J205" s="24"/>
      <c r="K205" s="24"/>
      <c r="L205" s="22" t="s">
        <v>67</v>
      </c>
      <c r="M205" s="23"/>
    </row>
    <row r="206" spans="1:13" ht="51" x14ac:dyDescent="0.25">
      <c r="A206" s="19" t="s">
        <v>1766</v>
      </c>
      <c r="B206" s="20" t="s">
        <v>39</v>
      </c>
      <c r="C206" s="20" t="s">
        <v>97</v>
      </c>
      <c r="D206" s="20" t="s">
        <v>1767</v>
      </c>
      <c r="E206" s="20" t="s">
        <v>1262</v>
      </c>
      <c r="F206" s="20" t="s">
        <v>1768</v>
      </c>
      <c r="G206" s="20" t="s">
        <v>1180</v>
      </c>
      <c r="H206" s="20" t="s">
        <v>1769</v>
      </c>
      <c r="I206" s="21" t="s">
        <v>66</v>
      </c>
      <c r="J206" s="20"/>
      <c r="K206" s="20"/>
      <c r="L206" s="22" t="s">
        <v>67</v>
      </c>
      <c r="M206" s="19"/>
    </row>
    <row r="207" spans="1:13" ht="51" x14ac:dyDescent="0.25">
      <c r="A207" s="23" t="s">
        <v>1770</v>
      </c>
      <c r="B207" s="24" t="s">
        <v>39</v>
      </c>
      <c r="C207" s="24" t="s">
        <v>97</v>
      </c>
      <c r="D207" s="24" t="s">
        <v>1771</v>
      </c>
      <c r="E207" s="24" t="s">
        <v>1772</v>
      </c>
      <c r="F207" s="24" t="s">
        <v>1773</v>
      </c>
      <c r="G207" s="24" t="s">
        <v>1180</v>
      </c>
      <c r="H207" s="24" t="s">
        <v>1774</v>
      </c>
      <c r="I207" s="23"/>
      <c r="J207" s="24"/>
      <c r="K207" s="24"/>
      <c r="L207" s="22" t="s">
        <v>67</v>
      </c>
      <c r="M207" s="23"/>
    </row>
    <row r="208" spans="1:13" ht="51" x14ac:dyDescent="0.25">
      <c r="A208" s="19" t="s">
        <v>1775</v>
      </c>
      <c r="B208" s="20" t="s">
        <v>39</v>
      </c>
      <c r="C208" s="20" t="s">
        <v>97</v>
      </c>
      <c r="D208" s="20" t="s">
        <v>1776</v>
      </c>
      <c r="E208" s="20" t="s">
        <v>1777</v>
      </c>
      <c r="F208" s="20" t="s">
        <v>1778</v>
      </c>
      <c r="G208" s="20" t="s">
        <v>1180</v>
      </c>
      <c r="H208" s="20" t="s">
        <v>1779</v>
      </c>
      <c r="I208" s="19"/>
      <c r="J208" s="20"/>
      <c r="K208" s="20"/>
      <c r="L208" s="25" t="s">
        <v>95</v>
      </c>
      <c r="M208" s="19"/>
    </row>
    <row r="209" spans="1:13" ht="51" x14ac:dyDescent="0.25">
      <c r="A209" s="23" t="s">
        <v>1780</v>
      </c>
      <c r="B209" s="24" t="s">
        <v>39</v>
      </c>
      <c r="C209" s="24" t="s">
        <v>97</v>
      </c>
      <c r="D209" s="24" t="s">
        <v>1781</v>
      </c>
      <c r="E209" s="24" t="s">
        <v>577</v>
      </c>
      <c r="F209" s="24" t="s">
        <v>1782</v>
      </c>
      <c r="G209" s="24" t="s">
        <v>1180</v>
      </c>
      <c r="H209" s="24" t="s">
        <v>1783</v>
      </c>
      <c r="I209" s="21" t="s">
        <v>66</v>
      </c>
      <c r="J209" s="24"/>
      <c r="K209" s="24"/>
      <c r="L209" s="22" t="s">
        <v>67</v>
      </c>
      <c r="M209" s="23"/>
    </row>
    <row r="210" spans="1:13" ht="63.75" x14ac:dyDescent="0.25">
      <c r="A210" s="19" t="s">
        <v>1784</v>
      </c>
      <c r="B210" s="20" t="s">
        <v>39</v>
      </c>
      <c r="C210" s="20" t="s">
        <v>97</v>
      </c>
      <c r="D210" s="20" t="s">
        <v>1785</v>
      </c>
      <c r="E210" s="20" t="s">
        <v>1092</v>
      </c>
      <c r="F210" s="20" t="s">
        <v>1786</v>
      </c>
      <c r="G210" s="20" t="s">
        <v>1717</v>
      </c>
      <c r="H210" s="20" t="s">
        <v>1787</v>
      </c>
      <c r="I210" s="21" t="s">
        <v>66</v>
      </c>
      <c r="J210" s="20"/>
      <c r="K210" s="20"/>
      <c r="L210" s="25" t="s">
        <v>95</v>
      </c>
      <c r="M210" s="19"/>
    </row>
    <row r="211" spans="1:13" ht="63.75" x14ac:dyDescent="0.25">
      <c r="A211" s="23" t="s">
        <v>1788</v>
      </c>
      <c r="B211" s="24" t="s">
        <v>39</v>
      </c>
      <c r="C211" s="24" t="s">
        <v>97</v>
      </c>
      <c r="D211" s="24" t="s">
        <v>327</v>
      </c>
      <c r="E211" s="24" t="s">
        <v>1267</v>
      </c>
      <c r="F211" s="24" t="s">
        <v>1789</v>
      </c>
      <c r="G211" s="24" t="s">
        <v>952</v>
      </c>
      <c r="H211" s="24" t="s">
        <v>1790</v>
      </c>
      <c r="I211" s="21" t="s">
        <v>66</v>
      </c>
      <c r="J211" s="24"/>
      <c r="K211" s="24"/>
      <c r="L211" s="26" t="s">
        <v>103</v>
      </c>
      <c r="M211" s="23"/>
    </row>
    <row r="212" spans="1:13" ht="51" x14ac:dyDescent="0.25">
      <c r="A212" s="19" t="s">
        <v>1791</v>
      </c>
      <c r="B212" s="20" t="s">
        <v>39</v>
      </c>
      <c r="C212" s="20" t="s">
        <v>1792</v>
      </c>
      <c r="D212" s="20" t="s">
        <v>1793</v>
      </c>
      <c r="E212" s="20" t="s">
        <v>1794</v>
      </c>
      <c r="F212" s="20" t="s">
        <v>1795</v>
      </c>
      <c r="G212" s="20" t="s">
        <v>1796</v>
      </c>
      <c r="H212" s="20" t="s">
        <v>1797</v>
      </c>
      <c r="I212" s="21" t="s">
        <v>66</v>
      </c>
      <c r="J212" s="20"/>
      <c r="K212" s="20"/>
      <c r="L212" s="26" t="s">
        <v>103</v>
      </c>
      <c r="M212" s="19"/>
    </row>
    <row r="213" spans="1:13" ht="63.75" x14ac:dyDescent="0.25">
      <c r="A213" s="23" t="s">
        <v>1798</v>
      </c>
      <c r="B213" s="24" t="s">
        <v>39</v>
      </c>
      <c r="C213" s="24" t="s">
        <v>1792</v>
      </c>
      <c r="D213" s="24" t="s">
        <v>1799</v>
      </c>
      <c r="E213" s="24" t="s">
        <v>1800</v>
      </c>
      <c r="F213" s="24" t="s">
        <v>1801</v>
      </c>
      <c r="G213" s="24" t="s">
        <v>1796</v>
      </c>
      <c r="H213" s="24" t="s">
        <v>1802</v>
      </c>
      <c r="I213" s="21" t="s">
        <v>66</v>
      </c>
      <c r="J213" s="24"/>
      <c r="K213" s="24"/>
      <c r="L213" s="26" t="s">
        <v>103</v>
      </c>
      <c r="M213" s="23"/>
    </row>
    <row r="214" spans="1:13" ht="51" x14ac:dyDescent="0.25">
      <c r="A214" s="19" t="s">
        <v>1803</v>
      </c>
      <c r="B214" s="20" t="s">
        <v>39</v>
      </c>
      <c r="C214" s="20" t="s">
        <v>1792</v>
      </c>
      <c r="D214" s="20" t="s">
        <v>1804</v>
      </c>
      <c r="E214" s="20" t="s">
        <v>1805</v>
      </c>
      <c r="F214" s="20" t="s">
        <v>1806</v>
      </c>
      <c r="G214" s="20" t="s">
        <v>1796</v>
      </c>
      <c r="H214" s="20" t="s">
        <v>1807</v>
      </c>
      <c r="I214" s="19"/>
      <c r="J214" s="20"/>
      <c r="K214" s="20"/>
      <c r="L214" s="22" t="s">
        <v>67</v>
      </c>
      <c r="M214" s="19"/>
    </row>
    <row r="215" spans="1:13" ht="51" x14ac:dyDescent="0.25">
      <c r="A215" s="23" t="s">
        <v>1808</v>
      </c>
      <c r="B215" s="24" t="s">
        <v>39</v>
      </c>
      <c r="C215" s="24" t="s">
        <v>1792</v>
      </c>
      <c r="D215" s="24" t="s">
        <v>1809</v>
      </c>
      <c r="E215" s="24" t="s">
        <v>1809</v>
      </c>
      <c r="F215" s="24" t="s">
        <v>1810</v>
      </c>
      <c r="G215" s="24" t="s">
        <v>1796</v>
      </c>
      <c r="H215" s="24" t="s">
        <v>1811</v>
      </c>
      <c r="I215" s="21" t="s">
        <v>66</v>
      </c>
      <c r="J215" s="24"/>
      <c r="K215" s="24"/>
      <c r="L215" s="22" t="s">
        <v>67</v>
      </c>
      <c r="M215" s="23"/>
    </row>
    <row r="216" spans="1:13" ht="51" x14ac:dyDescent="0.25">
      <c r="A216" s="19" t="s">
        <v>1812</v>
      </c>
      <c r="B216" s="20" t="s">
        <v>39</v>
      </c>
      <c r="C216" s="20" t="s">
        <v>1792</v>
      </c>
      <c r="D216" s="20" t="s">
        <v>1813</v>
      </c>
      <c r="E216" s="20" t="s">
        <v>1814</v>
      </c>
      <c r="F216" s="20" t="s">
        <v>1815</v>
      </c>
      <c r="G216" s="20" t="s">
        <v>1796</v>
      </c>
      <c r="H216" s="20" t="s">
        <v>1816</v>
      </c>
      <c r="I216" s="19"/>
      <c r="J216" s="20"/>
      <c r="K216" s="20"/>
      <c r="L216" s="26" t="s">
        <v>103</v>
      </c>
      <c r="M216" s="19"/>
    </row>
    <row r="217" spans="1:13" ht="51" x14ac:dyDescent="0.25">
      <c r="A217" s="23" t="s">
        <v>1817</v>
      </c>
      <c r="B217" s="24" t="s">
        <v>39</v>
      </c>
      <c r="C217" s="24" t="s">
        <v>1792</v>
      </c>
      <c r="D217" s="24" t="s">
        <v>1818</v>
      </c>
      <c r="E217" s="24" t="s">
        <v>1819</v>
      </c>
      <c r="F217" s="24" t="s">
        <v>1820</v>
      </c>
      <c r="G217" s="24" t="s">
        <v>1796</v>
      </c>
      <c r="H217" s="24" t="s">
        <v>1821</v>
      </c>
      <c r="I217" s="21" t="s">
        <v>66</v>
      </c>
      <c r="J217" s="24"/>
      <c r="K217" s="24"/>
      <c r="L217" s="25" t="s">
        <v>95</v>
      </c>
      <c r="M217" s="23"/>
    </row>
    <row r="218" spans="1:13" ht="51" x14ac:dyDescent="0.25">
      <c r="A218" s="19" t="s">
        <v>1822</v>
      </c>
      <c r="B218" s="20" t="s">
        <v>39</v>
      </c>
      <c r="C218" s="20" t="s">
        <v>1792</v>
      </c>
      <c r="D218" s="20" t="s">
        <v>1823</v>
      </c>
      <c r="E218" s="20" t="s">
        <v>1824</v>
      </c>
      <c r="F218" s="20" t="s">
        <v>1825</v>
      </c>
      <c r="G218" s="20" t="s">
        <v>1796</v>
      </c>
      <c r="H218" s="20" t="s">
        <v>1826</v>
      </c>
      <c r="I218" s="21" t="s">
        <v>66</v>
      </c>
      <c r="J218" s="20"/>
      <c r="K218" s="20"/>
      <c r="L218" s="27" t="s">
        <v>131</v>
      </c>
      <c r="M218" s="19"/>
    </row>
    <row r="219" spans="1:13" ht="51" x14ac:dyDescent="0.25">
      <c r="A219" s="23" t="s">
        <v>1827</v>
      </c>
      <c r="B219" s="24" t="s">
        <v>39</v>
      </c>
      <c r="C219" s="24" t="s">
        <v>1792</v>
      </c>
      <c r="D219" s="24" t="s">
        <v>1828</v>
      </c>
      <c r="E219" s="24" t="s">
        <v>1829</v>
      </c>
      <c r="F219" s="24" t="s">
        <v>1830</v>
      </c>
      <c r="G219" s="24" t="s">
        <v>1796</v>
      </c>
      <c r="H219" s="24" t="s">
        <v>1831</v>
      </c>
      <c r="I219" s="33" t="s">
        <v>3684</v>
      </c>
      <c r="J219" s="24"/>
      <c r="K219" s="24"/>
      <c r="L219" s="27" t="s">
        <v>131</v>
      </c>
      <c r="M219" s="23"/>
    </row>
    <row r="220" spans="1:13" ht="51" x14ac:dyDescent="0.25">
      <c r="A220" s="19" t="s">
        <v>1832</v>
      </c>
      <c r="B220" s="20" t="s">
        <v>39</v>
      </c>
      <c r="C220" s="20" t="s">
        <v>1234</v>
      </c>
      <c r="D220" s="20" t="s">
        <v>1833</v>
      </c>
      <c r="E220" s="20" t="s">
        <v>1833</v>
      </c>
      <c r="F220" s="20" t="s">
        <v>1834</v>
      </c>
      <c r="G220" s="20" t="s">
        <v>1231</v>
      </c>
      <c r="H220" s="20" t="s">
        <v>1835</v>
      </c>
      <c r="I220" s="21" t="s">
        <v>66</v>
      </c>
      <c r="J220" s="20"/>
      <c r="K220" s="20"/>
      <c r="L220" s="26" t="s">
        <v>103</v>
      </c>
      <c r="M220" s="19"/>
    </row>
    <row r="221" spans="1:13" ht="51" x14ac:dyDescent="0.25">
      <c r="A221" s="23" t="s">
        <v>1836</v>
      </c>
      <c r="B221" s="24" t="s">
        <v>39</v>
      </c>
      <c r="C221" s="24" t="s">
        <v>1234</v>
      </c>
      <c r="D221" s="24" t="s">
        <v>1837</v>
      </c>
      <c r="E221" s="24" t="s">
        <v>1241</v>
      </c>
      <c r="F221" s="24" t="s">
        <v>1838</v>
      </c>
      <c r="G221" s="24" t="s">
        <v>1839</v>
      </c>
      <c r="H221" s="24" t="s">
        <v>1840</v>
      </c>
      <c r="I221" s="21" t="s">
        <v>66</v>
      </c>
      <c r="J221" s="24"/>
      <c r="K221" s="24"/>
      <c r="L221" s="26" t="s">
        <v>103</v>
      </c>
      <c r="M221" s="23"/>
    </row>
    <row r="222" spans="1:13" ht="51" x14ac:dyDescent="0.25">
      <c r="A222" s="19" t="s">
        <v>1841</v>
      </c>
      <c r="B222" s="20" t="s">
        <v>39</v>
      </c>
      <c r="C222" s="20" t="s">
        <v>1234</v>
      </c>
      <c r="D222" s="20" t="s">
        <v>1842</v>
      </c>
      <c r="E222" s="20" t="s">
        <v>1843</v>
      </c>
      <c r="F222" s="20" t="s">
        <v>1844</v>
      </c>
      <c r="G222" s="20" t="s">
        <v>1231</v>
      </c>
      <c r="H222" s="20" t="s">
        <v>1845</v>
      </c>
      <c r="I222" s="21" t="s">
        <v>66</v>
      </c>
      <c r="J222" s="20"/>
      <c r="K222" s="20"/>
      <c r="L222" s="22" t="s">
        <v>67</v>
      </c>
      <c r="M222" s="19"/>
    </row>
    <row r="223" spans="1:13" ht="51" x14ac:dyDescent="0.25">
      <c r="A223" s="23" t="s">
        <v>1846</v>
      </c>
      <c r="B223" s="24" t="s">
        <v>39</v>
      </c>
      <c r="C223" s="24" t="s">
        <v>1234</v>
      </c>
      <c r="D223" s="24" t="s">
        <v>1847</v>
      </c>
      <c r="E223" s="24" t="s">
        <v>1848</v>
      </c>
      <c r="F223" s="24" t="s">
        <v>1849</v>
      </c>
      <c r="G223" s="24" t="s">
        <v>1231</v>
      </c>
      <c r="H223" s="24" t="s">
        <v>1850</v>
      </c>
      <c r="I223" s="21" t="s">
        <v>66</v>
      </c>
      <c r="J223" s="24"/>
      <c r="K223" s="24"/>
      <c r="L223" s="27" t="s">
        <v>131</v>
      </c>
      <c r="M223" s="23"/>
    </row>
    <row r="224" spans="1:13" ht="51" x14ac:dyDescent="0.25">
      <c r="A224" s="19" t="s">
        <v>1851</v>
      </c>
      <c r="B224" s="20" t="s">
        <v>39</v>
      </c>
      <c r="C224" s="20" t="s">
        <v>1234</v>
      </c>
      <c r="D224" s="20" t="s">
        <v>1235</v>
      </c>
      <c r="E224" s="20" t="s">
        <v>1236</v>
      </c>
      <c r="F224" s="20" t="s">
        <v>1852</v>
      </c>
      <c r="G224" s="20" t="s">
        <v>1238</v>
      </c>
      <c r="H224" s="20" t="s">
        <v>1853</v>
      </c>
      <c r="I224" s="21" t="s">
        <v>66</v>
      </c>
      <c r="J224" s="20"/>
      <c r="K224" s="20"/>
      <c r="L224" s="25" t="s">
        <v>95</v>
      </c>
      <c r="M224" s="19"/>
    </row>
    <row r="225" spans="1:13" ht="51" x14ac:dyDescent="0.25">
      <c r="A225" s="23" t="s">
        <v>1854</v>
      </c>
      <c r="B225" s="24" t="s">
        <v>39</v>
      </c>
      <c r="C225" s="24" t="s">
        <v>1234</v>
      </c>
      <c r="D225" s="24" t="s">
        <v>1855</v>
      </c>
      <c r="E225" s="24" t="s">
        <v>1856</v>
      </c>
      <c r="F225" s="24" t="s">
        <v>1857</v>
      </c>
      <c r="G225" s="24" t="s">
        <v>1238</v>
      </c>
      <c r="H225" s="24" t="s">
        <v>1858</v>
      </c>
      <c r="I225" s="21" t="s">
        <v>66</v>
      </c>
      <c r="J225" s="24"/>
      <c r="K225" s="24"/>
      <c r="L225" s="25" t="s">
        <v>95</v>
      </c>
      <c r="M225" s="23"/>
    </row>
    <row r="226" spans="1:13" ht="51" x14ac:dyDescent="0.25">
      <c r="A226" s="19" t="s">
        <v>1859</v>
      </c>
      <c r="B226" s="20" t="s">
        <v>39</v>
      </c>
      <c r="C226" s="20" t="s">
        <v>1234</v>
      </c>
      <c r="D226" s="20" t="s">
        <v>1860</v>
      </c>
      <c r="E226" s="20" t="s">
        <v>1861</v>
      </c>
      <c r="F226" s="20" t="s">
        <v>1862</v>
      </c>
      <c r="G226" s="20" t="s">
        <v>1231</v>
      </c>
      <c r="H226" s="20" t="s">
        <v>1863</v>
      </c>
      <c r="I226" s="21" t="s">
        <v>66</v>
      </c>
      <c r="J226" s="20"/>
      <c r="K226" s="20"/>
      <c r="L226" s="22" t="s">
        <v>67</v>
      </c>
      <c r="M226" s="19"/>
    </row>
    <row r="227" spans="1:13" ht="51" x14ac:dyDescent="0.25">
      <c r="A227" s="23" t="s">
        <v>1864</v>
      </c>
      <c r="B227" s="24" t="s">
        <v>39</v>
      </c>
      <c r="C227" s="24" t="s">
        <v>1234</v>
      </c>
      <c r="D227" s="24" t="s">
        <v>1865</v>
      </c>
      <c r="E227" s="24" t="s">
        <v>1866</v>
      </c>
      <c r="F227" s="24" t="s">
        <v>1867</v>
      </c>
      <c r="G227" s="24" t="s">
        <v>1231</v>
      </c>
      <c r="H227" s="24" t="s">
        <v>1868</v>
      </c>
      <c r="I227" s="21" t="s">
        <v>66</v>
      </c>
      <c r="J227" s="24"/>
      <c r="K227" s="24"/>
      <c r="L227" s="22" t="s">
        <v>67</v>
      </c>
      <c r="M227" s="23"/>
    </row>
    <row r="228" spans="1:13" ht="51" x14ac:dyDescent="0.25">
      <c r="A228" s="19" t="s">
        <v>1869</v>
      </c>
      <c r="B228" s="20" t="s">
        <v>39</v>
      </c>
      <c r="C228" s="20" t="s">
        <v>1234</v>
      </c>
      <c r="D228" s="20" t="s">
        <v>1870</v>
      </c>
      <c r="E228" s="20" t="s">
        <v>1871</v>
      </c>
      <c r="F228" s="20" t="s">
        <v>1872</v>
      </c>
      <c r="G228" s="20" t="s">
        <v>1231</v>
      </c>
      <c r="H228" s="20" t="s">
        <v>1873</v>
      </c>
      <c r="I228" s="21" t="s">
        <v>66</v>
      </c>
      <c r="J228" s="20"/>
      <c r="K228" s="20"/>
      <c r="L228" s="25" t="s">
        <v>95</v>
      </c>
      <c r="M228" s="19"/>
    </row>
    <row r="229" spans="1:13" ht="51" x14ac:dyDescent="0.25">
      <c r="A229" s="23" t="s">
        <v>1874</v>
      </c>
      <c r="B229" s="24" t="s">
        <v>39</v>
      </c>
      <c r="C229" s="24" t="s">
        <v>1234</v>
      </c>
      <c r="D229" s="24" t="s">
        <v>1875</v>
      </c>
      <c r="E229" s="24" t="s">
        <v>1876</v>
      </c>
      <c r="F229" s="24" t="s">
        <v>1877</v>
      </c>
      <c r="G229" s="24" t="s">
        <v>1231</v>
      </c>
      <c r="H229" s="24" t="s">
        <v>1878</v>
      </c>
      <c r="I229" s="21" t="s">
        <v>66</v>
      </c>
      <c r="J229" s="24"/>
      <c r="K229" s="24"/>
      <c r="L229" s="25" t="s">
        <v>95</v>
      </c>
      <c r="M229" s="23"/>
    </row>
    <row r="230" spans="1:13" ht="51" x14ac:dyDescent="0.25">
      <c r="A230" s="19" t="s">
        <v>1879</v>
      </c>
      <c r="B230" s="20" t="s">
        <v>39</v>
      </c>
      <c r="C230" s="20" t="s">
        <v>1234</v>
      </c>
      <c r="D230" s="20" t="s">
        <v>1211</v>
      </c>
      <c r="E230" s="20" t="s">
        <v>1880</v>
      </c>
      <c r="F230" s="20" t="s">
        <v>1881</v>
      </c>
      <c r="G230" s="20" t="s">
        <v>1214</v>
      </c>
      <c r="H230" s="20" t="s">
        <v>1882</v>
      </c>
      <c r="I230" s="21" t="s">
        <v>66</v>
      </c>
      <c r="J230" s="20"/>
      <c r="K230" s="20"/>
      <c r="L230" s="27" t="s">
        <v>131</v>
      </c>
      <c r="M230" s="19"/>
    </row>
    <row r="231" spans="1:13" ht="51" x14ac:dyDescent="0.25">
      <c r="A231" s="23" t="s">
        <v>1883</v>
      </c>
      <c r="B231" s="24" t="s">
        <v>39</v>
      </c>
      <c r="C231" s="24" t="s">
        <v>1234</v>
      </c>
      <c r="D231" s="24" t="s">
        <v>1884</v>
      </c>
      <c r="E231" s="24" t="s">
        <v>1885</v>
      </c>
      <c r="F231" s="24" t="s">
        <v>1886</v>
      </c>
      <c r="G231" s="24" t="s">
        <v>1887</v>
      </c>
      <c r="H231" s="24" t="s">
        <v>1888</v>
      </c>
      <c r="I231" s="21" t="s">
        <v>66</v>
      </c>
      <c r="J231" s="24"/>
      <c r="K231" s="24"/>
      <c r="L231" s="22" t="s">
        <v>67</v>
      </c>
      <c r="M231" s="23"/>
    </row>
    <row r="232" spans="1:13" ht="51" x14ac:dyDescent="0.25">
      <c r="A232" s="19" t="s">
        <v>1889</v>
      </c>
      <c r="B232" s="20" t="s">
        <v>39</v>
      </c>
      <c r="C232" s="20" t="s">
        <v>1234</v>
      </c>
      <c r="D232" s="20" t="s">
        <v>1890</v>
      </c>
      <c r="E232" s="20" t="s">
        <v>1891</v>
      </c>
      <c r="F232" s="20" t="s">
        <v>1892</v>
      </c>
      <c r="G232" s="20" t="s">
        <v>1887</v>
      </c>
      <c r="H232" s="20" t="s">
        <v>1893</v>
      </c>
      <c r="I232" s="21" t="s">
        <v>66</v>
      </c>
      <c r="J232" s="20"/>
      <c r="K232" s="20"/>
      <c r="L232" s="25" t="s">
        <v>95</v>
      </c>
      <c r="M232" s="19"/>
    </row>
    <row r="233" spans="1:13" ht="51" x14ac:dyDescent="0.25">
      <c r="A233" s="23" t="s">
        <v>1894</v>
      </c>
      <c r="B233" s="24" t="s">
        <v>39</v>
      </c>
      <c r="C233" s="24" t="s">
        <v>1234</v>
      </c>
      <c r="D233" s="24" t="s">
        <v>1228</v>
      </c>
      <c r="E233" s="24" t="s">
        <v>1895</v>
      </c>
      <c r="F233" s="24" t="s">
        <v>1896</v>
      </c>
      <c r="G233" s="24" t="s">
        <v>1231</v>
      </c>
      <c r="H233" s="24" t="s">
        <v>1897</v>
      </c>
      <c r="I233" s="21" t="s">
        <v>66</v>
      </c>
      <c r="J233" s="24"/>
      <c r="K233" s="24"/>
      <c r="L233" s="25" t="s">
        <v>95</v>
      </c>
      <c r="M233" s="23"/>
    </row>
    <row r="234" spans="1:13" ht="51" x14ac:dyDescent="0.25">
      <c r="A234" s="19" t="s">
        <v>1898</v>
      </c>
      <c r="B234" s="20" t="s">
        <v>39</v>
      </c>
      <c r="C234" s="20" t="s">
        <v>1234</v>
      </c>
      <c r="D234" s="20" t="s">
        <v>1899</v>
      </c>
      <c r="E234" s="20" t="s">
        <v>1900</v>
      </c>
      <c r="F234" s="20" t="s">
        <v>1901</v>
      </c>
      <c r="G234" s="20" t="s">
        <v>1231</v>
      </c>
      <c r="H234" s="20" t="s">
        <v>1902</v>
      </c>
      <c r="I234" s="21" t="s">
        <v>66</v>
      </c>
      <c r="J234" s="20"/>
      <c r="K234" s="20"/>
      <c r="L234" s="27" t="s">
        <v>131</v>
      </c>
      <c r="M234" s="19"/>
    </row>
    <row r="235" spans="1:13" ht="51" x14ac:dyDescent="0.25">
      <c r="A235" s="23" t="s">
        <v>1903</v>
      </c>
      <c r="B235" s="24" t="s">
        <v>39</v>
      </c>
      <c r="C235" s="24" t="s">
        <v>1234</v>
      </c>
      <c r="D235" s="24" t="s">
        <v>1904</v>
      </c>
      <c r="E235" s="24" t="s">
        <v>1905</v>
      </c>
      <c r="F235" s="24" t="s">
        <v>1906</v>
      </c>
      <c r="G235" s="24" t="s">
        <v>1231</v>
      </c>
      <c r="H235" s="24" t="s">
        <v>1907</v>
      </c>
      <c r="I235" s="21" t="s">
        <v>66</v>
      </c>
      <c r="J235" s="24"/>
      <c r="K235" s="24"/>
      <c r="L235" s="25" t="s">
        <v>95</v>
      </c>
      <c r="M235" s="23"/>
    </row>
    <row r="236" spans="1:13" ht="51" x14ac:dyDescent="0.25">
      <c r="A236" s="19" t="s">
        <v>1908</v>
      </c>
      <c r="B236" s="20" t="s">
        <v>39</v>
      </c>
      <c r="C236" s="20" t="s">
        <v>1234</v>
      </c>
      <c r="D236" s="20" t="s">
        <v>1909</v>
      </c>
      <c r="E236" s="20" t="s">
        <v>1910</v>
      </c>
      <c r="F236" s="20" t="s">
        <v>1911</v>
      </c>
      <c r="G236" s="20" t="s">
        <v>1231</v>
      </c>
      <c r="H236" s="20" t="s">
        <v>1912</v>
      </c>
      <c r="I236" s="21" t="s">
        <v>66</v>
      </c>
      <c r="J236" s="20"/>
      <c r="K236" s="20"/>
      <c r="L236" s="27" t="s">
        <v>131</v>
      </c>
      <c r="M236" s="19"/>
    </row>
    <row r="237" spans="1:13" ht="51" x14ac:dyDescent="0.25">
      <c r="A237" s="23" t="s">
        <v>1913</v>
      </c>
      <c r="B237" s="24" t="s">
        <v>39</v>
      </c>
      <c r="C237" s="24" t="s">
        <v>1234</v>
      </c>
      <c r="D237" s="24" t="s">
        <v>1914</v>
      </c>
      <c r="E237" s="24" t="s">
        <v>1915</v>
      </c>
      <c r="F237" s="24" t="s">
        <v>1916</v>
      </c>
      <c r="G237" s="24" t="s">
        <v>1231</v>
      </c>
      <c r="H237" s="24" t="s">
        <v>1917</v>
      </c>
      <c r="I237" s="21" t="s">
        <v>66</v>
      </c>
      <c r="J237" s="24"/>
      <c r="K237" s="24"/>
      <c r="L237" s="25" t="s">
        <v>95</v>
      </c>
      <c r="M237" s="23"/>
    </row>
    <row r="238" spans="1:13" ht="51" x14ac:dyDescent="0.25">
      <c r="A238" s="19" t="s">
        <v>1918</v>
      </c>
      <c r="B238" s="20" t="s">
        <v>39</v>
      </c>
      <c r="C238" s="20" t="s">
        <v>1234</v>
      </c>
      <c r="D238" s="20" t="s">
        <v>1919</v>
      </c>
      <c r="E238" s="20" t="s">
        <v>1920</v>
      </c>
      <c r="F238" s="20" t="s">
        <v>1921</v>
      </c>
      <c r="G238" s="20" t="s">
        <v>1231</v>
      </c>
      <c r="H238" s="20" t="s">
        <v>1922</v>
      </c>
      <c r="I238" s="21" t="s">
        <v>66</v>
      </c>
      <c r="J238" s="20"/>
      <c r="K238" s="20"/>
      <c r="L238" s="25" t="s">
        <v>95</v>
      </c>
      <c r="M238" s="19"/>
    </row>
    <row r="239" spans="1:13" ht="51" x14ac:dyDescent="0.25">
      <c r="A239" s="23" t="s">
        <v>1923</v>
      </c>
      <c r="B239" s="24" t="s">
        <v>39</v>
      </c>
      <c r="C239" s="24" t="s">
        <v>1234</v>
      </c>
      <c r="D239" s="24" t="s">
        <v>1924</v>
      </c>
      <c r="E239" s="24" t="s">
        <v>1925</v>
      </c>
      <c r="F239" s="24" t="s">
        <v>1926</v>
      </c>
      <c r="G239" s="24" t="s">
        <v>1231</v>
      </c>
      <c r="H239" s="24" t="s">
        <v>1927</v>
      </c>
      <c r="I239" s="21" t="s">
        <v>66</v>
      </c>
      <c r="J239" s="24"/>
      <c r="K239" s="24"/>
      <c r="L239" s="27" t="s">
        <v>131</v>
      </c>
      <c r="M239" s="23"/>
    </row>
    <row r="240" spans="1:13" ht="38.25" x14ac:dyDescent="0.25">
      <c r="A240" s="19" t="s">
        <v>1928</v>
      </c>
      <c r="B240" s="20" t="s">
        <v>39</v>
      </c>
      <c r="C240" s="20" t="s">
        <v>1016</v>
      </c>
      <c r="D240" s="20" t="s">
        <v>1018</v>
      </c>
      <c r="E240" s="20" t="s">
        <v>1018</v>
      </c>
      <c r="F240" s="20" t="s">
        <v>1034</v>
      </c>
      <c r="G240" s="20" t="s">
        <v>1041</v>
      </c>
      <c r="H240" s="20" t="s">
        <v>1929</v>
      </c>
      <c r="I240" s="21" t="s">
        <v>66</v>
      </c>
      <c r="J240" s="20"/>
      <c r="K240" s="20"/>
      <c r="L240" s="26" t="s">
        <v>103</v>
      </c>
      <c r="M240" s="19"/>
    </row>
    <row r="241" spans="1:13" ht="51" x14ac:dyDescent="0.25">
      <c r="A241" s="23" t="s">
        <v>1930</v>
      </c>
      <c r="B241" s="24" t="s">
        <v>39</v>
      </c>
      <c r="C241" s="24" t="s">
        <v>1016</v>
      </c>
      <c r="D241" s="24" t="s">
        <v>1023</v>
      </c>
      <c r="E241" s="24" t="s">
        <v>1024</v>
      </c>
      <c r="F241" s="24" t="s">
        <v>1931</v>
      </c>
      <c r="G241" s="24" t="s">
        <v>1041</v>
      </c>
      <c r="H241" s="24" t="s">
        <v>1027</v>
      </c>
      <c r="I241" s="36"/>
      <c r="J241" s="24"/>
      <c r="K241" s="24"/>
      <c r="L241" s="26" t="s">
        <v>103</v>
      </c>
      <c r="M241" s="23"/>
    </row>
    <row r="242" spans="1:13" ht="51" x14ac:dyDescent="0.25">
      <c r="A242" s="19" t="s">
        <v>1932</v>
      </c>
      <c r="B242" s="20" t="s">
        <v>39</v>
      </c>
      <c r="C242" s="20" t="s">
        <v>1016</v>
      </c>
      <c r="D242" s="20" t="s">
        <v>1933</v>
      </c>
      <c r="E242" s="20" t="s">
        <v>1934</v>
      </c>
      <c r="F242" s="20" t="s">
        <v>1935</v>
      </c>
      <c r="G242" s="20" t="s">
        <v>1041</v>
      </c>
      <c r="H242" s="20" t="s">
        <v>1936</v>
      </c>
      <c r="I242" s="33" t="s">
        <v>3684</v>
      </c>
      <c r="J242" s="20"/>
      <c r="K242" s="20"/>
      <c r="L242" s="25" t="s">
        <v>95</v>
      </c>
      <c r="M242" s="19"/>
    </row>
    <row r="243" spans="1:13" ht="51" x14ac:dyDescent="0.25">
      <c r="A243" s="23" t="s">
        <v>1937</v>
      </c>
      <c r="B243" s="24" t="s">
        <v>39</v>
      </c>
      <c r="C243" s="24" t="s">
        <v>1016</v>
      </c>
      <c r="D243" s="24" t="s">
        <v>1938</v>
      </c>
      <c r="E243" s="24" t="s">
        <v>1939</v>
      </c>
      <c r="F243" s="24" t="s">
        <v>1940</v>
      </c>
      <c r="G243" s="24" t="s">
        <v>1041</v>
      </c>
      <c r="H243" s="24" t="s">
        <v>1941</v>
      </c>
      <c r="I243" s="33" t="s">
        <v>3684</v>
      </c>
      <c r="J243" s="24"/>
      <c r="K243" s="24"/>
      <c r="L243" s="25" t="s">
        <v>95</v>
      </c>
      <c r="M243" s="23"/>
    </row>
    <row r="244" spans="1:13" ht="51" x14ac:dyDescent="0.25">
      <c r="A244" s="19" t="s">
        <v>1942</v>
      </c>
      <c r="B244" s="20" t="s">
        <v>39</v>
      </c>
      <c r="C244" s="20" t="s">
        <v>1016</v>
      </c>
      <c r="D244" s="20" t="s">
        <v>1029</v>
      </c>
      <c r="E244" s="20" t="s">
        <v>1030</v>
      </c>
      <c r="F244" s="20" t="s">
        <v>1943</v>
      </c>
      <c r="G244" s="20" t="s">
        <v>1041</v>
      </c>
      <c r="H244" s="20" t="s">
        <v>1944</v>
      </c>
      <c r="I244" s="33" t="s">
        <v>3684</v>
      </c>
      <c r="J244" s="20"/>
      <c r="K244" s="20"/>
      <c r="L244" s="22" t="s">
        <v>67</v>
      </c>
      <c r="M244" s="19"/>
    </row>
    <row r="245" spans="1:13" ht="51" x14ac:dyDescent="0.25">
      <c r="A245" s="23" t="s">
        <v>1945</v>
      </c>
      <c r="B245" s="24" t="s">
        <v>39</v>
      </c>
      <c r="C245" s="24" t="s">
        <v>1016</v>
      </c>
      <c r="D245" s="24" t="s">
        <v>1946</v>
      </c>
      <c r="E245" s="24" t="s">
        <v>1947</v>
      </c>
      <c r="F245" s="24" t="s">
        <v>1948</v>
      </c>
      <c r="G245" s="24" t="s">
        <v>1041</v>
      </c>
      <c r="H245" s="24" t="s">
        <v>1949</v>
      </c>
      <c r="I245" s="33" t="s">
        <v>3684</v>
      </c>
      <c r="J245" s="24"/>
      <c r="K245" s="24"/>
      <c r="L245" s="25" t="s">
        <v>95</v>
      </c>
      <c r="M245" s="23"/>
    </row>
    <row r="246" spans="1:13" ht="51" x14ac:dyDescent="0.25">
      <c r="A246" s="19" t="s">
        <v>1950</v>
      </c>
      <c r="B246" s="20" t="s">
        <v>39</v>
      </c>
      <c r="C246" s="20" t="s">
        <v>1016</v>
      </c>
      <c r="D246" s="20" t="s">
        <v>1295</v>
      </c>
      <c r="E246" s="20" t="s">
        <v>1951</v>
      </c>
      <c r="F246" s="20" t="s">
        <v>1952</v>
      </c>
      <c r="G246" s="20" t="s">
        <v>1291</v>
      </c>
      <c r="H246" s="20" t="s">
        <v>1953</v>
      </c>
      <c r="I246" s="33" t="s">
        <v>3684</v>
      </c>
      <c r="J246" s="20"/>
      <c r="K246" s="20"/>
      <c r="L246" s="26" t="s">
        <v>103</v>
      </c>
      <c r="M246" s="19"/>
    </row>
    <row r="247" spans="1:13" ht="51" x14ac:dyDescent="0.25">
      <c r="A247" s="23" t="s">
        <v>1954</v>
      </c>
      <c r="B247" s="24" t="s">
        <v>39</v>
      </c>
      <c r="C247" s="24" t="s">
        <v>1016</v>
      </c>
      <c r="D247" s="24" t="s">
        <v>1955</v>
      </c>
      <c r="E247" s="24" t="s">
        <v>1956</v>
      </c>
      <c r="F247" s="24" t="s">
        <v>1957</v>
      </c>
      <c r="G247" s="24" t="s">
        <v>1291</v>
      </c>
      <c r="H247" s="24" t="s">
        <v>1958</v>
      </c>
      <c r="I247" s="33" t="s">
        <v>3684</v>
      </c>
      <c r="J247" s="24"/>
      <c r="K247" s="24"/>
      <c r="L247" s="22" t="s">
        <v>67</v>
      </c>
      <c r="M247" s="23"/>
    </row>
    <row r="248" spans="1:13" ht="51" x14ac:dyDescent="0.25">
      <c r="A248" s="19" t="s">
        <v>1959</v>
      </c>
      <c r="B248" s="20" t="s">
        <v>39</v>
      </c>
      <c r="C248" s="20" t="s">
        <v>1016</v>
      </c>
      <c r="D248" s="20" t="s">
        <v>1960</v>
      </c>
      <c r="E248" s="20" t="s">
        <v>1961</v>
      </c>
      <c r="F248" s="20" t="s">
        <v>1962</v>
      </c>
      <c r="G248" s="20" t="s">
        <v>1041</v>
      </c>
      <c r="H248" s="20" t="s">
        <v>1303</v>
      </c>
      <c r="I248" s="19"/>
      <c r="J248" s="20"/>
      <c r="K248" s="20"/>
      <c r="L248" s="27" t="s">
        <v>131</v>
      </c>
      <c r="M248" s="19"/>
    </row>
    <row r="249" spans="1:13" ht="51" x14ac:dyDescent="0.25">
      <c r="A249" s="23" t="s">
        <v>1963</v>
      </c>
      <c r="B249" s="24" t="s">
        <v>39</v>
      </c>
      <c r="C249" s="24" t="s">
        <v>1016</v>
      </c>
      <c r="D249" s="24" t="s">
        <v>1964</v>
      </c>
      <c r="E249" s="24" t="s">
        <v>1965</v>
      </c>
      <c r="F249" s="24" t="s">
        <v>1966</v>
      </c>
      <c r="G249" s="24" t="s">
        <v>1041</v>
      </c>
      <c r="H249" s="24" t="s">
        <v>1967</v>
      </c>
      <c r="I249" s="23"/>
      <c r="J249" s="24"/>
      <c r="K249" s="24"/>
      <c r="L249" s="27" t="s">
        <v>131</v>
      </c>
      <c r="M249" s="23"/>
    </row>
    <row r="250" spans="1:13" ht="51" x14ac:dyDescent="0.25">
      <c r="A250" s="19" t="s">
        <v>1968</v>
      </c>
      <c r="B250" s="20" t="s">
        <v>39</v>
      </c>
      <c r="C250" s="20" t="s">
        <v>1016</v>
      </c>
      <c r="D250" s="20" t="s">
        <v>1969</v>
      </c>
      <c r="E250" s="20" t="s">
        <v>1970</v>
      </c>
      <c r="F250" s="20" t="s">
        <v>1971</v>
      </c>
      <c r="G250" s="20" t="s">
        <v>1041</v>
      </c>
      <c r="H250" s="20" t="s">
        <v>1972</v>
      </c>
      <c r="I250" s="33" t="s">
        <v>3684</v>
      </c>
      <c r="J250" s="20"/>
      <c r="K250" s="20"/>
      <c r="L250" s="25" t="s">
        <v>95</v>
      </c>
      <c r="M250" s="19"/>
    </row>
    <row r="251" spans="1:13" ht="51" x14ac:dyDescent="0.25">
      <c r="A251" s="23" t="s">
        <v>1973</v>
      </c>
      <c r="B251" s="24" t="s">
        <v>39</v>
      </c>
      <c r="C251" s="24" t="s">
        <v>193</v>
      </c>
      <c r="D251" s="24" t="s">
        <v>194</v>
      </c>
      <c r="E251" s="24" t="s">
        <v>983</v>
      </c>
      <c r="F251" s="24" t="s">
        <v>1974</v>
      </c>
      <c r="G251" s="24" t="s">
        <v>993</v>
      </c>
      <c r="H251" s="24" t="s">
        <v>1975</v>
      </c>
      <c r="I251" s="21" t="s">
        <v>66</v>
      </c>
      <c r="J251" s="24"/>
      <c r="K251" s="24"/>
      <c r="L251" s="26" t="s">
        <v>103</v>
      </c>
      <c r="M251" s="23"/>
    </row>
    <row r="252" spans="1:13" ht="63.75" x14ac:dyDescent="0.25">
      <c r="A252" s="19" t="s">
        <v>1976</v>
      </c>
      <c r="B252" s="20" t="s">
        <v>39</v>
      </c>
      <c r="C252" s="20" t="s">
        <v>193</v>
      </c>
      <c r="D252" s="20" t="s">
        <v>200</v>
      </c>
      <c r="E252" s="20" t="s">
        <v>988</v>
      </c>
      <c r="F252" s="20" t="s">
        <v>1977</v>
      </c>
      <c r="G252" s="20" t="s">
        <v>993</v>
      </c>
      <c r="H252" s="20" t="s">
        <v>204</v>
      </c>
      <c r="I252" s="21" t="s">
        <v>66</v>
      </c>
      <c r="J252" s="20"/>
      <c r="K252" s="20"/>
      <c r="L252" s="22" t="s">
        <v>67</v>
      </c>
      <c r="M252" s="19"/>
    </row>
    <row r="253" spans="1:13" ht="76.5" x14ac:dyDescent="0.25">
      <c r="A253" s="23" t="s">
        <v>1978</v>
      </c>
      <c r="B253" s="24" t="s">
        <v>39</v>
      </c>
      <c r="C253" s="24" t="s">
        <v>193</v>
      </c>
      <c r="D253" s="24" t="s">
        <v>403</v>
      </c>
      <c r="E253" s="24" t="s">
        <v>404</v>
      </c>
      <c r="F253" s="24" t="s">
        <v>1979</v>
      </c>
      <c r="G253" s="24" t="s">
        <v>993</v>
      </c>
      <c r="H253" s="24" t="s">
        <v>406</v>
      </c>
      <c r="I253" s="23"/>
      <c r="J253" s="24"/>
      <c r="K253" s="24"/>
      <c r="L253" s="22" t="s">
        <v>67</v>
      </c>
      <c r="M253" s="23"/>
    </row>
    <row r="254" spans="1:13" ht="63.75" x14ac:dyDescent="0.25">
      <c r="A254" s="19" t="s">
        <v>1980</v>
      </c>
      <c r="B254" s="20" t="s">
        <v>39</v>
      </c>
      <c r="C254" s="20" t="s">
        <v>193</v>
      </c>
      <c r="D254" s="20" t="s">
        <v>1981</v>
      </c>
      <c r="E254" s="20" t="s">
        <v>1982</v>
      </c>
      <c r="F254" s="20" t="s">
        <v>1983</v>
      </c>
      <c r="G254" s="20" t="s">
        <v>993</v>
      </c>
      <c r="H254" s="20" t="s">
        <v>1984</v>
      </c>
      <c r="I254" s="19"/>
      <c r="J254" s="20"/>
      <c r="K254" s="20"/>
      <c r="L254" s="27" t="s">
        <v>131</v>
      </c>
      <c r="M254" s="19"/>
    </row>
    <row r="255" spans="1:13" ht="51" x14ac:dyDescent="0.25">
      <c r="A255" s="23" t="s">
        <v>1985</v>
      </c>
      <c r="B255" s="24" t="s">
        <v>39</v>
      </c>
      <c r="C255" s="24" t="s">
        <v>193</v>
      </c>
      <c r="D255" s="24" t="s">
        <v>1007</v>
      </c>
      <c r="E255" s="24" t="s">
        <v>1007</v>
      </c>
      <c r="F255" s="24" t="s">
        <v>1986</v>
      </c>
      <c r="G255" s="24" t="s">
        <v>993</v>
      </c>
      <c r="H255" s="24" t="s">
        <v>1987</v>
      </c>
      <c r="I255" s="21" t="s">
        <v>66</v>
      </c>
      <c r="J255" s="24"/>
      <c r="K255" s="24"/>
      <c r="L255" s="22" t="s">
        <v>67</v>
      </c>
      <c r="M255" s="23"/>
    </row>
    <row r="256" spans="1:13" ht="51" x14ac:dyDescent="0.25">
      <c r="A256" s="19" t="s">
        <v>1988</v>
      </c>
      <c r="B256" s="20" t="s">
        <v>39</v>
      </c>
      <c r="C256" s="20" t="s">
        <v>193</v>
      </c>
      <c r="D256" s="20" t="s">
        <v>1050</v>
      </c>
      <c r="E256" s="20" t="s">
        <v>1050</v>
      </c>
      <c r="F256" s="20" t="s">
        <v>1989</v>
      </c>
      <c r="G256" s="20" t="s">
        <v>993</v>
      </c>
      <c r="H256" s="20" t="s">
        <v>1053</v>
      </c>
      <c r="I256" s="21" t="s">
        <v>66</v>
      </c>
      <c r="J256" s="20"/>
      <c r="K256" s="20"/>
      <c r="L256" s="25" t="s">
        <v>95</v>
      </c>
      <c r="M256" s="19"/>
    </row>
    <row r="257" spans="1:13" ht="51" x14ac:dyDescent="0.25">
      <c r="A257" s="23" t="s">
        <v>1990</v>
      </c>
      <c r="B257" s="24" t="s">
        <v>39</v>
      </c>
      <c r="C257" s="24" t="s">
        <v>193</v>
      </c>
      <c r="D257" s="24" t="s">
        <v>1056</v>
      </c>
      <c r="E257" s="24" t="s">
        <v>1991</v>
      </c>
      <c r="F257" s="24" t="s">
        <v>1992</v>
      </c>
      <c r="G257" s="24" t="s">
        <v>993</v>
      </c>
      <c r="H257" s="24" t="s">
        <v>1993</v>
      </c>
      <c r="I257" s="21" t="s">
        <v>66</v>
      </c>
      <c r="J257" s="24"/>
      <c r="K257" s="24"/>
      <c r="L257" s="22" t="s">
        <v>67</v>
      </c>
      <c r="M257" s="23"/>
    </row>
    <row r="258" spans="1:13" ht="51" x14ac:dyDescent="0.25">
      <c r="A258" s="19" t="s">
        <v>1994</v>
      </c>
      <c r="B258" s="20" t="s">
        <v>39</v>
      </c>
      <c r="C258" s="20" t="s">
        <v>193</v>
      </c>
      <c r="D258" s="20" t="s">
        <v>1995</v>
      </c>
      <c r="E258" s="20" t="s">
        <v>1061</v>
      </c>
      <c r="F258" s="20" t="s">
        <v>1996</v>
      </c>
      <c r="G258" s="20" t="s">
        <v>993</v>
      </c>
      <c r="H258" s="20" t="s">
        <v>1997</v>
      </c>
      <c r="I258" s="21" t="s">
        <v>66</v>
      </c>
      <c r="J258" s="20"/>
      <c r="K258" s="20"/>
      <c r="L258" s="25" t="s">
        <v>95</v>
      </c>
      <c r="M258" s="19"/>
    </row>
    <row r="259" spans="1:13" ht="38.25" x14ac:dyDescent="0.25">
      <c r="A259" s="23" t="s">
        <v>1998</v>
      </c>
      <c r="B259" s="24" t="s">
        <v>39</v>
      </c>
      <c r="C259" s="24" t="s">
        <v>1999</v>
      </c>
      <c r="D259" s="24" t="s">
        <v>2000</v>
      </c>
      <c r="E259" s="24" t="s">
        <v>2001</v>
      </c>
      <c r="F259" s="24" t="s">
        <v>2002</v>
      </c>
      <c r="G259" s="24" t="s">
        <v>2003</v>
      </c>
      <c r="H259" s="24" t="s">
        <v>2004</v>
      </c>
      <c r="I259" s="21" t="s">
        <v>66</v>
      </c>
      <c r="J259" s="24"/>
      <c r="K259" s="24"/>
      <c r="L259" s="22" t="s">
        <v>67</v>
      </c>
      <c r="M259" s="23"/>
    </row>
    <row r="260" spans="1:13" ht="51" x14ac:dyDescent="0.25">
      <c r="A260" s="19" t="s">
        <v>2005</v>
      </c>
      <c r="B260" s="20" t="s">
        <v>39</v>
      </c>
      <c r="C260" s="20" t="s">
        <v>1999</v>
      </c>
      <c r="D260" s="20" t="s">
        <v>2006</v>
      </c>
      <c r="E260" s="20" t="s">
        <v>2007</v>
      </c>
      <c r="F260" s="20" t="s">
        <v>2008</v>
      </c>
      <c r="G260" s="20" t="s">
        <v>2003</v>
      </c>
      <c r="H260" s="20" t="s">
        <v>2009</v>
      </c>
      <c r="I260" s="21" t="s">
        <v>66</v>
      </c>
      <c r="J260" s="20"/>
      <c r="K260" s="20"/>
      <c r="L260" s="22" t="s">
        <v>67</v>
      </c>
      <c r="M260" s="19"/>
    </row>
    <row r="261" spans="1:13" ht="51" x14ac:dyDescent="0.25">
      <c r="A261" s="23" t="s">
        <v>2010</v>
      </c>
      <c r="B261" s="24" t="s">
        <v>39</v>
      </c>
      <c r="C261" s="24" t="s">
        <v>1999</v>
      </c>
      <c r="D261" s="24" t="s">
        <v>2011</v>
      </c>
      <c r="E261" s="24" t="s">
        <v>2012</v>
      </c>
      <c r="F261" s="24" t="s">
        <v>2013</v>
      </c>
      <c r="G261" s="24" t="s">
        <v>2003</v>
      </c>
      <c r="H261" s="24" t="s">
        <v>2014</v>
      </c>
      <c r="I261" s="21" t="s">
        <v>66</v>
      </c>
      <c r="J261" s="24"/>
      <c r="K261" s="24"/>
      <c r="L261" s="22" t="s">
        <v>67</v>
      </c>
      <c r="M261" s="23"/>
    </row>
    <row r="262" spans="1:13" ht="51" x14ac:dyDescent="0.25">
      <c r="A262" s="19" t="s">
        <v>2015</v>
      </c>
      <c r="B262" s="20" t="s">
        <v>39</v>
      </c>
      <c r="C262" s="20" t="s">
        <v>1999</v>
      </c>
      <c r="D262" s="20" t="s">
        <v>1144</v>
      </c>
      <c r="E262" s="20" t="s">
        <v>1144</v>
      </c>
      <c r="F262" s="20" t="s">
        <v>2016</v>
      </c>
      <c r="G262" s="20" t="s">
        <v>2003</v>
      </c>
      <c r="H262" s="20" t="s">
        <v>2017</v>
      </c>
      <c r="I262" s="21" t="s">
        <v>66</v>
      </c>
      <c r="J262" s="20"/>
      <c r="K262" s="20"/>
      <c r="L262" s="25" t="s">
        <v>95</v>
      </c>
      <c r="M262" s="19"/>
    </row>
    <row r="263" spans="1:13" ht="51" x14ac:dyDescent="0.25">
      <c r="A263" s="23" t="s">
        <v>2018</v>
      </c>
      <c r="B263" s="24" t="s">
        <v>39</v>
      </c>
      <c r="C263" s="24" t="s">
        <v>1999</v>
      </c>
      <c r="D263" s="24" t="s">
        <v>2019</v>
      </c>
      <c r="E263" s="24" t="s">
        <v>1140</v>
      </c>
      <c r="F263" s="24" t="s">
        <v>2020</v>
      </c>
      <c r="G263" s="24" t="s">
        <v>2003</v>
      </c>
      <c r="H263" s="24" t="s">
        <v>2021</v>
      </c>
      <c r="I263" s="21" t="s">
        <v>66</v>
      </c>
      <c r="J263" s="24"/>
      <c r="K263" s="24"/>
      <c r="L263" s="22" t="s">
        <v>67</v>
      </c>
      <c r="M263" s="23"/>
    </row>
    <row r="264" spans="1:13" ht="51" x14ac:dyDescent="0.25">
      <c r="A264" s="19" t="s">
        <v>2022</v>
      </c>
      <c r="B264" s="20" t="s">
        <v>39</v>
      </c>
      <c r="C264" s="20" t="s">
        <v>1999</v>
      </c>
      <c r="D264" s="20" t="s">
        <v>2023</v>
      </c>
      <c r="E264" s="20" t="s">
        <v>2023</v>
      </c>
      <c r="F264" s="20" t="s">
        <v>2024</v>
      </c>
      <c r="G264" s="20" t="s">
        <v>2003</v>
      </c>
      <c r="H264" s="20" t="s">
        <v>2025</v>
      </c>
      <c r="I264" s="20"/>
      <c r="J264" s="20"/>
      <c r="K264" s="20"/>
      <c r="L264" s="25" t="s">
        <v>95</v>
      </c>
      <c r="M264" s="19"/>
    </row>
    <row r="265" spans="1:13" ht="51" x14ac:dyDescent="0.25">
      <c r="A265" s="23" t="s">
        <v>2026</v>
      </c>
      <c r="B265" s="24" t="s">
        <v>39</v>
      </c>
      <c r="C265" s="24" t="s">
        <v>792</v>
      </c>
      <c r="D265" s="24" t="s">
        <v>413</v>
      </c>
      <c r="E265" s="24" t="s">
        <v>1149</v>
      </c>
      <c r="F265" s="24" t="s">
        <v>2027</v>
      </c>
      <c r="G265" s="24" t="s">
        <v>2028</v>
      </c>
      <c r="H265" s="24" t="s">
        <v>1320</v>
      </c>
      <c r="I265" s="23"/>
      <c r="J265" s="24"/>
      <c r="K265" s="24"/>
      <c r="L265" s="22" t="s">
        <v>67</v>
      </c>
      <c r="M265" s="23"/>
    </row>
    <row r="266" spans="1:13" ht="51" x14ac:dyDescent="0.25">
      <c r="A266" s="19" t="s">
        <v>2029</v>
      </c>
      <c r="B266" s="20" t="s">
        <v>39</v>
      </c>
      <c r="C266" s="20" t="s">
        <v>792</v>
      </c>
      <c r="D266" s="20" t="s">
        <v>2030</v>
      </c>
      <c r="E266" s="20" t="s">
        <v>2031</v>
      </c>
      <c r="F266" s="20" t="s">
        <v>2032</v>
      </c>
      <c r="G266" s="20" t="s">
        <v>2028</v>
      </c>
      <c r="H266" s="20" t="s">
        <v>2033</v>
      </c>
      <c r="I266" s="21" t="s">
        <v>66</v>
      </c>
      <c r="J266" s="20"/>
      <c r="K266" s="20"/>
      <c r="L266" s="25" t="s">
        <v>95</v>
      </c>
      <c r="M266" s="19"/>
    </row>
    <row r="267" spans="1:13" ht="51" x14ac:dyDescent="0.25">
      <c r="A267" s="23" t="s">
        <v>2034</v>
      </c>
      <c r="B267" s="24" t="s">
        <v>39</v>
      </c>
      <c r="C267" s="24" t="s">
        <v>792</v>
      </c>
      <c r="D267" s="24" t="s">
        <v>2035</v>
      </c>
      <c r="E267" s="24" t="s">
        <v>2036</v>
      </c>
      <c r="F267" s="24" t="s">
        <v>2037</v>
      </c>
      <c r="G267" s="24" t="s">
        <v>2028</v>
      </c>
      <c r="H267" s="24" t="s">
        <v>2038</v>
      </c>
      <c r="I267" s="23"/>
      <c r="J267" s="24"/>
      <c r="K267" s="24"/>
      <c r="L267" s="25" t="s">
        <v>95</v>
      </c>
      <c r="M267" s="23"/>
    </row>
    <row r="268" spans="1:13" ht="51" x14ac:dyDescent="0.25">
      <c r="A268" s="19" t="s">
        <v>2039</v>
      </c>
      <c r="B268" s="20" t="s">
        <v>39</v>
      </c>
      <c r="C268" s="20" t="s">
        <v>792</v>
      </c>
      <c r="D268" s="20" t="s">
        <v>2040</v>
      </c>
      <c r="E268" s="20" t="s">
        <v>2041</v>
      </c>
      <c r="F268" s="20" t="s">
        <v>2042</v>
      </c>
      <c r="G268" s="20" t="s">
        <v>2028</v>
      </c>
      <c r="H268" s="20" t="s">
        <v>2043</v>
      </c>
      <c r="I268" s="33" t="s">
        <v>3684</v>
      </c>
      <c r="J268" s="20"/>
      <c r="K268" s="20"/>
      <c r="L268" s="25" t="s">
        <v>95</v>
      </c>
      <c r="M268" s="19"/>
    </row>
    <row r="269" spans="1:13" ht="51" x14ac:dyDescent="0.25">
      <c r="A269" s="23" t="s">
        <v>2044</v>
      </c>
      <c r="B269" s="24" t="s">
        <v>39</v>
      </c>
      <c r="C269" s="24" t="s">
        <v>792</v>
      </c>
      <c r="D269" s="24" t="s">
        <v>1152</v>
      </c>
      <c r="E269" s="24" t="s">
        <v>1153</v>
      </c>
      <c r="F269" s="24" t="s">
        <v>2045</v>
      </c>
      <c r="G269" s="24" t="s">
        <v>2028</v>
      </c>
      <c r="H269" s="24" t="s">
        <v>2046</v>
      </c>
      <c r="I269" s="23"/>
      <c r="J269" s="24"/>
      <c r="K269" s="24"/>
      <c r="L269" s="25" t="s">
        <v>95</v>
      </c>
      <c r="M269" s="23"/>
    </row>
    <row r="270" spans="1:13" ht="51" x14ac:dyDescent="0.25">
      <c r="A270" s="19" t="s">
        <v>2047</v>
      </c>
      <c r="B270" s="20" t="s">
        <v>39</v>
      </c>
      <c r="C270" s="20" t="s">
        <v>792</v>
      </c>
      <c r="D270" s="20" t="s">
        <v>2048</v>
      </c>
      <c r="E270" s="20" t="s">
        <v>2049</v>
      </c>
      <c r="F270" s="20" t="s">
        <v>2050</v>
      </c>
      <c r="G270" s="20" t="s">
        <v>2028</v>
      </c>
      <c r="H270" s="20" t="s">
        <v>2051</v>
      </c>
      <c r="I270" s="19"/>
      <c r="J270" s="20"/>
      <c r="K270" s="20"/>
      <c r="L270" s="27" t="s">
        <v>131</v>
      </c>
      <c r="M270" s="19"/>
    </row>
    <row r="271" spans="1:13" ht="51" x14ac:dyDescent="0.25">
      <c r="A271" s="23" t="s">
        <v>2052</v>
      </c>
      <c r="B271" s="24" t="s">
        <v>39</v>
      </c>
      <c r="C271" s="24" t="s">
        <v>792</v>
      </c>
      <c r="D271" s="24" t="s">
        <v>2053</v>
      </c>
      <c r="E271" s="24" t="s">
        <v>2054</v>
      </c>
      <c r="F271" s="24" t="s">
        <v>2055</v>
      </c>
      <c r="G271" s="24" t="s">
        <v>2028</v>
      </c>
      <c r="H271" s="24" t="s">
        <v>2056</v>
      </c>
      <c r="I271" s="21" t="s">
        <v>66</v>
      </c>
      <c r="J271" s="24"/>
      <c r="K271" s="24"/>
      <c r="L271" s="22" t="s">
        <v>67</v>
      </c>
      <c r="M271" s="23"/>
    </row>
    <row r="272" spans="1:13" ht="51" x14ac:dyDescent="0.25">
      <c r="A272" s="19" t="s">
        <v>2057</v>
      </c>
      <c r="B272" s="20" t="s">
        <v>39</v>
      </c>
      <c r="C272" s="20" t="s">
        <v>792</v>
      </c>
      <c r="D272" s="20" t="s">
        <v>1157</v>
      </c>
      <c r="E272" s="20" t="s">
        <v>1158</v>
      </c>
      <c r="F272" s="20" t="s">
        <v>2058</v>
      </c>
      <c r="G272" s="20" t="s">
        <v>2028</v>
      </c>
      <c r="H272" s="20" t="s">
        <v>2059</v>
      </c>
      <c r="I272" s="19"/>
      <c r="J272" s="20"/>
      <c r="K272" s="20"/>
      <c r="L272" s="25" t="s">
        <v>95</v>
      </c>
      <c r="M272" s="19"/>
    </row>
    <row r="273" spans="1:13" ht="51" x14ac:dyDescent="0.25">
      <c r="A273" s="23" t="s">
        <v>2060</v>
      </c>
      <c r="B273" s="24" t="s">
        <v>39</v>
      </c>
      <c r="C273" s="24" t="s">
        <v>792</v>
      </c>
      <c r="D273" s="24" t="s">
        <v>1162</v>
      </c>
      <c r="E273" s="24" t="s">
        <v>1163</v>
      </c>
      <c r="F273" s="24" t="s">
        <v>2061</v>
      </c>
      <c r="G273" s="24" t="s">
        <v>2028</v>
      </c>
      <c r="H273" s="24" t="s">
        <v>2062</v>
      </c>
      <c r="I273" s="33" t="s">
        <v>3684</v>
      </c>
      <c r="J273" s="24"/>
      <c r="K273" s="24"/>
      <c r="L273" s="27" t="s">
        <v>131</v>
      </c>
      <c r="M273" s="23"/>
    </row>
    <row r="274" spans="1:13" ht="51" x14ac:dyDescent="0.25">
      <c r="A274" s="19" t="s">
        <v>2063</v>
      </c>
      <c r="B274" s="20" t="s">
        <v>39</v>
      </c>
      <c r="C274" s="20" t="s">
        <v>1305</v>
      </c>
      <c r="D274" s="20" t="s">
        <v>1307</v>
      </c>
      <c r="E274" s="20" t="s">
        <v>1307</v>
      </c>
      <c r="F274" s="20" t="s">
        <v>2064</v>
      </c>
      <c r="G274" s="20" t="s">
        <v>1309</v>
      </c>
      <c r="H274" s="20" t="s">
        <v>2065</v>
      </c>
      <c r="I274" s="19"/>
      <c r="J274" s="20"/>
      <c r="K274" s="20"/>
      <c r="L274" s="22" t="s">
        <v>67</v>
      </c>
      <c r="M274" s="19"/>
    </row>
    <row r="275" spans="1:13" ht="51" x14ac:dyDescent="0.25">
      <c r="A275" s="23" t="s">
        <v>2066</v>
      </c>
      <c r="B275" s="24" t="s">
        <v>39</v>
      </c>
      <c r="C275" s="24" t="s">
        <v>1305</v>
      </c>
      <c r="D275" s="24" t="s">
        <v>2067</v>
      </c>
      <c r="E275" s="24" t="s">
        <v>2068</v>
      </c>
      <c r="F275" s="24" t="s">
        <v>2069</v>
      </c>
      <c r="G275" s="24" t="s">
        <v>1309</v>
      </c>
      <c r="H275" s="24" t="s">
        <v>547</v>
      </c>
      <c r="I275" s="21" t="s">
        <v>66</v>
      </c>
      <c r="J275" s="24"/>
      <c r="K275" s="24"/>
      <c r="L275" s="22" t="s">
        <v>67</v>
      </c>
      <c r="M275" s="23"/>
    </row>
    <row r="276" spans="1:13" ht="51" x14ac:dyDescent="0.25">
      <c r="A276" s="19" t="s">
        <v>2070</v>
      </c>
      <c r="B276" s="20" t="s">
        <v>39</v>
      </c>
      <c r="C276" s="20" t="s">
        <v>1305</v>
      </c>
      <c r="D276" s="20" t="s">
        <v>2071</v>
      </c>
      <c r="E276" s="20" t="s">
        <v>2071</v>
      </c>
      <c r="F276" s="20" t="s">
        <v>2072</v>
      </c>
      <c r="G276" s="20" t="s">
        <v>2073</v>
      </c>
      <c r="H276" s="20" t="s">
        <v>2074</v>
      </c>
      <c r="I276" s="21" t="s">
        <v>66</v>
      </c>
      <c r="J276" s="20"/>
      <c r="K276" s="20"/>
      <c r="L276" s="22" t="s">
        <v>67</v>
      </c>
      <c r="M276" s="19"/>
    </row>
    <row r="277" spans="1:13" ht="51" x14ac:dyDescent="0.25">
      <c r="A277" s="23" t="s">
        <v>2075</v>
      </c>
      <c r="B277" s="24" t="s">
        <v>39</v>
      </c>
      <c r="C277" s="24" t="s">
        <v>1305</v>
      </c>
      <c r="D277" s="24" t="s">
        <v>2076</v>
      </c>
      <c r="E277" s="24" t="s">
        <v>2077</v>
      </c>
      <c r="F277" s="24" t="s">
        <v>2078</v>
      </c>
      <c r="G277" s="24" t="s">
        <v>1309</v>
      </c>
      <c r="H277" s="24" t="s">
        <v>2079</v>
      </c>
      <c r="I277" s="21" t="s">
        <v>66</v>
      </c>
      <c r="J277" s="24"/>
      <c r="K277" s="24"/>
      <c r="L277" s="25" t="s">
        <v>95</v>
      </c>
      <c r="M277" s="23"/>
    </row>
    <row r="278" spans="1:13" ht="51" x14ac:dyDescent="0.25">
      <c r="A278" s="19" t="s">
        <v>2080</v>
      </c>
      <c r="B278" s="20" t="s">
        <v>39</v>
      </c>
      <c r="C278" s="20" t="s">
        <v>1305</v>
      </c>
      <c r="D278" s="20" t="s">
        <v>2081</v>
      </c>
      <c r="E278" s="20" t="s">
        <v>1313</v>
      </c>
      <c r="F278" s="20" t="s">
        <v>2082</v>
      </c>
      <c r="G278" s="20" t="s">
        <v>1309</v>
      </c>
      <c r="H278" s="20" t="s">
        <v>2083</v>
      </c>
      <c r="I278" s="21" t="s">
        <v>66</v>
      </c>
      <c r="J278" s="20"/>
      <c r="K278" s="20"/>
      <c r="L278" s="22" t="s">
        <v>67</v>
      </c>
      <c r="M278" s="19"/>
    </row>
    <row r="279" spans="1:13" ht="51" x14ac:dyDescent="0.25">
      <c r="A279" s="23" t="s">
        <v>2084</v>
      </c>
      <c r="B279" s="24" t="s">
        <v>39</v>
      </c>
      <c r="C279" s="24" t="s">
        <v>1305</v>
      </c>
      <c r="D279" s="24" t="s">
        <v>180</v>
      </c>
      <c r="E279" s="24" t="s">
        <v>2085</v>
      </c>
      <c r="F279" s="24" t="s">
        <v>2086</v>
      </c>
      <c r="G279" s="24" t="s">
        <v>1309</v>
      </c>
      <c r="H279" s="24" t="s">
        <v>690</v>
      </c>
      <c r="I279" s="21" t="s">
        <v>66</v>
      </c>
      <c r="J279" s="24"/>
      <c r="K279" s="24"/>
      <c r="L279" s="25" t="s">
        <v>95</v>
      </c>
      <c r="M279" s="23"/>
    </row>
    <row r="280" spans="1:13" ht="51" x14ac:dyDescent="0.25">
      <c r="A280" s="19" t="s">
        <v>2087</v>
      </c>
      <c r="B280" s="20" t="s">
        <v>39</v>
      </c>
      <c r="C280" s="20" t="s">
        <v>2088</v>
      </c>
      <c r="D280" s="20" t="s">
        <v>2089</v>
      </c>
      <c r="E280" s="20" t="s">
        <v>2090</v>
      </c>
      <c r="F280" s="20" t="s">
        <v>2091</v>
      </c>
      <c r="G280" s="20" t="s">
        <v>1291</v>
      </c>
      <c r="H280" s="20" t="s">
        <v>2092</v>
      </c>
      <c r="I280" s="33" t="s">
        <v>3684</v>
      </c>
      <c r="J280" s="20"/>
      <c r="K280" s="20"/>
      <c r="L280" s="26" t="s">
        <v>103</v>
      </c>
      <c r="M280" s="19"/>
    </row>
    <row r="281" spans="1:13" ht="51" x14ac:dyDescent="0.25">
      <c r="A281" s="23" t="s">
        <v>2093</v>
      </c>
      <c r="B281" s="24" t="s">
        <v>39</v>
      </c>
      <c r="C281" s="24" t="s">
        <v>2088</v>
      </c>
      <c r="D281" s="24" t="s">
        <v>2094</v>
      </c>
      <c r="E281" s="24" t="s">
        <v>2095</v>
      </c>
      <c r="F281" s="24" t="s">
        <v>2096</v>
      </c>
      <c r="G281" s="24" t="s">
        <v>1291</v>
      </c>
      <c r="H281" s="24" t="s">
        <v>2097</v>
      </c>
      <c r="I281" s="21" t="s">
        <v>66</v>
      </c>
      <c r="J281" s="24"/>
      <c r="K281" s="24"/>
      <c r="L281" s="26" t="s">
        <v>103</v>
      </c>
      <c r="M281" s="23"/>
    </row>
    <row r="282" spans="1:13" ht="51" x14ac:dyDescent="0.25">
      <c r="A282" s="19" t="s">
        <v>2098</v>
      </c>
      <c r="B282" s="20" t="s">
        <v>39</v>
      </c>
      <c r="C282" s="20" t="s">
        <v>2088</v>
      </c>
      <c r="D282" s="20" t="s">
        <v>2099</v>
      </c>
      <c r="E282" s="20" t="s">
        <v>2100</v>
      </c>
      <c r="F282" s="20" t="s">
        <v>2101</v>
      </c>
      <c r="G282" s="20" t="s">
        <v>1291</v>
      </c>
      <c r="H282" s="20" t="s">
        <v>2102</v>
      </c>
      <c r="I282" s="21" t="s">
        <v>66</v>
      </c>
      <c r="J282" s="20"/>
      <c r="K282" s="20"/>
      <c r="L282" s="22" t="s">
        <v>67</v>
      </c>
      <c r="M282" s="19"/>
    </row>
    <row r="283" spans="1:13" ht="51" x14ac:dyDescent="0.25">
      <c r="A283" s="23" t="s">
        <v>2103</v>
      </c>
      <c r="B283" s="24" t="s">
        <v>39</v>
      </c>
      <c r="C283" s="24" t="s">
        <v>2088</v>
      </c>
      <c r="D283" s="24" t="s">
        <v>2104</v>
      </c>
      <c r="E283" s="24" t="s">
        <v>1760</v>
      </c>
      <c r="F283" s="24" t="s">
        <v>2105</v>
      </c>
      <c r="G283" s="24" t="s">
        <v>1291</v>
      </c>
      <c r="H283" s="24" t="s">
        <v>2106</v>
      </c>
      <c r="I283" s="23"/>
      <c r="J283" s="24"/>
      <c r="K283" s="24"/>
      <c r="L283" s="25" t="s">
        <v>95</v>
      </c>
      <c r="M283" s="23"/>
    </row>
    <row r="284" spans="1:13" ht="51" x14ac:dyDescent="0.25">
      <c r="A284" s="19" t="s">
        <v>2107</v>
      </c>
      <c r="B284" s="20" t="s">
        <v>39</v>
      </c>
      <c r="C284" s="20" t="s">
        <v>2088</v>
      </c>
      <c r="D284" s="20" t="s">
        <v>2108</v>
      </c>
      <c r="E284" s="20" t="s">
        <v>2108</v>
      </c>
      <c r="F284" s="20" t="s">
        <v>2109</v>
      </c>
      <c r="G284" s="20" t="s">
        <v>1291</v>
      </c>
      <c r="H284" s="20" t="s">
        <v>2110</v>
      </c>
      <c r="I284" s="19"/>
      <c r="J284" s="20"/>
      <c r="K284" s="20"/>
      <c r="L284" s="25" t="s">
        <v>95</v>
      </c>
      <c r="M284" s="19"/>
    </row>
    <row r="285" spans="1:13" ht="51" x14ac:dyDescent="0.25">
      <c r="A285" s="23" t="s">
        <v>2111</v>
      </c>
      <c r="B285" s="24" t="s">
        <v>39</v>
      </c>
      <c r="C285" s="24" t="s">
        <v>2088</v>
      </c>
      <c r="D285" s="24" t="s">
        <v>2112</v>
      </c>
      <c r="E285" s="24" t="s">
        <v>2113</v>
      </c>
      <c r="F285" s="24" t="s">
        <v>2114</v>
      </c>
      <c r="G285" s="24" t="s">
        <v>1291</v>
      </c>
      <c r="H285" s="24" t="s">
        <v>2115</v>
      </c>
      <c r="I285" s="23"/>
      <c r="J285" s="24"/>
      <c r="K285" s="24"/>
      <c r="L285" s="26" t="s">
        <v>103</v>
      </c>
      <c r="M285" s="23"/>
    </row>
    <row r="286" spans="1:13" ht="63.75" x14ac:dyDescent="0.25">
      <c r="A286" s="19" t="s">
        <v>2116</v>
      </c>
      <c r="B286" s="20" t="s">
        <v>39</v>
      </c>
      <c r="C286" s="20" t="s">
        <v>2088</v>
      </c>
      <c r="D286" s="20" t="s">
        <v>2117</v>
      </c>
      <c r="E286" s="20" t="s">
        <v>2118</v>
      </c>
      <c r="F286" s="20" t="s">
        <v>2119</v>
      </c>
      <c r="G286" s="20" t="s">
        <v>1291</v>
      </c>
      <c r="H286" s="20" t="s">
        <v>2120</v>
      </c>
      <c r="I286" s="19"/>
      <c r="J286" s="20"/>
      <c r="K286" s="20"/>
      <c r="L286" s="26" t="s">
        <v>103</v>
      </c>
      <c r="M286" s="19"/>
    </row>
    <row r="287" spans="1:13" ht="51" x14ac:dyDescent="0.25">
      <c r="A287" s="23" t="s">
        <v>2121</v>
      </c>
      <c r="B287" s="24" t="s">
        <v>39</v>
      </c>
      <c r="C287" s="24" t="s">
        <v>2088</v>
      </c>
      <c r="D287" s="24" t="s">
        <v>1294</v>
      </c>
      <c r="E287" s="24" t="s">
        <v>1295</v>
      </c>
      <c r="F287" s="24" t="s">
        <v>2122</v>
      </c>
      <c r="G287" s="24" t="s">
        <v>1291</v>
      </c>
      <c r="H287" s="24" t="s">
        <v>2123</v>
      </c>
      <c r="I287" s="23"/>
      <c r="J287" s="24"/>
      <c r="K287" s="24"/>
      <c r="L287" s="26" t="s">
        <v>103</v>
      </c>
      <c r="M287" s="23"/>
    </row>
    <row r="288" spans="1:13" ht="51" x14ac:dyDescent="0.25">
      <c r="A288" s="19" t="s">
        <v>2124</v>
      </c>
      <c r="B288" s="20" t="s">
        <v>39</v>
      </c>
      <c r="C288" s="20" t="s">
        <v>2088</v>
      </c>
      <c r="D288" s="20" t="s">
        <v>2125</v>
      </c>
      <c r="E288" s="20" t="s">
        <v>2126</v>
      </c>
      <c r="F288" s="20" t="s">
        <v>2127</v>
      </c>
      <c r="G288" s="20" t="s">
        <v>1291</v>
      </c>
      <c r="H288" s="20" t="s">
        <v>2128</v>
      </c>
      <c r="I288" s="19"/>
      <c r="J288" s="20"/>
      <c r="K288" s="20"/>
      <c r="L288" s="25" t="s">
        <v>95</v>
      </c>
      <c r="M288" s="19"/>
    </row>
    <row r="289" spans="1:13" ht="51" x14ac:dyDescent="0.25">
      <c r="A289" s="23" t="s">
        <v>2129</v>
      </c>
      <c r="B289" s="24" t="s">
        <v>39</v>
      </c>
      <c r="C289" s="24" t="s">
        <v>2088</v>
      </c>
      <c r="D289" s="24" t="s">
        <v>2130</v>
      </c>
      <c r="E289" s="24" t="s">
        <v>2131</v>
      </c>
      <c r="F289" s="24" t="s">
        <v>2132</v>
      </c>
      <c r="G289" s="24" t="s">
        <v>2133</v>
      </c>
      <c r="H289" s="24" t="s">
        <v>2134</v>
      </c>
      <c r="I289" s="23"/>
      <c r="J289" s="24"/>
      <c r="K289" s="24"/>
      <c r="L289" s="26" t="s">
        <v>103</v>
      </c>
      <c r="M289" s="23"/>
    </row>
    <row r="290" spans="1:13" ht="51" x14ac:dyDescent="0.25">
      <c r="A290" s="19" t="s">
        <v>2135</v>
      </c>
      <c r="B290" s="20" t="s">
        <v>39</v>
      </c>
      <c r="C290" s="20" t="s">
        <v>2088</v>
      </c>
      <c r="D290" s="20" t="s">
        <v>2136</v>
      </c>
      <c r="E290" s="20" t="s">
        <v>2137</v>
      </c>
      <c r="F290" s="20" t="s">
        <v>2138</v>
      </c>
      <c r="G290" s="20" t="s">
        <v>1291</v>
      </c>
      <c r="H290" s="20" t="s">
        <v>2139</v>
      </c>
      <c r="I290" s="19"/>
      <c r="J290" s="20"/>
      <c r="K290" s="20"/>
      <c r="L290" s="22" t="s">
        <v>67</v>
      </c>
      <c r="M290" s="19"/>
    </row>
    <row r="291" spans="1:13" ht="51" x14ac:dyDescent="0.25">
      <c r="A291" s="23" t="s">
        <v>2140</v>
      </c>
      <c r="B291" s="24" t="s">
        <v>39</v>
      </c>
      <c r="C291" s="24" t="s">
        <v>2088</v>
      </c>
      <c r="D291" s="24" t="s">
        <v>2141</v>
      </c>
      <c r="E291" s="24" t="s">
        <v>2142</v>
      </c>
      <c r="F291" s="24" t="s">
        <v>2143</v>
      </c>
      <c r="G291" s="24" t="s">
        <v>1291</v>
      </c>
      <c r="H291" s="24" t="s">
        <v>2144</v>
      </c>
      <c r="I291" s="33" t="s">
        <v>3684</v>
      </c>
      <c r="J291" s="24"/>
      <c r="K291" s="24"/>
      <c r="L291" s="22" t="s">
        <v>67</v>
      </c>
      <c r="M291" s="23"/>
    </row>
    <row r="292" spans="1:13" ht="51" x14ac:dyDescent="0.25">
      <c r="A292" s="19" t="s">
        <v>2145</v>
      </c>
      <c r="B292" s="20" t="s">
        <v>39</v>
      </c>
      <c r="C292" s="20" t="s">
        <v>2088</v>
      </c>
      <c r="D292" s="20" t="s">
        <v>2146</v>
      </c>
      <c r="E292" s="20" t="s">
        <v>2147</v>
      </c>
      <c r="F292" s="20" t="s">
        <v>2148</v>
      </c>
      <c r="G292" s="20" t="s">
        <v>1291</v>
      </c>
      <c r="H292" s="20" t="s">
        <v>2149</v>
      </c>
      <c r="I292" s="19"/>
      <c r="J292" s="20"/>
      <c r="K292" s="20"/>
      <c r="L292" s="27" t="s">
        <v>131</v>
      </c>
      <c r="M292" s="19"/>
    </row>
    <row r="293" spans="1:13" ht="51" x14ac:dyDescent="0.25">
      <c r="A293" s="23" t="s">
        <v>2150</v>
      </c>
      <c r="B293" s="24" t="s">
        <v>39</v>
      </c>
      <c r="C293" s="24" t="s">
        <v>778</v>
      </c>
      <c r="D293" s="24" t="s">
        <v>779</v>
      </c>
      <c r="E293" s="24" t="s">
        <v>2151</v>
      </c>
      <c r="F293" s="24" t="s">
        <v>2152</v>
      </c>
      <c r="G293" s="24" t="s">
        <v>2153</v>
      </c>
      <c r="H293" s="24" t="s">
        <v>2154</v>
      </c>
      <c r="I293" s="23"/>
      <c r="J293" s="24"/>
      <c r="K293" s="24"/>
      <c r="L293" s="22" t="s">
        <v>67</v>
      </c>
      <c r="M293" s="23"/>
    </row>
    <row r="294" spans="1:13" ht="51" x14ac:dyDescent="0.25">
      <c r="A294" s="19" t="s">
        <v>2155</v>
      </c>
      <c r="B294" s="20" t="s">
        <v>39</v>
      </c>
      <c r="C294" s="20" t="s">
        <v>778</v>
      </c>
      <c r="D294" s="20" t="s">
        <v>2156</v>
      </c>
      <c r="E294" s="20" t="s">
        <v>2157</v>
      </c>
      <c r="F294" s="20" t="s">
        <v>2158</v>
      </c>
      <c r="G294" s="20" t="s">
        <v>2153</v>
      </c>
      <c r="H294" s="20" t="s">
        <v>2159</v>
      </c>
      <c r="I294" s="19"/>
      <c r="J294" s="20"/>
      <c r="K294" s="20"/>
      <c r="L294" s="25" t="s">
        <v>95</v>
      </c>
      <c r="M294" s="19"/>
    </row>
    <row r="295" spans="1:13" ht="51" x14ac:dyDescent="0.25">
      <c r="A295" s="23" t="s">
        <v>2160</v>
      </c>
      <c r="B295" s="24" t="s">
        <v>39</v>
      </c>
      <c r="C295" s="24" t="s">
        <v>778</v>
      </c>
      <c r="D295" s="24" t="s">
        <v>2161</v>
      </c>
      <c r="E295" s="24" t="s">
        <v>2162</v>
      </c>
      <c r="F295" s="24" t="s">
        <v>2163</v>
      </c>
      <c r="G295" s="24" t="s">
        <v>2153</v>
      </c>
      <c r="H295" s="24" t="s">
        <v>2164</v>
      </c>
      <c r="I295" s="23"/>
      <c r="J295" s="24"/>
      <c r="K295" s="24"/>
      <c r="L295" s="25" t="s">
        <v>95</v>
      </c>
      <c r="M295" s="23"/>
    </row>
    <row r="296" spans="1:13" ht="51" x14ac:dyDescent="0.25">
      <c r="A296" s="19" t="s">
        <v>2165</v>
      </c>
      <c r="B296" s="20" t="s">
        <v>39</v>
      </c>
      <c r="C296" s="20" t="s">
        <v>778</v>
      </c>
      <c r="D296" s="20" t="s">
        <v>2166</v>
      </c>
      <c r="E296" s="20" t="s">
        <v>2167</v>
      </c>
      <c r="F296" s="20" t="s">
        <v>2168</v>
      </c>
      <c r="G296" s="20" t="s">
        <v>2153</v>
      </c>
      <c r="H296" s="20" t="s">
        <v>2169</v>
      </c>
      <c r="I296" s="19"/>
      <c r="J296" s="20"/>
      <c r="K296" s="20"/>
      <c r="L296" s="25" t="s">
        <v>95</v>
      </c>
      <c r="M296" s="19"/>
    </row>
    <row r="297" spans="1:13" ht="51" x14ac:dyDescent="0.25">
      <c r="A297" s="23" t="s">
        <v>2170</v>
      </c>
      <c r="B297" s="24" t="s">
        <v>39</v>
      </c>
      <c r="C297" s="24" t="s">
        <v>460</v>
      </c>
      <c r="D297" s="24" t="s">
        <v>2171</v>
      </c>
      <c r="E297" s="24" t="s">
        <v>2171</v>
      </c>
      <c r="F297" s="24" t="s">
        <v>2172</v>
      </c>
      <c r="G297" s="24" t="s">
        <v>2173</v>
      </c>
      <c r="H297" s="24" t="s">
        <v>2174</v>
      </c>
      <c r="I297" s="23"/>
      <c r="J297" s="24"/>
      <c r="K297" s="24"/>
      <c r="L297" s="22" t="s">
        <v>67</v>
      </c>
      <c r="M297" s="23"/>
    </row>
    <row r="298" spans="1:13" ht="51" x14ac:dyDescent="0.25">
      <c r="A298" s="19" t="s">
        <v>2175</v>
      </c>
      <c r="B298" s="20" t="s">
        <v>39</v>
      </c>
      <c r="C298" s="20" t="s">
        <v>460</v>
      </c>
      <c r="D298" s="20" t="s">
        <v>461</v>
      </c>
      <c r="E298" s="20" t="s">
        <v>2176</v>
      </c>
      <c r="F298" s="20" t="s">
        <v>2177</v>
      </c>
      <c r="G298" s="20" t="s">
        <v>2173</v>
      </c>
      <c r="H298" s="20" t="s">
        <v>2178</v>
      </c>
      <c r="I298" s="19"/>
      <c r="J298" s="20"/>
      <c r="K298" s="20"/>
      <c r="L298" s="22" t="s">
        <v>67</v>
      </c>
      <c r="M298" s="19"/>
    </row>
    <row r="299" spans="1:13" ht="51" x14ac:dyDescent="0.25">
      <c r="A299" s="23" t="s">
        <v>2179</v>
      </c>
      <c r="B299" s="24" t="s">
        <v>39</v>
      </c>
      <c r="C299" s="24" t="s">
        <v>460</v>
      </c>
      <c r="D299" s="24" t="s">
        <v>2180</v>
      </c>
      <c r="E299" s="24" t="s">
        <v>2181</v>
      </c>
      <c r="F299" s="24" t="s">
        <v>2182</v>
      </c>
      <c r="G299" s="24" t="s">
        <v>2183</v>
      </c>
      <c r="H299" s="24" t="s">
        <v>2184</v>
      </c>
      <c r="I299" s="23"/>
      <c r="J299" s="24"/>
      <c r="K299" s="24"/>
      <c r="L299" s="25" t="s">
        <v>95</v>
      </c>
      <c r="M299" s="23"/>
    </row>
    <row r="300" spans="1:13" ht="51" x14ac:dyDescent="0.25">
      <c r="A300" s="19" t="s">
        <v>2185</v>
      </c>
      <c r="B300" s="20" t="s">
        <v>39</v>
      </c>
      <c r="C300" s="20" t="s">
        <v>460</v>
      </c>
      <c r="D300" s="20" t="s">
        <v>2186</v>
      </c>
      <c r="E300" s="20" t="s">
        <v>2186</v>
      </c>
      <c r="F300" s="20" t="s">
        <v>2187</v>
      </c>
      <c r="G300" s="20" t="s">
        <v>2183</v>
      </c>
      <c r="H300" s="20" t="s">
        <v>2188</v>
      </c>
      <c r="I300" s="19"/>
      <c r="J300" s="20"/>
      <c r="K300" s="20"/>
      <c r="L300" s="27" t="s">
        <v>131</v>
      </c>
      <c r="M300" s="19"/>
    </row>
    <row r="301" spans="1:13" ht="51" x14ac:dyDescent="0.25">
      <c r="A301" s="23" t="s">
        <v>2189</v>
      </c>
      <c r="B301" s="24" t="s">
        <v>39</v>
      </c>
      <c r="C301" s="24" t="s">
        <v>1325</v>
      </c>
      <c r="D301" s="24" t="s">
        <v>2190</v>
      </c>
      <c r="E301" s="24" t="s">
        <v>1327</v>
      </c>
      <c r="F301" s="24" t="s">
        <v>2191</v>
      </c>
      <c r="G301" s="24" t="s">
        <v>1329</v>
      </c>
      <c r="H301" s="24" t="s">
        <v>2192</v>
      </c>
      <c r="I301" s="33" t="s">
        <v>3684</v>
      </c>
      <c r="J301" s="24"/>
      <c r="K301" s="24"/>
      <c r="L301" s="22" t="s">
        <v>67</v>
      </c>
      <c r="M301" s="23"/>
    </row>
    <row r="302" spans="1:13" ht="51" x14ac:dyDescent="0.25">
      <c r="A302" s="19" t="s">
        <v>2193</v>
      </c>
      <c r="B302" s="20" t="s">
        <v>39</v>
      </c>
      <c r="C302" s="20" t="s">
        <v>1325</v>
      </c>
      <c r="D302" s="20" t="s">
        <v>702</v>
      </c>
      <c r="E302" s="20" t="s">
        <v>2194</v>
      </c>
      <c r="F302" s="20" t="s">
        <v>2195</v>
      </c>
      <c r="G302" s="20" t="s">
        <v>1329</v>
      </c>
      <c r="H302" s="20" t="s">
        <v>2196</v>
      </c>
      <c r="I302" s="33" t="s">
        <v>3684</v>
      </c>
      <c r="J302" s="20"/>
      <c r="K302" s="20"/>
      <c r="L302" s="22" t="s">
        <v>67</v>
      </c>
      <c r="M302" s="19"/>
    </row>
    <row r="303" spans="1:13" ht="51" x14ac:dyDescent="0.25">
      <c r="A303" s="23" t="s">
        <v>2197</v>
      </c>
      <c r="B303" s="24" t="s">
        <v>39</v>
      </c>
      <c r="C303" s="24" t="s">
        <v>1325</v>
      </c>
      <c r="D303" s="24" t="s">
        <v>2198</v>
      </c>
      <c r="E303" s="24" t="s">
        <v>2198</v>
      </c>
      <c r="F303" s="24" t="s">
        <v>2199</v>
      </c>
      <c r="G303" s="24" t="s">
        <v>1329</v>
      </c>
      <c r="H303" s="24" t="s">
        <v>2200</v>
      </c>
      <c r="I303" s="33" t="s">
        <v>3684</v>
      </c>
      <c r="J303" s="24"/>
      <c r="K303" s="24"/>
      <c r="L303" s="25" t="s">
        <v>95</v>
      </c>
      <c r="M303" s="23"/>
    </row>
    <row r="304" spans="1:13" ht="51" x14ac:dyDescent="0.25">
      <c r="A304" s="19" t="s">
        <v>2201</v>
      </c>
      <c r="B304" s="20" t="s">
        <v>39</v>
      </c>
      <c r="C304" s="20" t="s">
        <v>1325</v>
      </c>
      <c r="D304" s="20" t="s">
        <v>2202</v>
      </c>
      <c r="E304" s="20" t="s">
        <v>2203</v>
      </c>
      <c r="F304" s="20" t="s">
        <v>2204</v>
      </c>
      <c r="G304" s="20" t="s">
        <v>1329</v>
      </c>
      <c r="H304" s="20" t="s">
        <v>2205</v>
      </c>
      <c r="I304" s="33" t="s">
        <v>3684</v>
      </c>
      <c r="J304" s="20"/>
      <c r="K304" s="20"/>
      <c r="L304" s="27" t="s">
        <v>131</v>
      </c>
      <c r="M304" s="19"/>
    </row>
    <row r="305" spans="1:13" ht="51" x14ac:dyDescent="0.25">
      <c r="A305" s="23" t="s">
        <v>2206</v>
      </c>
      <c r="B305" s="24" t="s">
        <v>39</v>
      </c>
      <c r="C305" s="24" t="s">
        <v>483</v>
      </c>
      <c r="D305" s="24" t="s">
        <v>1217</v>
      </c>
      <c r="E305" s="24" t="s">
        <v>1218</v>
      </c>
      <c r="F305" s="24" t="s">
        <v>1572</v>
      </c>
      <c r="G305" s="24" t="s">
        <v>902</v>
      </c>
      <c r="H305" s="24" t="s">
        <v>1220</v>
      </c>
      <c r="I305" s="23"/>
      <c r="J305" s="24"/>
      <c r="K305" s="24"/>
      <c r="L305" s="22" t="s">
        <v>67</v>
      </c>
      <c r="M305" s="23"/>
    </row>
    <row r="306" spans="1:13" ht="51" x14ac:dyDescent="0.25">
      <c r="A306" s="19" t="s">
        <v>2207</v>
      </c>
      <c r="B306" s="20" t="s">
        <v>39</v>
      </c>
      <c r="C306" s="20" t="s">
        <v>483</v>
      </c>
      <c r="D306" s="20" t="s">
        <v>1222</v>
      </c>
      <c r="E306" s="20" t="s">
        <v>2208</v>
      </c>
      <c r="F306" s="20" t="s">
        <v>2209</v>
      </c>
      <c r="G306" s="20" t="s">
        <v>1225</v>
      </c>
      <c r="H306" s="20" t="s">
        <v>1821</v>
      </c>
      <c r="I306" s="19"/>
      <c r="J306" s="20"/>
      <c r="K306" s="20"/>
      <c r="L306" s="22" t="s">
        <v>67</v>
      </c>
      <c r="M306" s="19"/>
    </row>
    <row r="307" spans="1:13" ht="51" x14ac:dyDescent="0.25">
      <c r="A307" s="23" t="s">
        <v>2210</v>
      </c>
      <c r="B307" s="24" t="s">
        <v>39</v>
      </c>
      <c r="C307" s="24" t="s">
        <v>483</v>
      </c>
      <c r="D307" s="24" t="s">
        <v>2211</v>
      </c>
      <c r="E307" s="24" t="s">
        <v>2212</v>
      </c>
      <c r="F307" s="24" t="s">
        <v>2213</v>
      </c>
      <c r="G307" s="24" t="s">
        <v>1225</v>
      </c>
      <c r="H307" s="24" t="s">
        <v>2214</v>
      </c>
      <c r="I307" s="23"/>
      <c r="J307" s="24"/>
      <c r="K307" s="24"/>
      <c r="L307" s="25" t="s">
        <v>95</v>
      </c>
      <c r="M307" s="23"/>
    </row>
    <row r="308" spans="1:13" ht="51" x14ac:dyDescent="0.25">
      <c r="A308" s="19" t="s">
        <v>2215</v>
      </c>
      <c r="B308" s="20" t="s">
        <v>39</v>
      </c>
      <c r="C308" s="20" t="s">
        <v>483</v>
      </c>
      <c r="D308" s="20" t="s">
        <v>1228</v>
      </c>
      <c r="E308" s="20" t="s">
        <v>1229</v>
      </c>
      <c r="F308" s="20" t="s">
        <v>2216</v>
      </c>
      <c r="G308" s="20" t="s">
        <v>1231</v>
      </c>
      <c r="H308" s="20" t="s">
        <v>1897</v>
      </c>
      <c r="I308" s="19"/>
      <c r="J308" s="20"/>
      <c r="K308" s="20"/>
      <c r="L308" s="25" t="s">
        <v>95</v>
      </c>
      <c r="M308" s="19"/>
    </row>
    <row r="309" spans="1:13" ht="51" x14ac:dyDescent="0.25">
      <c r="A309" s="23" t="s">
        <v>2217</v>
      </c>
      <c r="B309" s="24" t="s">
        <v>39</v>
      </c>
      <c r="C309" s="24" t="s">
        <v>483</v>
      </c>
      <c r="D309" s="24" t="s">
        <v>1890</v>
      </c>
      <c r="E309" s="24" t="s">
        <v>2218</v>
      </c>
      <c r="F309" s="24" t="s">
        <v>2219</v>
      </c>
      <c r="G309" s="24" t="s">
        <v>1887</v>
      </c>
      <c r="H309" s="24" t="s">
        <v>2220</v>
      </c>
      <c r="I309" s="23"/>
      <c r="J309" s="24"/>
      <c r="K309" s="24"/>
      <c r="L309" s="25" t="s">
        <v>95</v>
      </c>
      <c r="M309" s="23"/>
    </row>
    <row r="310" spans="1:13" ht="51" x14ac:dyDescent="0.25">
      <c r="A310" s="19" t="s">
        <v>2221</v>
      </c>
      <c r="B310" s="20" t="s">
        <v>39</v>
      </c>
      <c r="C310" s="20" t="s">
        <v>483</v>
      </c>
      <c r="D310" s="20" t="s">
        <v>2222</v>
      </c>
      <c r="E310" s="20" t="s">
        <v>2223</v>
      </c>
      <c r="F310" s="20" t="s">
        <v>2224</v>
      </c>
      <c r="G310" s="20" t="s">
        <v>828</v>
      </c>
      <c r="H310" s="20" t="s">
        <v>2225</v>
      </c>
      <c r="I310" s="19"/>
      <c r="J310" s="20"/>
      <c r="K310" s="20"/>
      <c r="L310" s="25" t="s">
        <v>95</v>
      </c>
      <c r="M310" s="19"/>
    </row>
    <row r="311" spans="1:13" ht="51" x14ac:dyDescent="0.25">
      <c r="A311" s="23" t="s">
        <v>2226</v>
      </c>
      <c r="B311" s="24" t="s">
        <v>39</v>
      </c>
      <c r="C311" s="24" t="s">
        <v>483</v>
      </c>
      <c r="D311" s="24" t="s">
        <v>2227</v>
      </c>
      <c r="E311" s="24" t="s">
        <v>2228</v>
      </c>
      <c r="F311" s="24" t="s">
        <v>1906</v>
      </c>
      <c r="G311" s="24" t="s">
        <v>1231</v>
      </c>
      <c r="H311" s="24" t="s">
        <v>2229</v>
      </c>
      <c r="I311" s="23"/>
      <c r="J311" s="24"/>
      <c r="K311" s="24"/>
      <c r="L311" s="25" t="s">
        <v>95</v>
      </c>
      <c r="M311" s="23"/>
    </row>
    <row r="312" spans="1:13" ht="51" x14ac:dyDescent="0.25">
      <c r="A312" s="19" t="s">
        <v>2230</v>
      </c>
      <c r="B312" s="20" t="s">
        <v>39</v>
      </c>
      <c r="C312" s="20" t="s">
        <v>2231</v>
      </c>
      <c r="D312" s="20" t="s">
        <v>2232</v>
      </c>
      <c r="E312" s="20" t="s">
        <v>2233</v>
      </c>
      <c r="F312" s="20" t="s">
        <v>2234</v>
      </c>
      <c r="G312" s="20" t="s">
        <v>2235</v>
      </c>
      <c r="H312" s="20" t="s">
        <v>2236</v>
      </c>
      <c r="I312" s="19"/>
      <c r="J312" s="20"/>
      <c r="K312" s="20"/>
      <c r="L312" s="27" t="s">
        <v>131</v>
      </c>
      <c r="M312" s="19"/>
    </row>
    <row r="313" spans="1:13" ht="51" x14ac:dyDescent="0.25">
      <c r="A313" s="23" t="s">
        <v>2237</v>
      </c>
      <c r="B313" s="24" t="s">
        <v>39</v>
      </c>
      <c r="C313" s="24" t="s">
        <v>2231</v>
      </c>
      <c r="D313" s="24" t="s">
        <v>2238</v>
      </c>
      <c r="E313" s="24" t="s">
        <v>2239</v>
      </c>
      <c r="F313" s="24" t="s">
        <v>2240</v>
      </c>
      <c r="G313" s="24" t="s">
        <v>2241</v>
      </c>
      <c r="H313" s="24" t="s">
        <v>2242</v>
      </c>
      <c r="I313" s="23"/>
      <c r="J313" s="24"/>
      <c r="K313" s="24"/>
      <c r="L313" s="25" t="s">
        <v>95</v>
      </c>
      <c r="M313" s="23"/>
    </row>
    <row r="314" spans="1:13" ht="38.25" x14ac:dyDescent="0.25">
      <c r="A314" s="19" t="s">
        <v>2243</v>
      </c>
      <c r="B314" s="20" t="s">
        <v>39</v>
      </c>
      <c r="C314" s="20" t="s">
        <v>2231</v>
      </c>
      <c r="D314" s="20" t="s">
        <v>2244</v>
      </c>
      <c r="E314" s="20" t="s">
        <v>2245</v>
      </c>
      <c r="F314" s="20" t="s">
        <v>2246</v>
      </c>
      <c r="G314" s="20" t="s">
        <v>2247</v>
      </c>
      <c r="H314" s="20" t="s">
        <v>2248</v>
      </c>
      <c r="I314" s="19"/>
      <c r="J314" s="20"/>
      <c r="K314" s="20"/>
      <c r="L314" s="25" t="s">
        <v>95</v>
      </c>
      <c r="M314" s="19"/>
    </row>
    <row r="315" spans="1:13" ht="38.25" x14ac:dyDescent="0.25">
      <c r="A315" s="23" t="s">
        <v>2249</v>
      </c>
      <c r="B315" s="24" t="s">
        <v>39</v>
      </c>
      <c r="C315" s="24" t="s">
        <v>2231</v>
      </c>
      <c r="D315" s="24" t="s">
        <v>2250</v>
      </c>
      <c r="E315" s="24" t="s">
        <v>2251</v>
      </c>
      <c r="F315" s="24" t="s">
        <v>2252</v>
      </c>
      <c r="G315" s="24" t="s">
        <v>2253</v>
      </c>
      <c r="H315" s="24" t="s">
        <v>2254</v>
      </c>
      <c r="I315" s="23"/>
      <c r="J315" s="24"/>
      <c r="K315" s="24"/>
      <c r="L315" s="25" t="s">
        <v>95</v>
      </c>
      <c r="M315" s="23"/>
    </row>
    <row r="316" spans="1:13" ht="51" x14ac:dyDescent="0.25">
      <c r="A316" s="19" t="s">
        <v>2255</v>
      </c>
      <c r="B316" s="20" t="s">
        <v>39</v>
      </c>
      <c r="C316" s="20" t="s">
        <v>2231</v>
      </c>
      <c r="D316" s="20" t="s">
        <v>2256</v>
      </c>
      <c r="E316" s="20" t="s">
        <v>2257</v>
      </c>
      <c r="F316" s="20" t="s">
        <v>2258</v>
      </c>
      <c r="G316" s="20" t="s">
        <v>2259</v>
      </c>
      <c r="H316" s="20" t="s">
        <v>2260</v>
      </c>
      <c r="I316" s="19"/>
      <c r="J316" s="20"/>
      <c r="K316" s="20"/>
      <c r="L316" s="27" t="s">
        <v>131</v>
      </c>
      <c r="M316" s="19"/>
    </row>
    <row r="317" spans="1:13" ht="51" x14ac:dyDescent="0.25">
      <c r="A317" s="23" t="s">
        <v>2261</v>
      </c>
      <c r="B317" s="24" t="s">
        <v>39</v>
      </c>
      <c r="C317" s="24" t="s">
        <v>2262</v>
      </c>
      <c r="D317" s="24" t="s">
        <v>2263</v>
      </c>
      <c r="E317" s="24" t="s">
        <v>2264</v>
      </c>
      <c r="F317" s="24" t="s">
        <v>2265</v>
      </c>
      <c r="G317" s="24" t="s">
        <v>2266</v>
      </c>
      <c r="H317" s="24" t="s">
        <v>2267</v>
      </c>
      <c r="I317" s="33" t="s">
        <v>3684</v>
      </c>
      <c r="J317" s="24"/>
      <c r="K317" s="24"/>
      <c r="L317" s="27" t="s">
        <v>131</v>
      </c>
      <c r="M317" s="23"/>
    </row>
    <row r="318" spans="1:13" ht="51" x14ac:dyDescent="0.25">
      <c r="A318" s="19" t="s">
        <v>2268</v>
      </c>
      <c r="B318" s="20" t="s">
        <v>39</v>
      </c>
      <c r="C318" s="20" t="s">
        <v>2262</v>
      </c>
      <c r="D318" s="20" t="s">
        <v>2269</v>
      </c>
      <c r="E318" s="20" t="s">
        <v>2270</v>
      </c>
      <c r="F318" s="20" t="s">
        <v>2271</v>
      </c>
      <c r="G318" s="20" t="s">
        <v>2266</v>
      </c>
      <c r="H318" s="20" t="s">
        <v>2272</v>
      </c>
      <c r="I318" s="33" t="s">
        <v>3684</v>
      </c>
      <c r="J318" s="20"/>
      <c r="K318" s="20"/>
      <c r="L318" s="25" t="s">
        <v>95</v>
      </c>
      <c r="M318" s="19"/>
    </row>
    <row r="319" spans="1:13" ht="51" x14ac:dyDescent="0.25">
      <c r="A319" s="23" t="s">
        <v>2273</v>
      </c>
      <c r="B319" s="24" t="s">
        <v>39</v>
      </c>
      <c r="C319" s="24" t="s">
        <v>2262</v>
      </c>
      <c r="D319" s="24" t="s">
        <v>2274</v>
      </c>
      <c r="E319" s="24" t="s">
        <v>2275</v>
      </c>
      <c r="F319" s="24" t="s">
        <v>2276</v>
      </c>
      <c r="G319" s="24" t="s">
        <v>2266</v>
      </c>
      <c r="H319" s="24" t="s">
        <v>2277</v>
      </c>
      <c r="I319" s="33" t="s">
        <v>3684</v>
      </c>
      <c r="J319" s="24"/>
      <c r="K319" s="24"/>
      <c r="L319" s="27" t="s">
        <v>131</v>
      </c>
      <c r="M319" s="23"/>
    </row>
    <row r="320" spans="1:13" ht="51" x14ac:dyDescent="0.25">
      <c r="A320" s="19" t="s">
        <v>2278</v>
      </c>
      <c r="B320" s="20" t="s">
        <v>39</v>
      </c>
      <c r="C320" s="20" t="s">
        <v>2262</v>
      </c>
      <c r="D320" s="20" t="s">
        <v>2279</v>
      </c>
      <c r="E320" s="20" t="s">
        <v>2280</v>
      </c>
      <c r="F320" s="20" t="s">
        <v>2281</v>
      </c>
      <c r="G320" s="20" t="s">
        <v>2266</v>
      </c>
      <c r="H320" s="20" t="s">
        <v>2282</v>
      </c>
      <c r="I320" s="19"/>
      <c r="J320" s="20"/>
      <c r="K320" s="20"/>
      <c r="L320" s="25" t="s">
        <v>95</v>
      </c>
      <c r="M320" s="19"/>
    </row>
    <row r="321" spans="1:13" ht="51" x14ac:dyDescent="0.25">
      <c r="A321" s="23" t="s">
        <v>2283</v>
      </c>
      <c r="B321" s="24" t="s">
        <v>39</v>
      </c>
      <c r="C321" s="24" t="s">
        <v>2262</v>
      </c>
      <c r="D321" s="24" t="s">
        <v>2284</v>
      </c>
      <c r="E321" s="24" t="s">
        <v>2285</v>
      </c>
      <c r="F321" s="24" t="s">
        <v>2286</v>
      </c>
      <c r="G321" s="24" t="s">
        <v>2266</v>
      </c>
      <c r="H321" s="24" t="s">
        <v>2287</v>
      </c>
      <c r="I321" s="23"/>
      <c r="J321" s="24"/>
      <c r="K321" s="24"/>
      <c r="L321" s="22" t="s">
        <v>67</v>
      </c>
      <c r="M321" s="23"/>
    </row>
    <row r="322" spans="1:13" ht="51" x14ac:dyDescent="0.25">
      <c r="A322" s="19" t="s">
        <v>2288</v>
      </c>
      <c r="B322" s="20" t="s">
        <v>39</v>
      </c>
      <c r="C322" s="20" t="s">
        <v>2262</v>
      </c>
      <c r="D322" s="20" t="s">
        <v>2289</v>
      </c>
      <c r="E322" s="20" t="s">
        <v>2290</v>
      </c>
      <c r="F322" s="20" t="s">
        <v>2291</v>
      </c>
      <c r="G322" s="20" t="s">
        <v>2266</v>
      </c>
      <c r="H322" s="20" t="s">
        <v>2292</v>
      </c>
      <c r="I322" s="19"/>
      <c r="J322" s="20"/>
      <c r="K322" s="20"/>
      <c r="L322" s="27" t="s">
        <v>131</v>
      </c>
      <c r="M322" s="19"/>
    </row>
    <row r="323" spans="1:13" ht="51" x14ac:dyDescent="0.25">
      <c r="A323" s="23" t="s">
        <v>2293</v>
      </c>
      <c r="B323" s="24" t="s">
        <v>39</v>
      </c>
      <c r="C323" s="24" t="s">
        <v>1167</v>
      </c>
      <c r="D323" s="24" t="s">
        <v>2294</v>
      </c>
      <c r="E323" s="24" t="s">
        <v>2295</v>
      </c>
      <c r="F323" s="24" t="s">
        <v>2296</v>
      </c>
      <c r="G323" s="24" t="s">
        <v>2266</v>
      </c>
      <c r="H323" s="24" t="s">
        <v>2297</v>
      </c>
      <c r="I323" s="23"/>
      <c r="J323" s="24"/>
      <c r="K323" s="24"/>
      <c r="L323" s="22" t="s">
        <v>67</v>
      </c>
      <c r="M323" s="23"/>
    </row>
    <row r="324" spans="1:13" ht="51" x14ac:dyDescent="0.25">
      <c r="A324" s="19" t="s">
        <v>2298</v>
      </c>
      <c r="B324" s="20" t="s">
        <v>39</v>
      </c>
      <c r="C324" s="20" t="s">
        <v>1167</v>
      </c>
      <c r="D324" s="20" t="s">
        <v>2299</v>
      </c>
      <c r="E324" s="20" t="s">
        <v>2300</v>
      </c>
      <c r="F324" s="20" t="s">
        <v>2301</v>
      </c>
      <c r="G324" s="20" t="s">
        <v>2266</v>
      </c>
      <c r="H324" s="20" t="s">
        <v>2302</v>
      </c>
      <c r="I324" s="19"/>
      <c r="J324" s="20"/>
      <c r="K324" s="20"/>
      <c r="L324" s="22" t="s">
        <v>67</v>
      </c>
      <c r="M324" s="19"/>
    </row>
    <row r="325" spans="1:13" ht="51" x14ac:dyDescent="0.25">
      <c r="A325" s="23" t="s">
        <v>2303</v>
      </c>
      <c r="B325" s="24" t="s">
        <v>39</v>
      </c>
      <c r="C325" s="24" t="s">
        <v>1167</v>
      </c>
      <c r="D325" s="24" t="s">
        <v>2304</v>
      </c>
      <c r="E325" s="24" t="s">
        <v>2305</v>
      </c>
      <c r="F325" s="24" t="s">
        <v>2306</v>
      </c>
      <c r="G325" s="24" t="s">
        <v>2266</v>
      </c>
      <c r="H325" s="24" t="s">
        <v>2307</v>
      </c>
      <c r="I325" s="23"/>
      <c r="J325" s="24"/>
      <c r="K325" s="24"/>
      <c r="L325" s="22" t="s">
        <v>67</v>
      </c>
      <c r="M325" s="23"/>
    </row>
    <row r="326" spans="1:13" ht="51" x14ac:dyDescent="0.25">
      <c r="A326" s="19" t="s">
        <v>2308</v>
      </c>
      <c r="B326" s="20" t="s">
        <v>39</v>
      </c>
      <c r="C326" s="20" t="s">
        <v>1167</v>
      </c>
      <c r="D326" s="20" t="s">
        <v>2309</v>
      </c>
      <c r="E326" s="20" t="s">
        <v>2310</v>
      </c>
      <c r="F326" s="20" t="s">
        <v>2311</v>
      </c>
      <c r="G326" s="20" t="s">
        <v>2266</v>
      </c>
      <c r="H326" s="20" t="s">
        <v>2312</v>
      </c>
      <c r="I326" s="19"/>
      <c r="J326" s="20"/>
      <c r="K326" s="20"/>
      <c r="L326" s="25" t="s">
        <v>95</v>
      </c>
      <c r="M326" s="19"/>
    </row>
    <row r="327" spans="1:13" ht="51" x14ac:dyDescent="0.25">
      <c r="A327" s="23" t="s">
        <v>2313</v>
      </c>
      <c r="B327" s="24" t="s">
        <v>39</v>
      </c>
      <c r="C327" s="24" t="s">
        <v>1167</v>
      </c>
      <c r="D327" s="24" t="s">
        <v>2314</v>
      </c>
      <c r="E327" s="24" t="s">
        <v>2315</v>
      </c>
      <c r="F327" s="24" t="s">
        <v>2316</v>
      </c>
      <c r="G327" s="24" t="s">
        <v>1291</v>
      </c>
      <c r="H327" s="24" t="s">
        <v>2317</v>
      </c>
      <c r="I327" s="23"/>
      <c r="J327" s="24"/>
      <c r="K327" s="24"/>
      <c r="L327" s="26" t="s">
        <v>103</v>
      </c>
      <c r="M327" s="23"/>
    </row>
    <row r="328" spans="1:13" ht="51" x14ac:dyDescent="0.25">
      <c r="A328" s="19" t="s">
        <v>2318</v>
      </c>
      <c r="B328" s="20" t="s">
        <v>39</v>
      </c>
      <c r="C328" s="20" t="s">
        <v>1167</v>
      </c>
      <c r="D328" s="20" t="s">
        <v>2319</v>
      </c>
      <c r="E328" s="20" t="s">
        <v>2320</v>
      </c>
      <c r="F328" s="20" t="s">
        <v>2321</v>
      </c>
      <c r="G328" s="20" t="s">
        <v>1180</v>
      </c>
      <c r="H328" s="20" t="s">
        <v>2322</v>
      </c>
      <c r="I328" s="33" t="s">
        <v>3684</v>
      </c>
      <c r="J328" s="20"/>
      <c r="K328" s="20"/>
      <c r="L328" s="22" t="s">
        <v>67</v>
      </c>
      <c r="M328" s="19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2" customWidth="1"/>
    <col min="3" max="3" width="16" customWidth="1"/>
    <col min="4" max="4" width="22" customWidth="1"/>
    <col min="5" max="5" width="35" customWidth="1"/>
    <col min="6" max="6" width="50" customWidth="1"/>
    <col min="7" max="7" width="40" customWidth="1"/>
    <col min="8" max="8" width="45" customWidth="1"/>
    <col min="9" max="9" width="10" customWidth="1"/>
    <col min="10" max="10" width="15" customWidth="1"/>
    <col min="11" max="11" width="20" customWidth="1"/>
    <col min="12" max="13" width="12" customWidth="1"/>
  </cols>
  <sheetData>
    <row r="1" spans="1:13" ht="30" customHeight="1" x14ac:dyDescent="0.25">
      <c r="A1" s="18" t="s">
        <v>47</v>
      </c>
      <c r="B1" s="18" t="s">
        <v>48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53</v>
      </c>
      <c r="H1" s="18" t="s">
        <v>54</v>
      </c>
      <c r="I1" s="18" t="s">
        <v>55</v>
      </c>
      <c r="J1" s="18" t="s">
        <v>56</v>
      </c>
      <c r="K1" s="18" t="s">
        <v>19</v>
      </c>
      <c r="L1" s="18" t="s">
        <v>57</v>
      </c>
      <c r="M1" s="18" t="s">
        <v>58</v>
      </c>
    </row>
    <row r="2" spans="1:13" ht="51" x14ac:dyDescent="0.25">
      <c r="A2" s="19" t="s">
        <v>2323</v>
      </c>
      <c r="B2" s="20" t="s">
        <v>28</v>
      </c>
      <c r="C2" s="20" t="s">
        <v>60</v>
      </c>
      <c r="D2" s="20" t="s">
        <v>61</v>
      </c>
      <c r="E2" s="20" t="s">
        <v>2324</v>
      </c>
      <c r="F2" s="20" t="s">
        <v>2325</v>
      </c>
      <c r="G2" s="20" t="s">
        <v>2326</v>
      </c>
      <c r="H2" s="20" t="s">
        <v>2327</v>
      </c>
      <c r="I2" s="19"/>
      <c r="J2" s="20"/>
      <c r="K2" s="20"/>
      <c r="L2" s="22" t="s">
        <v>67</v>
      </c>
      <c r="M2" s="19"/>
    </row>
    <row r="3" spans="1:13" ht="25.5" x14ac:dyDescent="0.25">
      <c r="A3" s="23" t="s">
        <v>2328</v>
      </c>
      <c r="B3" s="24" t="s">
        <v>28</v>
      </c>
      <c r="C3" s="24" t="s">
        <v>60</v>
      </c>
      <c r="D3" s="24" t="s">
        <v>69</v>
      </c>
      <c r="E3" s="24" t="s">
        <v>2329</v>
      </c>
      <c r="F3" s="24" t="s">
        <v>2330</v>
      </c>
      <c r="G3" s="24" t="s">
        <v>2326</v>
      </c>
      <c r="H3" s="24" t="s">
        <v>2331</v>
      </c>
      <c r="I3" s="23"/>
      <c r="J3" s="24"/>
      <c r="K3" s="24"/>
      <c r="L3" s="22" t="s">
        <v>67</v>
      </c>
      <c r="M3" s="23"/>
    </row>
    <row r="4" spans="1:13" x14ac:dyDescent="0.25">
      <c r="A4" s="19" t="s">
        <v>2332</v>
      </c>
      <c r="B4" s="20" t="s">
        <v>28</v>
      </c>
      <c r="C4" s="20" t="s">
        <v>60</v>
      </c>
      <c r="D4" s="20" t="s">
        <v>74</v>
      </c>
      <c r="E4" s="20" t="s">
        <v>2333</v>
      </c>
      <c r="F4" s="20" t="s">
        <v>2334</v>
      </c>
      <c r="G4" s="20" t="s">
        <v>2326</v>
      </c>
      <c r="H4" s="20" t="s">
        <v>2335</v>
      </c>
      <c r="I4" s="19"/>
      <c r="J4" s="20"/>
      <c r="K4" s="20"/>
      <c r="L4" s="22" t="s">
        <v>67</v>
      </c>
      <c r="M4" s="19"/>
    </row>
    <row r="5" spans="1:13" ht="25.5" x14ac:dyDescent="0.25">
      <c r="A5" s="23" t="s">
        <v>2336</v>
      </c>
      <c r="B5" s="24" t="s">
        <v>28</v>
      </c>
      <c r="C5" s="24" t="s">
        <v>60</v>
      </c>
      <c r="D5" s="24" t="s">
        <v>2337</v>
      </c>
      <c r="E5" s="24" t="s">
        <v>2338</v>
      </c>
      <c r="F5" s="24" t="s">
        <v>2339</v>
      </c>
      <c r="G5" s="24" t="s">
        <v>2326</v>
      </c>
      <c r="H5" s="24" t="s">
        <v>2340</v>
      </c>
      <c r="I5" s="23"/>
      <c r="J5" s="24"/>
      <c r="K5" s="24"/>
      <c r="L5" s="26" t="s">
        <v>103</v>
      </c>
      <c r="M5" s="23"/>
    </row>
    <row r="6" spans="1:13" ht="25.5" x14ac:dyDescent="0.25">
      <c r="A6" s="19" t="s">
        <v>2341</v>
      </c>
      <c r="B6" s="20" t="s">
        <v>28</v>
      </c>
      <c r="C6" s="20" t="s">
        <v>79</v>
      </c>
      <c r="D6" s="20" t="s">
        <v>80</v>
      </c>
      <c r="E6" s="20" t="s">
        <v>2342</v>
      </c>
      <c r="F6" s="20" t="s">
        <v>2343</v>
      </c>
      <c r="G6" s="20" t="s">
        <v>2344</v>
      </c>
      <c r="H6" s="20" t="s">
        <v>2345</v>
      </c>
      <c r="I6" s="19"/>
      <c r="J6" s="20"/>
      <c r="K6" s="20"/>
      <c r="L6" s="22" t="s">
        <v>67</v>
      </c>
      <c r="M6" s="19"/>
    </row>
    <row r="7" spans="1:13" ht="25.5" x14ac:dyDescent="0.25">
      <c r="A7" s="23" t="s">
        <v>2346</v>
      </c>
      <c r="B7" s="24" t="s">
        <v>28</v>
      </c>
      <c r="C7" s="24" t="s">
        <v>79</v>
      </c>
      <c r="D7" s="24" t="s">
        <v>86</v>
      </c>
      <c r="E7" s="24" t="s">
        <v>87</v>
      </c>
      <c r="F7" s="24" t="s">
        <v>2347</v>
      </c>
      <c r="G7" s="24" t="s">
        <v>2344</v>
      </c>
      <c r="H7" s="24" t="s">
        <v>2348</v>
      </c>
      <c r="I7" s="23"/>
      <c r="J7" s="24"/>
      <c r="K7" s="24"/>
      <c r="L7" s="22" t="s">
        <v>67</v>
      </c>
      <c r="M7" s="23"/>
    </row>
    <row r="8" spans="1:13" x14ac:dyDescent="0.25">
      <c r="A8" s="19" t="s">
        <v>2349</v>
      </c>
      <c r="B8" s="20" t="s">
        <v>28</v>
      </c>
      <c r="C8" s="20" t="s">
        <v>79</v>
      </c>
      <c r="D8" s="20" t="s">
        <v>91</v>
      </c>
      <c r="E8" s="20" t="s">
        <v>2350</v>
      </c>
      <c r="F8" s="20" t="s">
        <v>2351</v>
      </c>
      <c r="G8" s="20" t="s">
        <v>2344</v>
      </c>
      <c r="H8" s="20" t="s">
        <v>2352</v>
      </c>
      <c r="I8" s="19"/>
      <c r="J8" s="20"/>
      <c r="K8" s="20"/>
      <c r="L8" s="25" t="s">
        <v>95</v>
      </c>
      <c r="M8" s="19"/>
    </row>
    <row r="9" spans="1:13" ht="25.5" x14ac:dyDescent="0.25">
      <c r="A9" s="23" t="s">
        <v>2353</v>
      </c>
      <c r="B9" s="24" t="s">
        <v>28</v>
      </c>
      <c r="C9" s="24" t="s">
        <v>79</v>
      </c>
      <c r="D9" s="24" t="s">
        <v>2354</v>
      </c>
      <c r="E9" s="24" t="s">
        <v>2355</v>
      </c>
      <c r="F9" s="24" t="s">
        <v>2356</v>
      </c>
      <c r="G9" s="24" t="s">
        <v>2357</v>
      </c>
      <c r="H9" s="24" t="s">
        <v>2358</v>
      </c>
      <c r="I9" s="23"/>
      <c r="J9" s="24"/>
      <c r="K9" s="24"/>
      <c r="L9" s="25" t="s">
        <v>95</v>
      </c>
      <c r="M9" s="23"/>
    </row>
    <row r="10" spans="1:13" ht="25.5" x14ac:dyDescent="0.25">
      <c r="A10" s="19" t="s">
        <v>2359</v>
      </c>
      <c r="B10" s="20" t="s">
        <v>28</v>
      </c>
      <c r="C10" s="20" t="s">
        <v>2360</v>
      </c>
      <c r="D10" s="20" t="s">
        <v>2361</v>
      </c>
      <c r="E10" s="20" t="s">
        <v>2362</v>
      </c>
      <c r="F10" s="20" t="s">
        <v>2363</v>
      </c>
      <c r="G10" s="20" t="s">
        <v>2364</v>
      </c>
      <c r="H10" s="20" t="s">
        <v>2365</v>
      </c>
      <c r="I10" s="19"/>
      <c r="J10" s="20"/>
      <c r="K10" s="20"/>
      <c r="L10" s="22" t="s">
        <v>67</v>
      </c>
      <c r="M10" s="19"/>
    </row>
    <row r="11" spans="1:13" ht="25.5" x14ac:dyDescent="0.25">
      <c r="A11" s="23" t="s">
        <v>2366</v>
      </c>
      <c r="B11" s="24" t="s">
        <v>28</v>
      </c>
      <c r="C11" s="24" t="s">
        <v>2360</v>
      </c>
      <c r="D11" s="24" t="s">
        <v>2367</v>
      </c>
      <c r="E11" s="24" t="s">
        <v>2368</v>
      </c>
      <c r="F11" s="24" t="s">
        <v>2369</v>
      </c>
      <c r="G11" s="24" t="s">
        <v>2370</v>
      </c>
      <c r="H11" s="24" t="s">
        <v>2371</v>
      </c>
      <c r="I11" s="23"/>
      <c r="J11" s="24"/>
      <c r="K11" s="24"/>
      <c r="L11" s="22" t="s">
        <v>67</v>
      </c>
      <c r="M11" s="23"/>
    </row>
    <row r="12" spans="1:13" ht="25.5" x14ac:dyDescent="0.25">
      <c r="A12" s="19" t="s">
        <v>2372</v>
      </c>
      <c r="B12" s="20" t="s">
        <v>28</v>
      </c>
      <c r="C12" s="20" t="s">
        <v>2360</v>
      </c>
      <c r="D12" s="20" t="s">
        <v>2373</v>
      </c>
      <c r="E12" s="20" t="s">
        <v>2374</v>
      </c>
      <c r="F12" s="20" t="s">
        <v>2375</v>
      </c>
      <c r="G12" s="20" t="s">
        <v>2376</v>
      </c>
      <c r="H12" s="20" t="s">
        <v>2377</v>
      </c>
      <c r="I12" s="19"/>
      <c r="J12" s="20"/>
      <c r="K12" s="20"/>
      <c r="L12" s="25" t="s">
        <v>95</v>
      </c>
      <c r="M12" s="19"/>
    </row>
    <row r="13" spans="1:13" ht="25.5" x14ac:dyDescent="0.25">
      <c r="A13" s="23" t="s">
        <v>2378</v>
      </c>
      <c r="B13" s="24" t="s">
        <v>28</v>
      </c>
      <c r="C13" s="24" t="s">
        <v>2360</v>
      </c>
      <c r="D13" s="24" t="s">
        <v>2379</v>
      </c>
      <c r="E13" s="24" t="s">
        <v>2379</v>
      </c>
      <c r="F13" s="24" t="s">
        <v>2380</v>
      </c>
      <c r="G13" s="24" t="s">
        <v>2364</v>
      </c>
      <c r="H13" s="24" t="s">
        <v>2381</v>
      </c>
      <c r="I13" s="23"/>
      <c r="J13" s="24"/>
      <c r="K13" s="24"/>
      <c r="L13" s="22" t="s">
        <v>67</v>
      </c>
      <c r="M13" s="23"/>
    </row>
    <row r="14" spans="1:13" ht="51" x14ac:dyDescent="0.25">
      <c r="A14" s="19" t="s">
        <v>2382</v>
      </c>
      <c r="B14" s="20" t="s">
        <v>28</v>
      </c>
      <c r="C14" s="20" t="s">
        <v>2360</v>
      </c>
      <c r="D14" s="20" t="s">
        <v>2383</v>
      </c>
      <c r="E14" s="20" t="s">
        <v>2384</v>
      </c>
      <c r="F14" s="20" t="s">
        <v>2385</v>
      </c>
      <c r="G14" s="20" t="s">
        <v>2386</v>
      </c>
      <c r="H14" s="20" t="s">
        <v>2387</v>
      </c>
      <c r="I14" s="19"/>
      <c r="J14" s="20"/>
      <c r="K14" s="20"/>
      <c r="L14" s="25" t="s">
        <v>95</v>
      </c>
      <c r="M14" s="19"/>
    </row>
    <row r="15" spans="1:13" ht="38.25" x14ac:dyDescent="0.25">
      <c r="A15" s="23" t="s">
        <v>2388</v>
      </c>
      <c r="B15" s="24" t="s">
        <v>28</v>
      </c>
      <c r="C15" s="24" t="s">
        <v>2360</v>
      </c>
      <c r="D15" s="24" t="s">
        <v>2389</v>
      </c>
      <c r="E15" s="24" t="s">
        <v>2390</v>
      </c>
      <c r="F15" s="24" t="s">
        <v>2391</v>
      </c>
      <c r="G15" s="24" t="s">
        <v>2392</v>
      </c>
      <c r="H15" s="24" t="s">
        <v>2393</v>
      </c>
      <c r="I15" s="23"/>
      <c r="J15" s="24"/>
      <c r="K15" s="24"/>
      <c r="L15" s="25" t="s">
        <v>95</v>
      </c>
      <c r="M15" s="23"/>
    </row>
    <row r="16" spans="1:13" ht="38.25" x14ac:dyDescent="0.25">
      <c r="A16" s="19" t="s">
        <v>2394</v>
      </c>
      <c r="B16" s="20" t="s">
        <v>28</v>
      </c>
      <c r="C16" s="20" t="s">
        <v>2360</v>
      </c>
      <c r="D16" s="20" t="s">
        <v>2395</v>
      </c>
      <c r="E16" s="20" t="s">
        <v>2396</v>
      </c>
      <c r="F16" s="20" t="s">
        <v>2397</v>
      </c>
      <c r="G16" s="20" t="s">
        <v>2392</v>
      </c>
      <c r="H16" s="20" t="s">
        <v>2398</v>
      </c>
      <c r="I16" s="19"/>
      <c r="J16" s="20"/>
      <c r="K16" s="20"/>
      <c r="L16" s="25" t="s">
        <v>95</v>
      </c>
      <c r="M16" s="19"/>
    </row>
    <row r="17" spans="1:13" ht="25.5" x14ac:dyDescent="0.25">
      <c r="A17" s="23" t="s">
        <v>2399</v>
      </c>
      <c r="B17" s="24" t="s">
        <v>28</v>
      </c>
      <c r="C17" s="24" t="s">
        <v>2400</v>
      </c>
      <c r="D17" s="24" t="s">
        <v>2401</v>
      </c>
      <c r="E17" s="24" t="s">
        <v>2402</v>
      </c>
      <c r="F17" s="24" t="s">
        <v>2403</v>
      </c>
      <c r="G17" s="24" t="s">
        <v>2404</v>
      </c>
      <c r="H17" s="24" t="s">
        <v>2405</v>
      </c>
      <c r="I17" s="23"/>
      <c r="J17" s="24"/>
      <c r="K17" s="24"/>
      <c r="L17" s="22" t="s">
        <v>67</v>
      </c>
      <c r="M17" s="23"/>
    </row>
    <row r="18" spans="1:13" ht="25.5" x14ac:dyDescent="0.25">
      <c r="A18" s="19" t="s">
        <v>2406</v>
      </c>
      <c r="B18" s="20" t="s">
        <v>28</v>
      </c>
      <c r="C18" s="20" t="s">
        <v>2400</v>
      </c>
      <c r="D18" s="20" t="s">
        <v>2407</v>
      </c>
      <c r="E18" s="20" t="s">
        <v>2408</v>
      </c>
      <c r="F18" s="20" t="s">
        <v>2409</v>
      </c>
      <c r="G18" s="20" t="s">
        <v>2404</v>
      </c>
      <c r="H18" s="20" t="s">
        <v>2410</v>
      </c>
      <c r="I18" s="19"/>
      <c r="J18" s="20"/>
      <c r="K18" s="20"/>
      <c r="L18" s="22" t="s">
        <v>67</v>
      </c>
      <c r="M18" s="19"/>
    </row>
    <row r="19" spans="1:13" ht="51" x14ac:dyDescent="0.25">
      <c r="A19" s="23" t="s">
        <v>2411</v>
      </c>
      <c r="B19" s="24" t="s">
        <v>28</v>
      </c>
      <c r="C19" s="24" t="s">
        <v>2400</v>
      </c>
      <c r="D19" s="24" t="s">
        <v>2412</v>
      </c>
      <c r="E19" s="24" t="s">
        <v>2413</v>
      </c>
      <c r="F19" s="24" t="s">
        <v>2414</v>
      </c>
      <c r="G19" s="24" t="s">
        <v>2415</v>
      </c>
      <c r="H19" s="24" t="s">
        <v>2416</v>
      </c>
      <c r="I19" s="23"/>
      <c r="J19" s="24"/>
      <c r="K19" s="24"/>
      <c r="L19" s="26" t="s">
        <v>103</v>
      </c>
      <c r="M19" s="23"/>
    </row>
    <row r="20" spans="1:13" ht="51" x14ac:dyDescent="0.25">
      <c r="A20" s="19" t="s">
        <v>2417</v>
      </c>
      <c r="B20" s="20" t="s">
        <v>28</v>
      </c>
      <c r="C20" s="20" t="s">
        <v>2400</v>
      </c>
      <c r="D20" s="20" t="s">
        <v>2418</v>
      </c>
      <c r="E20" s="20" t="s">
        <v>2419</v>
      </c>
      <c r="F20" s="20" t="s">
        <v>2420</v>
      </c>
      <c r="G20" s="20" t="s">
        <v>2415</v>
      </c>
      <c r="H20" s="20" t="s">
        <v>2421</v>
      </c>
      <c r="I20" s="19"/>
      <c r="J20" s="20"/>
      <c r="K20" s="20"/>
      <c r="L20" s="22" t="s">
        <v>67</v>
      </c>
      <c r="M20" s="19"/>
    </row>
    <row r="21" spans="1:13" ht="25.5" x14ac:dyDescent="0.25">
      <c r="A21" s="23" t="s">
        <v>2422</v>
      </c>
      <c r="B21" s="24" t="s">
        <v>28</v>
      </c>
      <c r="C21" s="24" t="s">
        <v>2400</v>
      </c>
      <c r="D21" s="24" t="s">
        <v>2423</v>
      </c>
      <c r="E21" s="24" t="s">
        <v>2424</v>
      </c>
      <c r="F21" s="24" t="s">
        <v>2425</v>
      </c>
      <c r="G21" s="24" t="s">
        <v>2404</v>
      </c>
      <c r="H21" s="24" t="s">
        <v>2426</v>
      </c>
      <c r="I21" s="23"/>
      <c r="J21" s="24"/>
      <c r="K21" s="24"/>
      <c r="L21" s="22" t="s">
        <v>67</v>
      </c>
      <c r="M21" s="23"/>
    </row>
    <row r="22" spans="1:13" ht="51" x14ac:dyDescent="0.25">
      <c r="A22" s="19" t="s">
        <v>2427</v>
      </c>
      <c r="B22" s="20" t="s">
        <v>28</v>
      </c>
      <c r="C22" s="20" t="s">
        <v>2400</v>
      </c>
      <c r="D22" s="20" t="s">
        <v>2428</v>
      </c>
      <c r="E22" s="20" t="s">
        <v>2429</v>
      </c>
      <c r="F22" s="20" t="s">
        <v>2430</v>
      </c>
      <c r="G22" s="20" t="s">
        <v>2431</v>
      </c>
      <c r="H22" s="20" t="s">
        <v>2432</v>
      </c>
      <c r="I22" s="19"/>
      <c r="J22" s="20"/>
      <c r="K22" s="20"/>
      <c r="L22" s="25" t="s">
        <v>95</v>
      </c>
      <c r="M22" s="19"/>
    </row>
    <row r="23" spans="1:13" ht="38.25" x14ac:dyDescent="0.25">
      <c r="A23" s="23" t="s">
        <v>2433</v>
      </c>
      <c r="B23" s="24" t="s">
        <v>28</v>
      </c>
      <c r="C23" s="24" t="s">
        <v>2400</v>
      </c>
      <c r="D23" s="24" t="s">
        <v>2434</v>
      </c>
      <c r="E23" s="24" t="s">
        <v>2435</v>
      </c>
      <c r="F23" s="24" t="s">
        <v>2436</v>
      </c>
      <c r="G23" s="24" t="s">
        <v>2415</v>
      </c>
      <c r="H23" s="24" t="s">
        <v>2437</v>
      </c>
      <c r="I23" s="23"/>
      <c r="J23" s="24"/>
      <c r="K23" s="24"/>
      <c r="L23" s="22" t="s">
        <v>67</v>
      </c>
      <c r="M23" s="23"/>
    </row>
    <row r="24" spans="1:13" ht="51" x14ac:dyDescent="0.25">
      <c r="A24" s="19" t="s">
        <v>2438</v>
      </c>
      <c r="B24" s="20" t="s">
        <v>28</v>
      </c>
      <c r="C24" s="20" t="s">
        <v>2400</v>
      </c>
      <c r="D24" s="20" t="s">
        <v>2439</v>
      </c>
      <c r="E24" s="20" t="s">
        <v>2440</v>
      </c>
      <c r="F24" s="20" t="s">
        <v>2441</v>
      </c>
      <c r="G24" s="20" t="s">
        <v>2415</v>
      </c>
      <c r="H24" s="20" t="s">
        <v>2442</v>
      </c>
      <c r="I24" s="19"/>
      <c r="J24" s="20"/>
      <c r="K24" s="20"/>
      <c r="L24" s="22" t="s">
        <v>67</v>
      </c>
      <c r="M24" s="19"/>
    </row>
    <row r="25" spans="1:13" ht="38.25" x14ac:dyDescent="0.25">
      <c r="A25" s="23" t="s">
        <v>2443</v>
      </c>
      <c r="B25" s="24" t="s">
        <v>28</v>
      </c>
      <c r="C25" s="24" t="s">
        <v>2400</v>
      </c>
      <c r="D25" s="24" t="s">
        <v>2444</v>
      </c>
      <c r="E25" s="24" t="s">
        <v>2445</v>
      </c>
      <c r="F25" s="24" t="s">
        <v>2446</v>
      </c>
      <c r="G25" s="24" t="s">
        <v>2415</v>
      </c>
      <c r="H25" s="24" t="s">
        <v>2447</v>
      </c>
      <c r="I25" s="23"/>
      <c r="J25" s="24"/>
      <c r="K25" s="24"/>
      <c r="L25" s="22" t="s">
        <v>67</v>
      </c>
      <c r="M25" s="23"/>
    </row>
    <row r="26" spans="1:13" ht="38.25" x14ac:dyDescent="0.25">
      <c r="A26" s="19" t="s">
        <v>2448</v>
      </c>
      <c r="B26" s="20" t="s">
        <v>28</v>
      </c>
      <c r="C26" s="20" t="s">
        <v>2400</v>
      </c>
      <c r="D26" s="20" t="s">
        <v>2449</v>
      </c>
      <c r="E26" s="20" t="s">
        <v>2450</v>
      </c>
      <c r="F26" s="20" t="s">
        <v>2451</v>
      </c>
      <c r="G26" s="20" t="s">
        <v>2415</v>
      </c>
      <c r="H26" s="20" t="s">
        <v>2452</v>
      </c>
      <c r="I26" s="19"/>
      <c r="J26" s="20"/>
      <c r="K26" s="20"/>
      <c r="L26" s="25" t="s">
        <v>95</v>
      </c>
      <c r="M26" s="19"/>
    </row>
    <row r="27" spans="1:13" ht="25.5" x14ac:dyDescent="0.25">
      <c r="A27" s="23" t="s">
        <v>2453</v>
      </c>
      <c r="B27" s="24" t="s">
        <v>28</v>
      </c>
      <c r="C27" s="24" t="s">
        <v>97</v>
      </c>
      <c r="D27" s="24" t="s">
        <v>2401</v>
      </c>
      <c r="E27" s="24" t="s">
        <v>2454</v>
      </c>
      <c r="F27" s="24" t="s">
        <v>2455</v>
      </c>
      <c r="G27" s="24" t="s">
        <v>2456</v>
      </c>
      <c r="H27" s="24" t="s">
        <v>2457</v>
      </c>
      <c r="I27" s="23"/>
      <c r="J27" s="24"/>
      <c r="K27" s="24"/>
      <c r="L27" s="22" t="s">
        <v>67</v>
      </c>
      <c r="M27" s="23"/>
    </row>
    <row r="28" spans="1:13" ht="25.5" x14ac:dyDescent="0.25">
      <c r="A28" s="19" t="s">
        <v>2458</v>
      </c>
      <c r="B28" s="20" t="s">
        <v>28</v>
      </c>
      <c r="C28" s="20" t="s">
        <v>97</v>
      </c>
      <c r="D28" s="20" t="s">
        <v>2459</v>
      </c>
      <c r="E28" s="20" t="s">
        <v>2460</v>
      </c>
      <c r="F28" s="20" t="s">
        <v>2461</v>
      </c>
      <c r="G28" s="20" t="s">
        <v>2462</v>
      </c>
      <c r="H28" s="20" t="s">
        <v>2463</v>
      </c>
      <c r="I28" s="19"/>
      <c r="J28" s="20"/>
      <c r="K28" s="20"/>
      <c r="L28" s="22" t="s">
        <v>67</v>
      </c>
      <c r="M28" s="19"/>
    </row>
    <row r="29" spans="1:13" ht="25.5" x14ac:dyDescent="0.25">
      <c r="A29" s="23" t="s">
        <v>2464</v>
      </c>
      <c r="B29" s="24" t="s">
        <v>28</v>
      </c>
      <c r="C29" s="24" t="s">
        <v>97</v>
      </c>
      <c r="D29" s="24" t="s">
        <v>2465</v>
      </c>
      <c r="E29" s="24" t="s">
        <v>2466</v>
      </c>
      <c r="F29" s="24" t="s">
        <v>2467</v>
      </c>
      <c r="G29" s="24" t="s">
        <v>2468</v>
      </c>
      <c r="H29" s="24" t="s">
        <v>2469</v>
      </c>
      <c r="I29" s="23"/>
      <c r="J29" s="24"/>
      <c r="K29" s="24"/>
      <c r="L29" s="22" t="s">
        <v>67</v>
      </c>
      <c r="M29" s="23"/>
    </row>
    <row r="30" spans="1:13" ht="25.5" x14ac:dyDescent="0.25">
      <c r="A30" s="19" t="s">
        <v>2470</v>
      </c>
      <c r="B30" s="20" t="s">
        <v>28</v>
      </c>
      <c r="C30" s="20" t="s">
        <v>97</v>
      </c>
      <c r="D30" s="20" t="s">
        <v>2423</v>
      </c>
      <c r="E30" s="20" t="s">
        <v>123</v>
      </c>
      <c r="F30" s="20" t="s">
        <v>2471</v>
      </c>
      <c r="G30" s="20" t="s">
        <v>2456</v>
      </c>
      <c r="H30" s="20" t="s">
        <v>2472</v>
      </c>
      <c r="I30" s="19"/>
      <c r="J30" s="20"/>
      <c r="K30" s="20"/>
      <c r="L30" s="22" t="s">
        <v>67</v>
      </c>
      <c r="M30" s="19"/>
    </row>
    <row r="31" spans="1:13" ht="38.25" x14ac:dyDescent="0.25">
      <c r="A31" s="23" t="s">
        <v>2473</v>
      </c>
      <c r="B31" s="24" t="s">
        <v>28</v>
      </c>
      <c r="C31" s="24" t="s">
        <v>97</v>
      </c>
      <c r="D31" s="24" t="s">
        <v>116</v>
      </c>
      <c r="E31" s="24" t="s">
        <v>117</v>
      </c>
      <c r="F31" s="24" t="s">
        <v>2474</v>
      </c>
      <c r="G31" s="24" t="s">
        <v>2475</v>
      </c>
      <c r="H31" s="24" t="s">
        <v>2476</v>
      </c>
      <c r="I31" s="23"/>
      <c r="J31" s="24"/>
      <c r="K31" s="24"/>
      <c r="L31" s="25" t="s">
        <v>95</v>
      </c>
      <c r="M31" s="23"/>
    </row>
    <row r="32" spans="1:13" ht="51" x14ac:dyDescent="0.25">
      <c r="A32" s="19" t="s">
        <v>2477</v>
      </c>
      <c r="B32" s="20" t="s">
        <v>28</v>
      </c>
      <c r="C32" s="20" t="s">
        <v>97</v>
      </c>
      <c r="D32" s="20" t="s">
        <v>968</v>
      </c>
      <c r="E32" s="20" t="s">
        <v>968</v>
      </c>
      <c r="F32" s="20" t="s">
        <v>2478</v>
      </c>
      <c r="G32" s="20" t="s">
        <v>2479</v>
      </c>
      <c r="H32" s="20" t="s">
        <v>2480</v>
      </c>
      <c r="I32" s="19"/>
      <c r="J32" s="20"/>
      <c r="K32" s="20"/>
      <c r="L32" s="25" t="s">
        <v>95</v>
      </c>
      <c r="M32" s="19"/>
    </row>
    <row r="33" spans="1:13" ht="51" x14ac:dyDescent="0.25">
      <c r="A33" s="23" t="s">
        <v>2481</v>
      </c>
      <c r="B33" s="24" t="s">
        <v>28</v>
      </c>
      <c r="C33" s="24" t="s">
        <v>97</v>
      </c>
      <c r="D33" s="24" t="s">
        <v>2482</v>
      </c>
      <c r="E33" s="24" t="s">
        <v>2483</v>
      </c>
      <c r="F33" s="24" t="s">
        <v>2484</v>
      </c>
      <c r="G33" s="24" t="s">
        <v>2479</v>
      </c>
      <c r="H33" s="24" t="s">
        <v>2485</v>
      </c>
      <c r="I33" s="23"/>
      <c r="J33" s="24"/>
      <c r="K33" s="24"/>
      <c r="L33" s="22" t="s">
        <v>67</v>
      </c>
      <c r="M33" s="23"/>
    </row>
    <row r="34" spans="1:13" ht="51" x14ac:dyDescent="0.25">
      <c r="A34" s="19" t="s">
        <v>2486</v>
      </c>
      <c r="B34" s="20" t="s">
        <v>28</v>
      </c>
      <c r="C34" s="20" t="s">
        <v>97</v>
      </c>
      <c r="D34" s="20" t="s">
        <v>2487</v>
      </c>
      <c r="E34" s="20" t="s">
        <v>2488</v>
      </c>
      <c r="F34" s="20" t="s">
        <v>2489</v>
      </c>
      <c r="G34" s="20" t="s">
        <v>2479</v>
      </c>
      <c r="H34" s="20" t="s">
        <v>2490</v>
      </c>
      <c r="I34" s="19"/>
      <c r="J34" s="20"/>
      <c r="K34" s="20"/>
      <c r="L34" s="25" t="s">
        <v>95</v>
      </c>
      <c r="M34" s="19"/>
    </row>
    <row r="35" spans="1:13" ht="25.5" x14ac:dyDescent="0.25">
      <c r="A35" s="23" t="s">
        <v>2491</v>
      </c>
      <c r="B35" s="24" t="s">
        <v>28</v>
      </c>
      <c r="C35" s="24" t="s">
        <v>2492</v>
      </c>
      <c r="D35" s="24" t="s">
        <v>2401</v>
      </c>
      <c r="E35" s="24" t="s">
        <v>2493</v>
      </c>
      <c r="F35" s="24" t="s">
        <v>2494</v>
      </c>
      <c r="G35" s="24" t="s">
        <v>2495</v>
      </c>
      <c r="H35" s="24" t="s">
        <v>2496</v>
      </c>
      <c r="I35" s="23"/>
      <c r="J35" s="24"/>
      <c r="K35" s="24"/>
      <c r="L35" s="22" t="s">
        <v>67</v>
      </c>
      <c r="M35" s="23"/>
    </row>
    <row r="36" spans="1:13" ht="25.5" x14ac:dyDescent="0.25">
      <c r="A36" s="19" t="s">
        <v>2497</v>
      </c>
      <c r="B36" s="20" t="s">
        <v>28</v>
      </c>
      <c r="C36" s="20" t="s">
        <v>2492</v>
      </c>
      <c r="D36" s="20" t="s">
        <v>841</v>
      </c>
      <c r="E36" s="20" t="s">
        <v>842</v>
      </c>
      <c r="F36" s="20" t="s">
        <v>2498</v>
      </c>
      <c r="G36" s="20" t="s">
        <v>2495</v>
      </c>
      <c r="H36" s="20" t="s">
        <v>2499</v>
      </c>
      <c r="I36" s="19"/>
      <c r="J36" s="20"/>
      <c r="K36" s="20"/>
      <c r="L36" s="22" t="s">
        <v>67</v>
      </c>
      <c r="M36" s="19"/>
    </row>
    <row r="37" spans="1:13" ht="38.25" x14ac:dyDescent="0.25">
      <c r="A37" s="23" t="s">
        <v>2500</v>
      </c>
      <c r="B37" s="24" t="s">
        <v>28</v>
      </c>
      <c r="C37" s="24" t="s">
        <v>2492</v>
      </c>
      <c r="D37" s="24" t="s">
        <v>2501</v>
      </c>
      <c r="E37" s="24" t="s">
        <v>2502</v>
      </c>
      <c r="F37" s="24" t="s">
        <v>2503</v>
      </c>
      <c r="G37" s="24" t="s">
        <v>2504</v>
      </c>
      <c r="H37" s="24" t="s">
        <v>2505</v>
      </c>
      <c r="I37" s="23"/>
      <c r="J37" s="24"/>
      <c r="K37" s="24"/>
      <c r="L37" s="25" t="s">
        <v>95</v>
      </c>
      <c r="M37" s="23"/>
    </row>
    <row r="38" spans="1:13" ht="38.25" x14ac:dyDescent="0.25">
      <c r="A38" s="19" t="s">
        <v>2506</v>
      </c>
      <c r="B38" s="20" t="s">
        <v>28</v>
      </c>
      <c r="C38" s="20" t="s">
        <v>2492</v>
      </c>
      <c r="D38" s="20" t="s">
        <v>2507</v>
      </c>
      <c r="E38" s="20" t="s">
        <v>2508</v>
      </c>
      <c r="F38" s="20" t="s">
        <v>2509</v>
      </c>
      <c r="G38" s="20" t="s">
        <v>2510</v>
      </c>
      <c r="H38" s="20" t="s">
        <v>2511</v>
      </c>
      <c r="I38" s="19"/>
      <c r="J38" s="20"/>
      <c r="K38" s="20"/>
      <c r="L38" s="27" t="s">
        <v>131</v>
      </c>
      <c r="M38" s="19"/>
    </row>
    <row r="39" spans="1:13" ht="38.25" x14ac:dyDescent="0.25">
      <c r="A39" s="23" t="s">
        <v>2512</v>
      </c>
      <c r="B39" s="24" t="s">
        <v>28</v>
      </c>
      <c r="C39" s="24" t="s">
        <v>2492</v>
      </c>
      <c r="D39" s="24" t="s">
        <v>2513</v>
      </c>
      <c r="E39" s="24" t="s">
        <v>2514</v>
      </c>
      <c r="F39" s="24" t="s">
        <v>2515</v>
      </c>
      <c r="G39" s="24" t="s">
        <v>2516</v>
      </c>
      <c r="H39" s="24" t="s">
        <v>2517</v>
      </c>
      <c r="I39" s="23"/>
      <c r="J39" s="24"/>
      <c r="K39" s="24"/>
      <c r="L39" s="25" t="s">
        <v>95</v>
      </c>
      <c r="M39" s="23"/>
    </row>
    <row r="40" spans="1:13" ht="38.25" x14ac:dyDescent="0.25">
      <c r="A40" s="19" t="s">
        <v>2518</v>
      </c>
      <c r="B40" s="20" t="s">
        <v>28</v>
      </c>
      <c r="C40" s="20" t="s">
        <v>2492</v>
      </c>
      <c r="D40" s="20" t="s">
        <v>2519</v>
      </c>
      <c r="E40" s="20" t="s">
        <v>2520</v>
      </c>
      <c r="F40" s="20" t="s">
        <v>2521</v>
      </c>
      <c r="G40" s="20" t="s">
        <v>2516</v>
      </c>
      <c r="H40" s="20" t="s">
        <v>2522</v>
      </c>
      <c r="I40" s="19"/>
      <c r="J40" s="20"/>
      <c r="K40" s="20"/>
      <c r="L40" s="27" t="s">
        <v>131</v>
      </c>
      <c r="M40" s="19"/>
    </row>
    <row r="41" spans="1:13" ht="25.5" x14ac:dyDescent="0.25">
      <c r="A41" s="23" t="s">
        <v>2523</v>
      </c>
      <c r="B41" s="24" t="s">
        <v>28</v>
      </c>
      <c r="C41" s="24" t="s">
        <v>2524</v>
      </c>
      <c r="D41" s="24" t="s">
        <v>2525</v>
      </c>
      <c r="E41" s="24" t="s">
        <v>2526</v>
      </c>
      <c r="F41" s="24" t="s">
        <v>2527</v>
      </c>
      <c r="G41" s="24" t="s">
        <v>2528</v>
      </c>
      <c r="H41" s="24" t="s">
        <v>2529</v>
      </c>
      <c r="I41" s="23"/>
      <c r="J41" s="24"/>
      <c r="K41" s="24"/>
      <c r="L41" s="25" t="s">
        <v>95</v>
      </c>
      <c r="M41" s="23"/>
    </row>
    <row r="42" spans="1:13" ht="51" x14ac:dyDescent="0.25">
      <c r="A42" s="19" t="s">
        <v>2530</v>
      </c>
      <c r="B42" s="20" t="s">
        <v>28</v>
      </c>
      <c r="C42" s="20" t="s">
        <v>2524</v>
      </c>
      <c r="D42" s="20" t="s">
        <v>2531</v>
      </c>
      <c r="E42" s="20" t="s">
        <v>2532</v>
      </c>
      <c r="F42" s="20" t="s">
        <v>2533</v>
      </c>
      <c r="G42" s="20" t="s">
        <v>2534</v>
      </c>
      <c r="H42" s="20" t="s">
        <v>2535</v>
      </c>
      <c r="I42" s="19"/>
      <c r="J42" s="20"/>
      <c r="K42" s="20"/>
      <c r="L42" s="25" t="s">
        <v>95</v>
      </c>
      <c r="M42" s="19"/>
    </row>
    <row r="43" spans="1:13" ht="38.25" x14ac:dyDescent="0.25">
      <c r="A43" s="23" t="s">
        <v>2536</v>
      </c>
      <c r="B43" s="24" t="s">
        <v>28</v>
      </c>
      <c r="C43" s="24" t="s">
        <v>2524</v>
      </c>
      <c r="D43" s="24" t="s">
        <v>2537</v>
      </c>
      <c r="E43" s="24" t="s">
        <v>2537</v>
      </c>
      <c r="F43" s="24" t="s">
        <v>2538</v>
      </c>
      <c r="G43" s="24" t="s">
        <v>2539</v>
      </c>
      <c r="H43" s="24" t="s">
        <v>2540</v>
      </c>
      <c r="I43" s="23"/>
      <c r="J43" s="24"/>
      <c r="K43" s="24"/>
      <c r="L43" s="25" t="s">
        <v>95</v>
      </c>
      <c r="M43" s="23"/>
    </row>
    <row r="44" spans="1:13" ht="25.5" x14ac:dyDescent="0.25">
      <c r="A44" s="19" t="s">
        <v>2541</v>
      </c>
      <c r="B44" s="20" t="s">
        <v>28</v>
      </c>
      <c r="C44" s="20" t="s">
        <v>2524</v>
      </c>
      <c r="D44" s="20" t="s">
        <v>2542</v>
      </c>
      <c r="E44" s="20" t="s">
        <v>2543</v>
      </c>
      <c r="F44" s="20" t="s">
        <v>2544</v>
      </c>
      <c r="G44" s="20" t="s">
        <v>2539</v>
      </c>
      <c r="H44" s="20" t="s">
        <v>2545</v>
      </c>
      <c r="I44" s="19"/>
      <c r="J44" s="20"/>
      <c r="K44" s="20"/>
      <c r="L44" s="27" t="s">
        <v>131</v>
      </c>
      <c r="M44" s="19"/>
    </row>
    <row r="45" spans="1:13" ht="38.25" x14ac:dyDescent="0.25">
      <c r="A45" s="23" t="s">
        <v>2546</v>
      </c>
      <c r="B45" s="24" t="s">
        <v>28</v>
      </c>
      <c r="C45" s="24" t="s">
        <v>2524</v>
      </c>
      <c r="D45" s="24" t="s">
        <v>2547</v>
      </c>
      <c r="E45" s="24" t="s">
        <v>2548</v>
      </c>
      <c r="F45" s="24" t="s">
        <v>2549</v>
      </c>
      <c r="G45" s="24" t="s">
        <v>2550</v>
      </c>
      <c r="H45" s="24" t="s">
        <v>2551</v>
      </c>
      <c r="I45" s="23"/>
      <c r="J45" s="24"/>
      <c r="K45" s="24"/>
      <c r="L45" s="27" t="s">
        <v>131</v>
      </c>
      <c r="M45" s="23"/>
    </row>
    <row r="46" spans="1:13" ht="25.5" x14ac:dyDescent="0.25">
      <c r="A46" s="19" t="s">
        <v>2552</v>
      </c>
      <c r="B46" s="20" t="s">
        <v>28</v>
      </c>
      <c r="C46" s="20" t="s">
        <v>2553</v>
      </c>
      <c r="D46" s="20" t="s">
        <v>2554</v>
      </c>
      <c r="E46" s="20" t="s">
        <v>2555</v>
      </c>
      <c r="F46" s="20" t="s">
        <v>2556</v>
      </c>
      <c r="G46" s="20" t="s">
        <v>476</v>
      </c>
      <c r="H46" s="20" t="s">
        <v>2557</v>
      </c>
      <c r="I46" s="19"/>
      <c r="J46" s="20"/>
      <c r="K46" s="20"/>
      <c r="L46" s="25" t="s">
        <v>95</v>
      </c>
      <c r="M46" s="19"/>
    </row>
    <row r="47" spans="1:13" ht="38.25" x14ac:dyDescent="0.25">
      <c r="A47" s="23" t="s">
        <v>2558</v>
      </c>
      <c r="B47" s="24" t="s">
        <v>28</v>
      </c>
      <c r="C47" s="24" t="s">
        <v>2553</v>
      </c>
      <c r="D47" s="24" t="s">
        <v>2559</v>
      </c>
      <c r="E47" s="24" t="s">
        <v>2560</v>
      </c>
      <c r="F47" s="24" t="s">
        <v>2561</v>
      </c>
      <c r="G47" s="24" t="s">
        <v>476</v>
      </c>
      <c r="H47" s="24" t="s">
        <v>2562</v>
      </c>
      <c r="I47" s="23"/>
      <c r="J47" s="24"/>
      <c r="K47" s="24"/>
      <c r="L47" s="25" t="s">
        <v>95</v>
      </c>
      <c r="M47" s="23"/>
    </row>
    <row r="48" spans="1:13" ht="51" x14ac:dyDescent="0.25">
      <c r="A48" s="19" t="s">
        <v>2563</v>
      </c>
      <c r="B48" s="20" t="s">
        <v>28</v>
      </c>
      <c r="C48" s="20" t="s">
        <v>2553</v>
      </c>
      <c r="D48" s="20" t="s">
        <v>2564</v>
      </c>
      <c r="E48" s="20" t="s">
        <v>2565</v>
      </c>
      <c r="F48" s="20" t="s">
        <v>2566</v>
      </c>
      <c r="G48" s="20" t="s">
        <v>476</v>
      </c>
      <c r="H48" s="20" t="s">
        <v>2567</v>
      </c>
      <c r="I48" s="19"/>
      <c r="J48" s="20"/>
      <c r="K48" s="20"/>
      <c r="L48" s="27" t="s">
        <v>131</v>
      </c>
      <c r="M48" s="19"/>
    </row>
    <row r="49" spans="1:13" ht="25.5" x14ac:dyDescent="0.25">
      <c r="A49" s="23" t="s">
        <v>2568</v>
      </c>
      <c r="B49" s="24" t="s">
        <v>28</v>
      </c>
      <c r="C49" s="24" t="s">
        <v>2553</v>
      </c>
      <c r="D49" s="24" t="s">
        <v>2569</v>
      </c>
      <c r="E49" s="24" t="s">
        <v>2570</v>
      </c>
      <c r="F49" s="24" t="s">
        <v>2571</v>
      </c>
      <c r="G49" s="24" t="s">
        <v>476</v>
      </c>
      <c r="H49" s="24" t="s">
        <v>2572</v>
      </c>
      <c r="I49" s="23"/>
      <c r="J49" s="24"/>
      <c r="K49" s="24"/>
      <c r="L49" s="25" t="s">
        <v>95</v>
      </c>
      <c r="M49" s="23"/>
    </row>
    <row r="50" spans="1:13" ht="25.5" x14ac:dyDescent="0.25">
      <c r="A50" s="19" t="s">
        <v>2573</v>
      </c>
      <c r="B50" s="20" t="s">
        <v>28</v>
      </c>
      <c r="C50" s="20" t="s">
        <v>2574</v>
      </c>
      <c r="D50" s="20" t="s">
        <v>2407</v>
      </c>
      <c r="E50" s="20" t="s">
        <v>2575</v>
      </c>
      <c r="F50" s="20" t="s">
        <v>2576</v>
      </c>
      <c r="G50" s="20" t="s">
        <v>2577</v>
      </c>
      <c r="H50" s="20" t="s">
        <v>2578</v>
      </c>
      <c r="I50" s="19"/>
      <c r="J50" s="20"/>
      <c r="K50" s="20"/>
      <c r="L50" s="22" t="s">
        <v>67</v>
      </c>
      <c r="M50" s="19"/>
    </row>
    <row r="51" spans="1:13" ht="38.25" x14ac:dyDescent="0.25">
      <c r="A51" s="23" t="s">
        <v>2579</v>
      </c>
      <c r="B51" s="24" t="s">
        <v>28</v>
      </c>
      <c r="C51" s="24" t="s">
        <v>2574</v>
      </c>
      <c r="D51" s="24" t="s">
        <v>2580</v>
      </c>
      <c r="E51" s="24" t="s">
        <v>2581</v>
      </c>
      <c r="F51" s="24" t="s">
        <v>2582</v>
      </c>
      <c r="G51" s="24" t="s">
        <v>2583</v>
      </c>
      <c r="H51" s="24" t="s">
        <v>2584</v>
      </c>
      <c r="I51" s="23"/>
      <c r="J51" s="24"/>
      <c r="K51" s="24"/>
      <c r="L51" s="26" t="s">
        <v>103</v>
      </c>
      <c r="M51" s="23"/>
    </row>
    <row r="52" spans="1:13" ht="25.5" x14ac:dyDescent="0.25">
      <c r="A52" s="19" t="s">
        <v>2585</v>
      </c>
      <c r="B52" s="20" t="s">
        <v>28</v>
      </c>
      <c r="C52" s="20" t="s">
        <v>2574</v>
      </c>
      <c r="D52" s="20" t="s">
        <v>105</v>
      </c>
      <c r="E52" s="20" t="s">
        <v>180</v>
      </c>
      <c r="F52" s="20" t="s">
        <v>2586</v>
      </c>
      <c r="G52" s="20" t="s">
        <v>2577</v>
      </c>
      <c r="H52" s="20" t="s">
        <v>2587</v>
      </c>
      <c r="I52" s="19"/>
      <c r="J52" s="20"/>
      <c r="K52" s="20"/>
      <c r="L52" s="25" t="s">
        <v>95</v>
      </c>
      <c r="M52" s="19"/>
    </row>
    <row r="53" spans="1:13" ht="51" x14ac:dyDescent="0.25">
      <c r="A53" s="23" t="s">
        <v>2588</v>
      </c>
      <c r="B53" s="24" t="s">
        <v>28</v>
      </c>
      <c r="C53" s="24" t="s">
        <v>2574</v>
      </c>
      <c r="D53" s="24" t="s">
        <v>2589</v>
      </c>
      <c r="E53" s="24" t="s">
        <v>2590</v>
      </c>
      <c r="F53" s="24" t="s">
        <v>2591</v>
      </c>
      <c r="G53" s="24" t="s">
        <v>2583</v>
      </c>
      <c r="H53" s="24" t="s">
        <v>2592</v>
      </c>
      <c r="I53" s="23"/>
      <c r="J53" s="24"/>
      <c r="K53" s="24"/>
      <c r="L53" s="25" t="s">
        <v>95</v>
      </c>
      <c r="M53" s="23"/>
    </row>
    <row r="54" spans="1:13" ht="38.25" x14ac:dyDescent="0.25">
      <c r="A54" s="19" t="s">
        <v>2593</v>
      </c>
      <c r="B54" s="20" t="s">
        <v>28</v>
      </c>
      <c r="C54" s="20" t="s">
        <v>792</v>
      </c>
      <c r="D54" s="20" t="s">
        <v>2594</v>
      </c>
      <c r="E54" s="20" t="s">
        <v>2595</v>
      </c>
      <c r="F54" s="20" t="s">
        <v>2596</v>
      </c>
      <c r="G54" s="20" t="s">
        <v>2597</v>
      </c>
      <c r="H54" s="20" t="s">
        <v>800</v>
      </c>
      <c r="I54" s="19"/>
      <c r="J54" s="20"/>
      <c r="K54" s="20"/>
      <c r="L54" s="25" t="s">
        <v>95</v>
      </c>
      <c r="M54" s="19"/>
    </row>
    <row r="55" spans="1:13" ht="38.25" x14ac:dyDescent="0.25">
      <c r="A55" s="23" t="s">
        <v>2598</v>
      </c>
      <c r="B55" s="24" t="s">
        <v>28</v>
      </c>
      <c r="C55" s="24" t="s">
        <v>792</v>
      </c>
      <c r="D55" s="24" t="s">
        <v>2599</v>
      </c>
      <c r="E55" s="24" t="s">
        <v>2600</v>
      </c>
      <c r="F55" s="24" t="s">
        <v>2601</v>
      </c>
      <c r="G55" s="24" t="s">
        <v>2597</v>
      </c>
      <c r="H55" s="24" t="s">
        <v>2602</v>
      </c>
      <c r="I55" s="23"/>
      <c r="J55" s="24"/>
      <c r="K55" s="24"/>
      <c r="L55" s="22" t="s">
        <v>67</v>
      </c>
      <c r="M55" s="23"/>
    </row>
    <row r="56" spans="1:13" ht="38.25" x14ac:dyDescent="0.25">
      <c r="A56" s="19" t="s">
        <v>2603</v>
      </c>
      <c r="B56" s="20" t="s">
        <v>28</v>
      </c>
      <c r="C56" s="20" t="s">
        <v>792</v>
      </c>
      <c r="D56" s="20" t="s">
        <v>778</v>
      </c>
      <c r="E56" s="20" t="s">
        <v>1148</v>
      </c>
      <c r="F56" s="20" t="s">
        <v>2604</v>
      </c>
      <c r="G56" s="20" t="s">
        <v>2597</v>
      </c>
      <c r="H56" s="20" t="s">
        <v>2605</v>
      </c>
      <c r="I56" s="19"/>
      <c r="J56" s="20"/>
      <c r="K56" s="20"/>
      <c r="L56" s="27" t="s">
        <v>131</v>
      </c>
      <c r="M56" s="19"/>
    </row>
    <row r="57" spans="1:13" ht="38.25" x14ac:dyDescent="0.25">
      <c r="A57" s="23" t="s">
        <v>2606</v>
      </c>
      <c r="B57" s="24" t="s">
        <v>28</v>
      </c>
      <c r="C57" s="24" t="s">
        <v>792</v>
      </c>
      <c r="D57" s="24" t="s">
        <v>1043</v>
      </c>
      <c r="E57" s="24" t="s">
        <v>2607</v>
      </c>
      <c r="F57" s="24" t="s">
        <v>2608</v>
      </c>
      <c r="G57" s="24" t="s">
        <v>2597</v>
      </c>
      <c r="H57" s="24" t="s">
        <v>2609</v>
      </c>
      <c r="I57" s="23"/>
      <c r="J57" s="24"/>
      <c r="K57" s="24"/>
      <c r="L57" s="27" t="s">
        <v>131</v>
      </c>
      <c r="M57" s="23"/>
    </row>
    <row r="58" spans="1:13" ht="63.75" x14ac:dyDescent="0.25">
      <c r="A58" s="19" t="s">
        <v>2610</v>
      </c>
      <c r="B58" s="20" t="s">
        <v>28</v>
      </c>
      <c r="C58" s="20" t="s">
        <v>2400</v>
      </c>
      <c r="D58" s="20" t="s">
        <v>2611</v>
      </c>
      <c r="E58" s="20" t="s">
        <v>2612</v>
      </c>
      <c r="F58" s="20" t="s">
        <v>2613</v>
      </c>
      <c r="G58" s="20" t="s">
        <v>2404</v>
      </c>
      <c r="H58" s="20" t="s">
        <v>2614</v>
      </c>
      <c r="I58" s="19"/>
      <c r="J58" s="20"/>
      <c r="K58" s="20"/>
      <c r="L58" s="26" t="s">
        <v>103</v>
      </c>
      <c r="M58" s="19"/>
    </row>
    <row r="59" spans="1:13" ht="63.75" x14ac:dyDescent="0.25">
      <c r="A59" s="23" t="s">
        <v>2615</v>
      </c>
      <c r="B59" s="24" t="s">
        <v>28</v>
      </c>
      <c r="C59" s="24" t="s">
        <v>2400</v>
      </c>
      <c r="D59" s="24" t="s">
        <v>2616</v>
      </c>
      <c r="E59" s="24" t="s">
        <v>2617</v>
      </c>
      <c r="F59" s="24" t="s">
        <v>2618</v>
      </c>
      <c r="G59" s="24" t="s">
        <v>2619</v>
      </c>
      <c r="H59" s="24" t="s">
        <v>2620</v>
      </c>
      <c r="I59" s="23"/>
      <c r="J59" s="24"/>
      <c r="K59" s="24"/>
      <c r="L59" s="25" t="s">
        <v>95</v>
      </c>
      <c r="M59" s="23"/>
    </row>
    <row r="60" spans="1:13" ht="63.75" x14ac:dyDescent="0.25">
      <c r="A60" s="19" t="s">
        <v>2621</v>
      </c>
      <c r="B60" s="20" t="s">
        <v>28</v>
      </c>
      <c r="C60" s="20" t="s">
        <v>2400</v>
      </c>
      <c r="D60" s="20" t="s">
        <v>2622</v>
      </c>
      <c r="E60" s="20" t="s">
        <v>2623</v>
      </c>
      <c r="F60" s="20" t="s">
        <v>2624</v>
      </c>
      <c r="G60" s="20" t="s">
        <v>2415</v>
      </c>
      <c r="H60" s="20" t="s">
        <v>2625</v>
      </c>
      <c r="I60" s="19"/>
      <c r="J60" s="20"/>
      <c r="K60" s="20"/>
      <c r="L60" s="26" t="s">
        <v>103</v>
      </c>
      <c r="M60" s="19"/>
    </row>
    <row r="61" spans="1:13" ht="63.75" x14ac:dyDescent="0.25">
      <c r="A61" s="23" t="s">
        <v>2626</v>
      </c>
      <c r="B61" s="24" t="s">
        <v>28</v>
      </c>
      <c r="C61" s="24" t="s">
        <v>2400</v>
      </c>
      <c r="D61" s="24" t="s">
        <v>2627</v>
      </c>
      <c r="E61" s="24" t="s">
        <v>2628</v>
      </c>
      <c r="F61" s="24" t="s">
        <v>2629</v>
      </c>
      <c r="G61" s="24" t="s">
        <v>2415</v>
      </c>
      <c r="H61" s="24" t="s">
        <v>2630</v>
      </c>
      <c r="I61" s="23"/>
      <c r="J61" s="24"/>
      <c r="K61" s="24"/>
      <c r="L61" s="27" t="s">
        <v>131</v>
      </c>
      <c r="M61" s="23"/>
    </row>
    <row r="62" spans="1:13" ht="63.75" x14ac:dyDescent="0.25">
      <c r="A62" s="19" t="s">
        <v>2631</v>
      </c>
      <c r="B62" s="20" t="s">
        <v>28</v>
      </c>
      <c r="C62" s="20" t="s">
        <v>2400</v>
      </c>
      <c r="D62" s="20" t="s">
        <v>2569</v>
      </c>
      <c r="E62" s="20" t="s">
        <v>2632</v>
      </c>
      <c r="F62" s="20" t="s">
        <v>2633</v>
      </c>
      <c r="G62" s="20" t="s">
        <v>2404</v>
      </c>
      <c r="H62" s="20" t="s">
        <v>2634</v>
      </c>
      <c r="I62" s="19"/>
      <c r="J62" s="20"/>
      <c r="K62" s="20"/>
      <c r="L62" s="25" t="s">
        <v>95</v>
      </c>
      <c r="M62" s="19"/>
    </row>
    <row r="63" spans="1:13" ht="63.75" x14ac:dyDescent="0.25">
      <c r="A63" s="23" t="s">
        <v>2635</v>
      </c>
      <c r="B63" s="24" t="s">
        <v>28</v>
      </c>
      <c r="C63" s="24" t="s">
        <v>2574</v>
      </c>
      <c r="D63" s="24" t="s">
        <v>2636</v>
      </c>
      <c r="E63" s="24" t="s">
        <v>2637</v>
      </c>
      <c r="F63" s="24" t="s">
        <v>2638</v>
      </c>
      <c r="G63" s="24" t="s">
        <v>2583</v>
      </c>
      <c r="H63" s="24" t="s">
        <v>2639</v>
      </c>
      <c r="I63" s="23"/>
      <c r="J63" s="24"/>
      <c r="K63" s="24"/>
      <c r="L63" s="26" t="s">
        <v>103</v>
      </c>
      <c r="M63" s="23"/>
    </row>
    <row r="64" spans="1:13" ht="63.75" x14ac:dyDescent="0.25">
      <c r="A64" s="19" t="s">
        <v>2640</v>
      </c>
      <c r="B64" s="20" t="s">
        <v>28</v>
      </c>
      <c r="C64" s="20" t="s">
        <v>2574</v>
      </c>
      <c r="D64" s="20" t="s">
        <v>2641</v>
      </c>
      <c r="E64" s="20" t="s">
        <v>2642</v>
      </c>
      <c r="F64" s="20" t="s">
        <v>2643</v>
      </c>
      <c r="G64" s="20" t="s">
        <v>2577</v>
      </c>
      <c r="H64" s="20" t="s">
        <v>2644</v>
      </c>
      <c r="I64" s="19"/>
      <c r="J64" s="20"/>
      <c r="K64" s="20"/>
      <c r="L64" s="22" t="s">
        <v>67</v>
      </c>
      <c r="M64" s="19"/>
    </row>
    <row r="65" spans="1:13" ht="63.75" x14ac:dyDescent="0.25">
      <c r="A65" s="23" t="s">
        <v>663</v>
      </c>
      <c r="B65" s="24" t="s">
        <v>28</v>
      </c>
      <c r="C65" s="24" t="s">
        <v>2574</v>
      </c>
      <c r="D65" s="24" t="s">
        <v>2645</v>
      </c>
      <c r="E65" s="24" t="s">
        <v>2646</v>
      </c>
      <c r="F65" s="24" t="s">
        <v>2647</v>
      </c>
      <c r="G65" s="24" t="s">
        <v>2583</v>
      </c>
      <c r="H65" s="24" t="s">
        <v>2648</v>
      </c>
      <c r="I65" s="23"/>
      <c r="J65" s="24"/>
      <c r="K65" s="24"/>
      <c r="L65" s="25" t="s">
        <v>95</v>
      </c>
      <c r="M65" s="23"/>
    </row>
    <row r="66" spans="1:13" ht="63.75" x14ac:dyDescent="0.25">
      <c r="A66" s="19" t="s">
        <v>668</v>
      </c>
      <c r="B66" s="20" t="s">
        <v>28</v>
      </c>
      <c r="C66" s="20" t="s">
        <v>2574</v>
      </c>
      <c r="D66" s="20" t="s">
        <v>2649</v>
      </c>
      <c r="E66" s="20" t="s">
        <v>2650</v>
      </c>
      <c r="F66" s="20" t="s">
        <v>2651</v>
      </c>
      <c r="G66" s="20" t="s">
        <v>2583</v>
      </c>
      <c r="H66" s="20" t="s">
        <v>2652</v>
      </c>
      <c r="I66" s="19"/>
      <c r="J66" s="20"/>
      <c r="K66" s="20"/>
      <c r="L66" s="25" t="s">
        <v>95</v>
      </c>
      <c r="M66" s="19"/>
    </row>
    <row r="67" spans="1:13" ht="63.75" x14ac:dyDescent="0.25">
      <c r="A67" s="23" t="s">
        <v>673</v>
      </c>
      <c r="B67" s="24" t="s">
        <v>28</v>
      </c>
      <c r="C67" s="24" t="s">
        <v>2574</v>
      </c>
      <c r="D67" s="24" t="s">
        <v>2653</v>
      </c>
      <c r="E67" s="24" t="s">
        <v>2654</v>
      </c>
      <c r="F67" s="24" t="s">
        <v>2655</v>
      </c>
      <c r="G67" s="24" t="s">
        <v>2583</v>
      </c>
      <c r="H67" s="24" t="s">
        <v>2656</v>
      </c>
      <c r="I67" s="23"/>
      <c r="J67" s="24"/>
      <c r="K67" s="24"/>
      <c r="L67" s="22" t="s">
        <v>67</v>
      </c>
      <c r="M67" s="23"/>
    </row>
    <row r="68" spans="1:13" ht="63.75" x14ac:dyDescent="0.25">
      <c r="A68" s="19" t="s">
        <v>677</v>
      </c>
      <c r="B68" s="20" t="s">
        <v>28</v>
      </c>
      <c r="C68" s="20" t="s">
        <v>2360</v>
      </c>
      <c r="D68" s="20" t="s">
        <v>2657</v>
      </c>
      <c r="E68" s="20" t="s">
        <v>2658</v>
      </c>
      <c r="F68" s="20" t="s">
        <v>2659</v>
      </c>
      <c r="G68" s="20" t="s">
        <v>2392</v>
      </c>
      <c r="H68" s="20" t="s">
        <v>2660</v>
      </c>
      <c r="I68" s="19"/>
      <c r="J68" s="20"/>
      <c r="K68" s="20"/>
      <c r="L68" s="25" t="s">
        <v>95</v>
      </c>
      <c r="M68" s="19"/>
    </row>
    <row r="69" spans="1:13" ht="63.75" x14ac:dyDescent="0.25">
      <c r="A69" s="23" t="s">
        <v>681</v>
      </c>
      <c r="B69" s="24" t="s">
        <v>28</v>
      </c>
      <c r="C69" s="24" t="s">
        <v>2360</v>
      </c>
      <c r="D69" s="24" t="s">
        <v>2661</v>
      </c>
      <c r="E69" s="24" t="s">
        <v>2661</v>
      </c>
      <c r="F69" s="24" t="s">
        <v>2662</v>
      </c>
      <c r="G69" s="24" t="s">
        <v>2392</v>
      </c>
      <c r="H69" s="24" t="s">
        <v>2663</v>
      </c>
      <c r="I69" s="23"/>
      <c r="J69" s="24"/>
      <c r="K69" s="24"/>
      <c r="L69" s="22" t="s">
        <v>67</v>
      </c>
      <c r="M69" s="23"/>
    </row>
    <row r="70" spans="1:13" ht="63.75" x14ac:dyDescent="0.25">
      <c r="A70" s="19" t="s">
        <v>2664</v>
      </c>
      <c r="B70" s="20" t="s">
        <v>28</v>
      </c>
      <c r="C70" s="20" t="s">
        <v>2360</v>
      </c>
      <c r="D70" s="20" t="s">
        <v>2665</v>
      </c>
      <c r="E70" s="20" t="s">
        <v>2666</v>
      </c>
      <c r="F70" s="20" t="s">
        <v>2667</v>
      </c>
      <c r="G70" s="20" t="s">
        <v>2364</v>
      </c>
      <c r="H70" s="20" t="s">
        <v>2668</v>
      </c>
      <c r="I70" s="19"/>
      <c r="J70" s="20"/>
      <c r="K70" s="20"/>
      <c r="L70" s="25" t="s">
        <v>95</v>
      </c>
      <c r="M70" s="19"/>
    </row>
    <row r="71" spans="1:13" ht="63.75" x14ac:dyDescent="0.25">
      <c r="A71" s="23" t="s">
        <v>2669</v>
      </c>
      <c r="B71" s="24" t="s">
        <v>28</v>
      </c>
      <c r="C71" s="24" t="s">
        <v>2524</v>
      </c>
      <c r="D71" s="24" t="s">
        <v>2670</v>
      </c>
      <c r="E71" s="24" t="s">
        <v>2671</v>
      </c>
      <c r="F71" s="24" t="s">
        <v>2672</v>
      </c>
      <c r="G71" s="24" t="s">
        <v>2534</v>
      </c>
      <c r="H71" s="24" t="s">
        <v>2673</v>
      </c>
      <c r="I71" s="23"/>
      <c r="J71" s="24"/>
      <c r="K71" s="24"/>
      <c r="L71" s="27" t="s">
        <v>131</v>
      </c>
      <c r="M71" s="23"/>
    </row>
    <row r="72" spans="1:13" ht="63.75" x14ac:dyDescent="0.25">
      <c r="A72" s="19" t="s">
        <v>2674</v>
      </c>
      <c r="B72" s="20" t="s">
        <v>28</v>
      </c>
      <c r="C72" s="20" t="s">
        <v>2524</v>
      </c>
      <c r="D72" s="20" t="s">
        <v>2675</v>
      </c>
      <c r="E72" s="20" t="s">
        <v>2676</v>
      </c>
      <c r="F72" s="20" t="s">
        <v>2677</v>
      </c>
      <c r="G72" s="20" t="s">
        <v>2528</v>
      </c>
      <c r="H72" s="20" t="s">
        <v>2678</v>
      </c>
      <c r="I72" s="19"/>
      <c r="J72" s="20"/>
      <c r="K72" s="20"/>
      <c r="L72" s="25" t="s">
        <v>95</v>
      </c>
      <c r="M72" s="19"/>
    </row>
    <row r="73" spans="1:13" ht="76.5" x14ac:dyDescent="0.25">
      <c r="A73" s="23" t="s">
        <v>2679</v>
      </c>
      <c r="B73" s="24" t="s">
        <v>28</v>
      </c>
      <c r="C73" s="24" t="s">
        <v>2524</v>
      </c>
      <c r="D73" s="24" t="s">
        <v>2680</v>
      </c>
      <c r="E73" s="24" t="s">
        <v>2681</v>
      </c>
      <c r="F73" s="24" t="s">
        <v>2682</v>
      </c>
      <c r="G73" s="24" t="s">
        <v>2550</v>
      </c>
      <c r="H73" s="24" t="s">
        <v>2683</v>
      </c>
      <c r="I73" s="23"/>
      <c r="J73" s="24"/>
      <c r="K73" s="24"/>
      <c r="L73" s="27" t="s">
        <v>131</v>
      </c>
      <c r="M73" s="23"/>
    </row>
    <row r="74" spans="1:13" ht="63.75" x14ac:dyDescent="0.25">
      <c r="A74" s="19" t="s">
        <v>2684</v>
      </c>
      <c r="B74" s="20" t="s">
        <v>28</v>
      </c>
      <c r="C74" s="20" t="s">
        <v>2524</v>
      </c>
      <c r="D74" s="20" t="s">
        <v>2685</v>
      </c>
      <c r="E74" s="20" t="s">
        <v>2686</v>
      </c>
      <c r="F74" s="20" t="s">
        <v>2687</v>
      </c>
      <c r="G74" s="20" t="s">
        <v>2539</v>
      </c>
      <c r="H74" s="20" t="s">
        <v>2688</v>
      </c>
      <c r="I74" s="19"/>
      <c r="J74" s="20"/>
      <c r="K74" s="20"/>
      <c r="L74" s="27" t="s">
        <v>131</v>
      </c>
      <c r="M74" s="19"/>
    </row>
    <row r="75" spans="1:13" ht="63.75" x14ac:dyDescent="0.25">
      <c r="A75" s="23" t="s">
        <v>685</v>
      </c>
      <c r="B75" s="24" t="s">
        <v>28</v>
      </c>
      <c r="C75" s="24" t="s">
        <v>443</v>
      </c>
      <c r="D75" s="24" t="s">
        <v>2689</v>
      </c>
      <c r="E75" s="24" t="s">
        <v>2690</v>
      </c>
      <c r="F75" s="24" t="s">
        <v>2691</v>
      </c>
      <c r="G75" s="24" t="s">
        <v>2692</v>
      </c>
      <c r="H75" s="24" t="s">
        <v>2693</v>
      </c>
      <c r="I75" s="23"/>
      <c r="J75" s="24"/>
      <c r="K75" s="24"/>
      <c r="L75" s="25" t="s">
        <v>95</v>
      </c>
      <c r="M75" s="23"/>
    </row>
    <row r="76" spans="1:13" ht="63.75" x14ac:dyDescent="0.25">
      <c r="A76" s="19" t="s">
        <v>688</v>
      </c>
      <c r="B76" s="20" t="s">
        <v>28</v>
      </c>
      <c r="C76" s="20" t="s">
        <v>443</v>
      </c>
      <c r="D76" s="20" t="s">
        <v>2694</v>
      </c>
      <c r="E76" s="20" t="s">
        <v>2695</v>
      </c>
      <c r="F76" s="20" t="s">
        <v>2696</v>
      </c>
      <c r="G76" s="20" t="s">
        <v>2692</v>
      </c>
      <c r="H76" s="20" t="s">
        <v>2697</v>
      </c>
      <c r="I76" s="19"/>
      <c r="J76" s="20"/>
      <c r="K76" s="20"/>
      <c r="L76" s="25" t="s">
        <v>95</v>
      </c>
      <c r="M76" s="19"/>
    </row>
    <row r="77" spans="1:13" ht="63.75" x14ac:dyDescent="0.25">
      <c r="A77" s="23" t="s">
        <v>691</v>
      </c>
      <c r="B77" s="24" t="s">
        <v>28</v>
      </c>
      <c r="C77" s="24" t="s">
        <v>443</v>
      </c>
      <c r="D77" s="24" t="s">
        <v>2698</v>
      </c>
      <c r="E77" s="24" t="s">
        <v>2699</v>
      </c>
      <c r="F77" s="24" t="s">
        <v>2700</v>
      </c>
      <c r="G77" s="24" t="s">
        <v>2692</v>
      </c>
      <c r="H77" s="24" t="s">
        <v>2701</v>
      </c>
      <c r="I77" s="23"/>
      <c r="J77" s="24"/>
      <c r="K77" s="24"/>
      <c r="L77" s="25" t="s">
        <v>95</v>
      </c>
      <c r="M77" s="23"/>
    </row>
    <row r="78" spans="1:13" ht="63.75" x14ac:dyDescent="0.25">
      <c r="A78" s="19" t="s">
        <v>694</v>
      </c>
      <c r="B78" s="20" t="s">
        <v>28</v>
      </c>
      <c r="C78" s="20" t="s">
        <v>443</v>
      </c>
      <c r="D78" s="20" t="s">
        <v>2702</v>
      </c>
      <c r="E78" s="20" t="s">
        <v>2703</v>
      </c>
      <c r="F78" s="20" t="s">
        <v>2704</v>
      </c>
      <c r="G78" s="20" t="s">
        <v>2705</v>
      </c>
      <c r="H78" s="20" t="s">
        <v>2706</v>
      </c>
      <c r="I78" s="19"/>
      <c r="J78" s="20"/>
      <c r="K78" s="20"/>
      <c r="L78" s="27" t="s">
        <v>131</v>
      </c>
      <c r="M78" s="19"/>
    </row>
    <row r="79" spans="1:13" ht="63.75" x14ac:dyDescent="0.25">
      <c r="A79" s="23" t="s">
        <v>698</v>
      </c>
      <c r="B79" s="24" t="s">
        <v>28</v>
      </c>
      <c r="C79" s="24" t="s">
        <v>792</v>
      </c>
      <c r="D79" s="24" t="s">
        <v>2707</v>
      </c>
      <c r="E79" s="24" t="s">
        <v>2708</v>
      </c>
      <c r="F79" s="24" t="s">
        <v>2709</v>
      </c>
      <c r="G79" s="24" t="s">
        <v>2597</v>
      </c>
      <c r="H79" s="24" t="s">
        <v>2710</v>
      </c>
      <c r="I79" s="23"/>
      <c r="J79" s="24"/>
      <c r="K79" s="24"/>
      <c r="L79" s="26" t="s">
        <v>103</v>
      </c>
      <c r="M79" s="23"/>
    </row>
    <row r="80" spans="1:13" ht="63.75" x14ac:dyDescent="0.25">
      <c r="A80" s="19" t="s">
        <v>701</v>
      </c>
      <c r="B80" s="20" t="s">
        <v>28</v>
      </c>
      <c r="C80" s="20" t="s">
        <v>792</v>
      </c>
      <c r="D80" s="20" t="s">
        <v>2711</v>
      </c>
      <c r="E80" s="20" t="s">
        <v>2712</v>
      </c>
      <c r="F80" s="20" t="s">
        <v>2713</v>
      </c>
      <c r="G80" s="20" t="s">
        <v>2714</v>
      </c>
      <c r="H80" s="20" t="s">
        <v>2715</v>
      </c>
      <c r="I80" s="19"/>
      <c r="J80" s="20"/>
      <c r="K80" s="20"/>
      <c r="L80" s="27" t="s">
        <v>131</v>
      </c>
      <c r="M80" s="19"/>
    </row>
    <row r="81" spans="1:13" ht="63.75" x14ac:dyDescent="0.25">
      <c r="A81" s="23" t="s">
        <v>705</v>
      </c>
      <c r="B81" s="24" t="s">
        <v>28</v>
      </c>
      <c r="C81" s="24" t="s">
        <v>792</v>
      </c>
      <c r="D81" s="24" t="s">
        <v>2716</v>
      </c>
      <c r="E81" s="24" t="s">
        <v>2717</v>
      </c>
      <c r="F81" s="24" t="s">
        <v>2718</v>
      </c>
      <c r="G81" s="24" t="s">
        <v>2597</v>
      </c>
      <c r="H81" s="24" t="s">
        <v>2719</v>
      </c>
      <c r="I81" s="23"/>
      <c r="J81" s="24"/>
      <c r="K81" s="24"/>
      <c r="L81" s="25" t="s">
        <v>95</v>
      </c>
      <c r="M81" s="23"/>
    </row>
    <row r="82" spans="1:13" ht="63.75" x14ac:dyDescent="0.25">
      <c r="A82" s="19" t="s">
        <v>708</v>
      </c>
      <c r="B82" s="20" t="s">
        <v>28</v>
      </c>
      <c r="C82" s="20" t="s">
        <v>792</v>
      </c>
      <c r="D82" s="20" t="s">
        <v>2720</v>
      </c>
      <c r="E82" s="20" t="s">
        <v>2721</v>
      </c>
      <c r="F82" s="20" t="s">
        <v>2722</v>
      </c>
      <c r="G82" s="20" t="s">
        <v>2597</v>
      </c>
      <c r="H82" s="20" t="s">
        <v>2723</v>
      </c>
      <c r="I82" s="19"/>
      <c r="J82" s="20"/>
      <c r="K82" s="20"/>
      <c r="L82" s="27" t="s">
        <v>131</v>
      </c>
      <c r="M82" s="19"/>
    </row>
    <row r="83" spans="1:13" x14ac:dyDescent="0.25">
      <c r="A83" s="23"/>
      <c r="B83" s="24"/>
      <c r="C83" s="24"/>
      <c r="D83" s="24"/>
      <c r="E83" s="24"/>
      <c r="F83" s="24"/>
      <c r="G83" s="24" t="s">
        <v>476</v>
      </c>
      <c r="H83" s="24"/>
      <c r="I83" s="23"/>
      <c r="J83" s="24"/>
      <c r="K83" s="24"/>
      <c r="L83" s="23"/>
      <c r="M83" s="23"/>
    </row>
    <row r="84" spans="1:13" x14ac:dyDescent="0.25">
      <c r="A84" s="19" t="s">
        <v>477</v>
      </c>
      <c r="B84" s="20"/>
      <c r="C84" s="20"/>
      <c r="D84" s="20"/>
      <c r="E84" s="20"/>
      <c r="F84" s="20"/>
      <c r="G84" s="20" t="s">
        <v>476</v>
      </c>
      <c r="H84" s="20"/>
      <c r="I84" s="19"/>
      <c r="J84" s="20"/>
      <c r="K84" s="20"/>
      <c r="L84" s="19"/>
      <c r="M84" s="19"/>
    </row>
    <row r="85" spans="1:13" x14ac:dyDescent="0.25">
      <c r="A85" s="23" t="s">
        <v>478</v>
      </c>
      <c r="B85" s="24"/>
      <c r="C85" s="24"/>
      <c r="D85" s="24"/>
      <c r="E85" s="24"/>
      <c r="F85" s="24"/>
      <c r="G85" s="24" t="s">
        <v>476</v>
      </c>
      <c r="H85" s="24"/>
      <c r="I85" s="23"/>
      <c r="J85" s="24"/>
      <c r="K85" s="24"/>
      <c r="L85" s="23"/>
      <c r="M85" s="23"/>
    </row>
    <row r="86" spans="1:13" x14ac:dyDescent="0.25">
      <c r="A86" s="19" t="s">
        <v>479</v>
      </c>
      <c r="B86" s="20"/>
      <c r="C86" s="20"/>
      <c r="D86" s="20"/>
      <c r="E86" s="20"/>
      <c r="F86" s="20"/>
      <c r="G86" s="20" t="s">
        <v>476</v>
      </c>
      <c r="H86" s="20"/>
      <c r="I86" s="19"/>
      <c r="J86" s="20"/>
      <c r="K86" s="20"/>
      <c r="L86" s="19"/>
      <c r="M86" s="19"/>
    </row>
    <row r="87" spans="1:13" x14ac:dyDescent="0.25">
      <c r="A87" s="23" t="s">
        <v>480</v>
      </c>
      <c r="B87" s="24"/>
      <c r="C87" s="24"/>
      <c r="D87" s="24"/>
      <c r="E87" s="24"/>
      <c r="F87" s="24"/>
      <c r="G87" s="24" t="s">
        <v>476</v>
      </c>
      <c r="H87" s="24"/>
      <c r="I87" s="23"/>
      <c r="J87" s="24"/>
      <c r="K87" s="24"/>
      <c r="L87" s="23"/>
      <c r="M87" s="23"/>
    </row>
    <row r="88" spans="1:13" x14ac:dyDescent="0.25">
      <c r="A88" s="19" t="s">
        <v>481</v>
      </c>
      <c r="B88" s="20"/>
      <c r="C88" s="20"/>
      <c r="D88" s="20"/>
      <c r="E88" s="20"/>
      <c r="F88" s="20"/>
      <c r="G88" s="20" t="s">
        <v>476</v>
      </c>
      <c r="H88" s="20"/>
      <c r="I88" s="19"/>
      <c r="J88" s="20"/>
      <c r="K88" s="20"/>
      <c r="L88" s="19"/>
      <c r="M88" s="19"/>
    </row>
    <row r="89" spans="1:13" ht="51" x14ac:dyDescent="0.25">
      <c r="A89" s="23" t="s">
        <v>2724</v>
      </c>
      <c r="B89" s="24" t="s">
        <v>28</v>
      </c>
      <c r="C89" s="24" t="s">
        <v>443</v>
      </c>
      <c r="D89" s="24" t="s">
        <v>2725</v>
      </c>
      <c r="E89" s="24" t="s">
        <v>2726</v>
      </c>
      <c r="F89" s="24" t="s">
        <v>2727</v>
      </c>
      <c r="G89" s="24" t="s">
        <v>2728</v>
      </c>
      <c r="H89" s="24" t="s">
        <v>2729</v>
      </c>
      <c r="I89" s="23"/>
      <c r="J89" s="24"/>
      <c r="K89" s="24"/>
      <c r="L89" s="22" t="s">
        <v>67</v>
      </c>
      <c r="M89" s="23"/>
    </row>
    <row r="90" spans="1:13" ht="51" x14ac:dyDescent="0.25">
      <c r="A90" s="19" t="s">
        <v>2730</v>
      </c>
      <c r="B90" s="20" t="s">
        <v>28</v>
      </c>
      <c r="C90" s="20" t="s">
        <v>483</v>
      </c>
      <c r="D90" s="20" t="s">
        <v>2731</v>
      </c>
      <c r="E90" s="20" t="s">
        <v>2732</v>
      </c>
      <c r="F90" s="20" t="s">
        <v>2733</v>
      </c>
      <c r="G90" s="20" t="s">
        <v>2734</v>
      </c>
      <c r="H90" s="20" t="s">
        <v>2735</v>
      </c>
      <c r="I90" s="19"/>
      <c r="J90" s="20"/>
      <c r="K90" s="20"/>
      <c r="L90" s="25" t="s">
        <v>95</v>
      </c>
      <c r="M90" s="19"/>
    </row>
    <row r="91" spans="1:13" ht="51" x14ac:dyDescent="0.25">
      <c r="A91" s="23" t="s">
        <v>783</v>
      </c>
      <c r="B91" s="24" t="s">
        <v>28</v>
      </c>
      <c r="C91" s="24" t="s">
        <v>840</v>
      </c>
      <c r="D91" s="24" t="s">
        <v>2736</v>
      </c>
      <c r="E91" s="24" t="s">
        <v>2737</v>
      </c>
      <c r="F91" s="24" t="s">
        <v>2738</v>
      </c>
      <c r="G91" s="24" t="s">
        <v>2739</v>
      </c>
      <c r="H91" s="24" t="s">
        <v>2740</v>
      </c>
      <c r="I91" s="23"/>
      <c r="J91" s="24"/>
      <c r="K91" s="24"/>
      <c r="L91" s="25" t="s">
        <v>95</v>
      </c>
      <c r="M91" s="23"/>
    </row>
    <row r="92" spans="1:13" ht="51" x14ac:dyDescent="0.25">
      <c r="A92" s="19" t="s">
        <v>786</v>
      </c>
      <c r="B92" s="20" t="s">
        <v>28</v>
      </c>
      <c r="C92" s="20" t="s">
        <v>1205</v>
      </c>
      <c r="D92" s="20" t="s">
        <v>2741</v>
      </c>
      <c r="E92" s="20" t="s">
        <v>2742</v>
      </c>
      <c r="F92" s="20" t="s">
        <v>2743</v>
      </c>
      <c r="G92" s="20" t="s">
        <v>2744</v>
      </c>
      <c r="H92" s="20" t="s">
        <v>2745</v>
      </c>
      <c r="I92" s="19"/>
      <c r="J92" s="20"/>
      <c r="K92" s="20"/>
      <c r="L92" s="27" t="s">
        <v>131</v>
      </c>
      <c r="M92" s="19"/>
    </row>
    <row r="93" spans="1:13" ht="51" x14ac:dyDescent="0.25">
      <c r="A93" s="23" t="s">
        <v>789</v>
      </c>
      <c r="B93" s="24" t="s">
        <v>28</v>
      </c>
      <c r="C93" s="24" t="s">
        <v>1205</v>
      </c>
      <c r="D93" s="24" t="s">
        <v>1211</v>
      </c>
      <c r="E93" s="24" t="s">
        <v>2746</v>
      </c>
      <c r="F93" s="24" t="s">
        <v>2747</v>
      </c>
      <c r="G93" s="24" t="s">
        <v>2748</v>
      </c>
      <c r="H93" s="24" t="s">
        <v>2749</v>
      </c>
      <c r="I93" s="23"/>
      <c r="J93" s="24"/>
      <c r="K93" s="24"/>
      <c r="L93" s="27" t="s">
        <v>131</v>
      </c>
      <c r="M93" s="23"/>
    </row>
    <row r="94" spans="1:13" ht="51" x14ac:dyDescent="0.25">
      <c r="A94" s="19" t="s">
        <v>2750</v>
      </c>
      <c r="B94" s="20" t="s">
        <v>28</v>
      </c>
      <c r="C94" s="20" t="s">
        <v>2751</v>
      </c>
      <c r="D94" s="20" t="s">
        <v>1284</v>
      </c>
      <c r="E94" s="20" t="s">
        <v>2752</v>
      </c>
      <c r="F94" s="20" t="s">
        <v>2753</v>
      </c>
      <c r="G94" s="20" t="s">
        <v>2754</v>
      </c>
      <c r="H94" s="20" t="s">
        <v>2755</v>
      </c>
      <c r="I94" s="19"/>
      <c r="J94" s="20"/>
      <c r="K94" s="20"/>
      <c r="L94" s="27" t="s">
        <v>131</v>
      </c>
      <c r="M94" s="19"/>
    </row>
    <row r="95" spans="1:13" ht="51" x14ac:dyDescent="0.25">
      <c r="A95" s="23" t="s">
        <v>2756</v>
      </c>
      <c r="B95" s="24" t="s">
        <v>28</v>
      </c>
      <c r="C95" s="24" t="s">
        <v>1305</v>
      </c>
      <c r="D95" s="24" t="s">
        <v>2757</v>
      </c>
      <c r="E95" s="24" t="s">
        <v>2758</v>
      </c>
      <c r="F95" s="24" t="s">
        <v>2759</v>
      </c>
      <c r="G95" s="24" t="s">
        <v>2760</v>
      </c>
      <c r="H95" s="24" t="s">
        <v>2761</v>
      </c>
      <c r="I95" s="23"/>
      <c r="J95" s="24"/>
      <c r="K95" s="24"/>
      <c r="L95" s="25" t="s">
        <v>95</v>
      </c>
      <c r="M95" s="23"/>
    </row>
    <row r="96" spans="1:13" ht="51" x14ac:dyDescent="0.25">
      <c r="A96" s="19" t="s">
        <v>2762</v>
      </c>
      <c r="B96" s="20" t="s">
        <v>28</v>
      </c>
      <c r="C96" s="20" t="s">
        <v>1305</v>
      </c>
      <c r="D96" s="20" t="s">
        <v>2763</v>
      </c>
      <c r="E96" s="20" t="s">
        <v>2764</v>
      </c>
      <c r="F96" s="20" t="s">
        <v>2765</v>
      </c>
      <c r="G96" s="20" t="s">
        <v>2766</v>
      </c>
      <c r="H96" s="20" t="s">
        <v>2767</v>
      </c>
      <c r="I96" s="19"/>
      <c r="J96" s="20"/>
      <c r="K96" s="20"/>
      <c r="L96" s="25" t="s">
        <v>95</v>
      </c>
      <c r="M96" s="19"/>
    </row>
    <row r="97" spans="1:13" ht="51" x14ac:dyDescent="0.25">
      <c r="A97" s="23" t="s">
        <v>2768</v>
      </c>
      <c r="B97" s="24" t="s">
        <v>28</v>
      </c>
      <c r="C97" s="24" t="s">
        <v>2769</v>
      </c>
      <c r="D97" s="24" t="s">
        <v>2770</v>
      </c>
      <c r="E97" s="24" t="s">
        <v>2771</v>
      </c>
      <c r="F97" s="24" t="s">
        <v>2772</v>
      </c>
      <c r="G97" s="24" t="s">
        <v>2773</v>
      </c>
      <c r="H97" s="24" t="s">
        <v>2774</v>
      </c>
      <c r="I97" s="23"/>
      <c r="J97" s="24"/>
      <c r="K97" s="24"/>
      <c r="L97" s="22" t="s">
        <v>67</v>
      </c>
      <c r="M97" s="23"/>
    </row>
    <row r="98" spans="1:13" ht="51" x14ac:dyDescent="0.25">
      <c r="A98" s="19" t="s">
        <v>2775</v>
      </c>
      <c r="B98" s="20" t="s">
        <v>28</v>
      </c>
      <c r="C98" s="20" t="s">
        <v>2776</v>
      </c>
      <c r="D98" s="20" t="s">
        <v>2777</v>
      </c>
      <c r="E98" s="20" t="s">
        <v>2778</v>
      </c>
      <c r="F98" s="20" t="s">
        <v>2779</v>
      </c>
      <c r="G98" s="20" t="s">
        <v>2780</v>
      </c>
      <c r="H98" s="20" t="s">
        <v>2781</v>
      </c>
      <c r="I98" s="19"/>
      <c r="J98" s="20"/>
      <c r="K98" s="20"/>
      <c r="L98" s="27" t="s">
        <v>131</v>
      </c>
      <c r="M98" s="19"/>
    </row>
    <row r="99" spans="1:13" ht="38.25" x14ac:dyDescent="0.25">
      <c r="A99" s="23" t="s">
        <v>1331</v>
      </c>
      <c r="B99" s="24" t="s">
        <v>28</v>
      </c>
      <c r="C99" s="24" t="s">
        <v>60</v>
      </c>
      <c r="D99" s="24" t="s">
        <v>2324</v>
      </c>
      <c r="E99" s="24" t="s">
        <v>2782</v>
      </c>
      <c r="F99" s="24" t="s">
        <v>2783</v>
      </c>
      <c r="G99" s="24" t="s">
        <v>2326</v>
      </c>
      <c r="H99" s="24" t="s">
        <v>2784</v>
      </c>
      <c r="I99" s="23"/>
      <c r="J99" s="24"/>
      <c r="K99" s="24"/>
      <c r="L99" s="26" t="s">
        <v>103</v>
      </c>
      <c r="M99" s="23"/>
    </row>
    <row r="100" spans="1:13" ht="38.25" x14ac:dyDescent="0.25">
      <c r="A100" s="19" t="s">
        <v>1336</v>
      </c>
      <c r="B100" s="20" t="s">
        <v>28</v>
      </c>
      <c r="C100" s="20" t="s">
        <v>60</v>
      </c>
      <c r="D100" s="20" t="s">
        <v>2785</v>
      </c>
      <c r="E100" s="20" t="s">
        <v>2786</v>
      </c>
      <c r="F100" s="20" t="s">
        <v>515</v>
      </c>
      <c r="G100" s="20" t="s">
        <v>2326</v>
      </c>
      <c r="H100" s="20" t="s">
        <v>2331</v>
      </c>
      <c r="I100" s="19"/>
      <c r="J100" s="20"/>
      <c r="K100" s="20"/>
      <c r="L100" s="22" t="s">
        <v>67</v>
      </c>
      <c r="M100" s="19"/>
    </row>
    <row r="101" spans="1:13" ht="38.25" x14ac:dyDescent="0.25">
      <c r="A101" s="23" t="s">
        <v>1341</v>
      </c>
      <c r="B101" s="24" t="s">
        <v>28</v>
      </c>
      <c r="C101" s="24" t="s">
        <v>60</v>
      </c>
      <c r="D101" s="24" t="s">
        <v>2338</v>
      </c>
      <c r="E101" s="24" t="s">
        <v>2787</v>
      </c>
      <c r="F101" s="24" t="s">
        <v>2788</v>
      </c>
      <c r="G101" s="24" t="s">
        <v>2789</v>
      </c>
      <c r="H101" s="24" t="s">
        <v>2790</v>
      </c>
      <c r="I101" s="23"/>
      <c r="J101" s="24"/>
      <c r="K101" s="24"/>
      <c r="L101" s="26" t="s">
        <v>103</v>
      </c>
      <c r="M101" s="23"/>
    </row>
    <row r="102" spans="1:13" ht="38.25" x14ac:dyDescent="0.25">
      <c r="A102" s="19" t="s">
        <v>1346</v>
      </c>
      <c r="B102" s="20" t="s">
        <v>28</v>
      </c>
      <c r="C102" s="20" t="s">
        <v>60</v>
      </c>
      <c r="D102" s="20" t="s">
        <v>2333</v>
      </c>
      <c r="E102" s="20" t="s">
        <v>2333</v>
      </c>
      <c r="F102" s="20" t="s">
        <v>2791</v>
      </c>
      <c r="G102" s="20" t="s">
        <v>2326</v>
      </c>
      <c r="H102" s="20" t="s">
        <v>2792</v>
      </c>
      <c r="I102" s="19"/>
      <c r="J102" s="20"/>
      <c r="K102" s="20"/>
      <c r="L102" s="22" t="s">
        <v>67</v>
      </c>
      <c r="M102" s="19"/>
    </row>
    <row r="103" spans="1:13" ht="38.25" x14ac:dyDescent="0.25">
      <c r="A103" s="23" t="s">
        <v>1352</v>
      </c>
      <c r="B103" s="24" t="s">
        <v>28</v>
      </c>
      <c r="C103" s="24" t="s">
        <v>60</v>
      </c>
      <c r="D103" s="24" t="s">
        <v>1353</v>
      </c>
      <c r="E103" s="24" t="s">
        <v>2793</v>
      </c>
      <c r="F103" s="24" t="s">
        <v>2794</v>
      </c>
      <c r="G103" s="24" t="s">
        <v>2789</v>
      </c>
      <c r="H103" s="24" t="s">
        <v>2795</v>
      </c>
      <c r="I103" s="23"/>
      <c r="J103" s="24"/>
      <c r="K103" s="24"/>
      <c r="L103" s="25" t="s">
        <v>95</v>
      </c>
      <c r="M103" s="23"/>
    </row>
    <row r="104" spans="1:13" ht="38.25" x14ac:dyDescent="0.25">
      <c r="A104" s="19" t="s">
        <v>1383</v>
      </c>
      <c r="B104" s="20" t="s">
        <v>28</v>
      </c>
      <c r="C104" s="20" t="s">
        <v>79</v>
      </c>
      <c r="D104" s="20" t="s">
        <v>558</v>
      </c>
      <c r="E104" s="20" t="s">
        <v>2796</v>
      </c>
      <c r="F104" s="20" t="s">
        <v>2797</v>
      </c>
      <c r="G104" s="20" t="s">
        <v>2789</v>
      </c>
      <c r="H104" s="20" t="s">
        <v>2798</v>
      </c>
      <c r="I104" s="19"/>
      <c r="J104" s="20"/>
      <c r="K104" s="20"/>
      <c r="L104" s="26" t="s">
        <v>103</v>
      </c>
      <c r="M104" s="19"/>
    </row>
    <row r="105" spans="1:13" ht="51" x14ac:dyDescent="0.25">
      <c r="A105" s="23" t="s">
        <v>1388</v>
      </c>
      <c r="B105" s="24" t="s">
        <v>28</v>
      </c>
      <c r="C105" s="24" t="s">
        <v>79</v>
      </c>
      <c r="D105" s="24" t="s">
        <v>2799</v>
      </c>
      <c r="E105" s="24" t="s">
        <v>2800</v>
      </c>
      <c r="F105" s="24" t="s">
        <v>2801</v>
      </c>
      <c r="G105" s="24" t="s">
        <v>2789</v>
      </c>
      <c r="H105" s="24" t="s">
        <v>2802</v>
      </c>
      <c r="I105" s="23"/>
      <c r="J105" s="24"/>
      <c r="K105" s="24"/>
      <c r="L105" s="22" t="s">
        <v>67</v>
      </c>
      <c r="M105" s="23"/>
    </row>
    <row r="106" spans="1:13" ht="38.25" x14ac:dyDescent="0.25">
      <c r="A106" s="19" t="s">
        <v>1393</v>
      </c>
      <c r="B106" s="20" t="s">
        <v>28</v>
      </c>
      <c r="C106" s="20" t="s">
        <v>79</v>
      </c>
      <c r="D106" s="20" t="s">
        <v>91</v>
      </c>
      <c r="E106" s="20" t="s">
        <v>573</v>
      </c>
      <c r="F106" s="20" t="s">
        <v>2803</v>
      </c>
      <c r="G106" s="20" t="s">
        <v>2789</v>
      </c>
      <c r="H106" s="20" t="s">
        <v>2804</v>
      </c>
      <c r="I106" s="19"/>
      <c r="J106" s="20"/>
      <c r="K106" s="20"/>
      <c r="L106" s="25" t="s">
        <v>95</v>
      </c>
      <c r="M106" s="19"/>
    </row>
    <row r="107" spans="1:13" ht="51" x14ac:dyDescent="0.25">
      <c r="A107" s="23" t="s">
        <v>1398</v>
      </c>
      <c r="B107" s="24" t="s">
        <v>28</v>
      </c>
      <c r="C107" s="24" t="s">
        <v>79</v>
      </c>
      <c r="D107" s="24" t="s">
        <v>2354</v>
      </c>
      <c r="E107" s="24" t="s">
        <v>2355</v>
      </c>
      <c r="F107" s="24" t="s">
        <v>2805</v>
      </c>
      <c r="G107" s="24" t="s">
        <v>2789</v>
      </c>
      <c r="H107" s="24" t="s">
        <v>2806</v>
      </c>
      <c r="I107" s="23"/>
      <c r="J107" s="24"/>
      <c r="K107" s="24"/>
      <c r="L107" s="25" t="s">
        <v>95</v>
      </c>
      <c r="M107" s="23"/>
    </row>
    <row r="108" spans="1:13" ht="38.25" x14ac:dyDescent="0.25">
      <c r="A108" s="19" t="s">
        <v>1403</v>
      </c>
      <c r="B108" s="20" t="s">
        <v>28</v>
      </c>
      <c r="C108" s="20" t="s">
        <v>79</v>
      </c>
      <c r="D108" s="20" t="s">
        <v>2807</v>
      </c>
      <c r="E108" s="20" t="s">
        <v>2808</v>
      </c>
      <c r="F108" s="20" t="s">
        <v>2809</v>
      </c>
      <c r="G108" s="20" t="s">
        <v>2789</v>
      </c>
      <c r="H108" s="20" t="s">
        <v>2810</v>
      </c>
      <c r="I108" s="19"/>
      <c r="J108" s="20"/>
      <c r="K108" s="20"/>
      <c r="L108" s="25" t="s">
        <v>95</v>
      </c>
      <c r="M108" s="19"/>
    </row>
    <row r="109" spans="1:13" ht="38.25" x14ac:dyDescent="0.25">
      <c r="A109" s="23" t="s">
        <v>2811</v>
      </c>
      <c r="B109" s="24" t="s">
        <v>28</v>
      </c>
      <c r="C109" s="24" t="s">
        <v>2360</v>
      </c>
      <c r="D109" s="24" t="s">
        <v>2362</v>
      </c>
      <c r="E109" s="24" t="s">
        <v>2812</v>
      </c>
      <c r="F109" s="24" t="s">
        <v>2813</v>
      </c>
      <c r="G109" s="24" t="s">
        <v>2392</v>
      </c>
      <c r="H109" s="24" t="s">
        <v>2814</v>
      </c>
      <c r="I109" s="23"/>
      <c r="J109" s="24"/>
      <c r="K109" s="24"/>
      <c r="L109" s="26" t="s">
        <v>103</v>
      </c>
      <c r="M109" s="23"/>
    </row>
    <row r="110" spans="1:13" ht="38.25" x14ac:dyDescent="0.25">
      <c r="A110" s="19" t="s">
        <v>2815</v>
      </c>
      <c r="B110" s="20" t="s">
        <v>28</v>
      </c>
      <c r="C110" s="20" t="s">
        <v>2360</v>
      </c>
      <c r="D110" s="20" t="s">
        <v>2816</v>
      </c>
      <c r="E110" s="20" t="s">
        <v>2368</v>
      </c>
      <c r="F110" s="20" t="s">
        <v>2817</v>
      </c>
      <c r="G110" s="20" t="s">
        <v>2392</v>
      </c>
      <c r="H110" s="20" t="s">
        <v>2371</v>
      </c>
      <c r="I110" s="19"/>
      <c r="J110" s="20"/>
      <c r="K110" s="20"/>
      <c r="L110" s="22" t="s">
        <v>67</v>
      </c>
      <c r="M110" s="19"/>
    </row>
    <row r="111" spans="1:13" ht="38.25" x14ac:dyDescent="0.25">
      <c r="A111" s="23" t="s">
        <v>2818</v>
      </c>
      <c r="B111" s="24" t="s">
        <v>28</v>
      </c>
      <c r="C111" s="24" t="s">
        <v>2360</v>
      </c>
      <c r="D111" s="24" t="s">
        <v>297</v>
      </c>
      <c r="E111" s="24" t="s">
        <v>2374</v>
      </c>
      <c r="F111" s="24" t="s">
        <v>2819</v>
      </c>
      <c r="G111" s="24" t="s">
        <v>2392</v>
      </c>
      <c r="H111" s="24" t="s">
        <v>2820</v>
      </c>
      <c r="I111" s="23"/>
      <c r="J111" s="24"/>
      <c r="K111" s="24"/>
      <c r="L111" s="25" t="s">
        <v>95</v>
      </c>
      <c r="M111" s="23"/>
    </row>
    <row r="112" spans="1:13" ht="51" x14ac:dyDescent="0.25">
      <c r="A112" s="19" t="s">
        <v>2821</v>
      </c>
      <c r="B112" s="20" t="s">
        <v>28</v>
      </c>
      <c r="C112" s="20" t="s">
        <v>2360</v>
      </c>
      <c r="D112" s="20" t="s">
        <v>2379</v>
      </c>
      <c r="E112" s="20" t="s">
        <v>2822</v>
      </c>
      <c r="F112" s="20" t="s">
        <v>2823</v>
      </c>
      <c r="G112" s="20" t="s">
        <v>2364</v>
      </c>
      <c r="H112" s="20" t="s">
        <v>2824</v>
      </c>
      <c r="I112" s="19"/>
      <c r="J112" s="20"/>
      <c r="K112" s="20"/>
      <c r="L112" s="26" t="s">
        <v>103</v>
      </c>
      <c r="M112" s="19"/>
    </row>
    <row r="113" spans="1:13" ht="51" x14ac:dyDescent="0.25">
      <c r="A113" s="23" t="s">
        <v>2825</v>
      </c>
      <c r="B113" s="24" t="s">
        <v>28</v>
      </c>
      <c r="C113" s="24" t="s">
        <v>2360</v>
      </c>
      <c r="D113" s="24" t="s">
        <v>2383</v>
      </c>
      <c r="E113" s="24" t="s">
        <v>2384</v>
      </c>
      <c r="F113" s="24" t="s">
        <v>2826</v>
      </c>
      <c r="G113" s="24" t="s">
        <v>2386</v>
      </c>
      <c r="H113" s="24" t="s">
        <v>2827</v>
      </c>
      <c r="I113" s="23"/>
      <c r="J113" s="24"/>
      <c r="K113" s="24"/>
      <c r="L113" s="22" t="s">
        <v>67</v>
      </c>
      <c r="M113" s="23"/>
    </row>
    <row r="114" spans="1:13" ht="51" x14ac:dyDescent="0.25">
      <c r="A114" s="19" t="s">
        <v>2828</v>
      </c>
      <c r="B114" s="20" t="s">
        <v>28</v>
      </c>
      <c r="C114" s="20" t="s">
        <v>2360</v>
      </c>
      <c r="D114" s="20" t="s">
        <v>2389</v>
      </c>
      <c r="E114" s="20" t="s">
        <v>2390</v>
      </c>
      <c r="F114" s="20" t="s">
        <v>2829</v>
      </c>
      <c r="G114" s="20" t="s">
        <v>2392</v>
      </c>
      <c r="H114" s="20" t="s">
        <v>2830</v>
      </c>
      <c r="I114" s="19"/>
      <c r="J114" s="20"/>
      <c r="K114" s="20"/>
      <c r="L114" s="22" t="s">
        <v>67</v>
      </c>
      <c r="M114" s="19"/>
    </row>
    <row r="115" spans="1:13" ht="38.25" x14ac:dyDescent="0.25">
      <c r="A115" s="23" t="s">
        <v>2831</v>
      </c>
      <c r="B115" s="24" t="s">
        <v>28</v>
      </c>
      <c r="C115" s="24" t="s">
        <v>2360</v>
      </c>
      <c r="D115" s="24" t="s">
        <v>2832</v>
      </c>
      <c r="E115" s="24" t="s">
        <v>2832</v>
      </c>
      <c r="F115" s="24" t="s">
        <v>2833</v>
      </c>
      <c r="G115" s="24" t="s">
        <v>2392</v>
      </c>
      <c r="H115" s="24" t="s">
        <v>2834</v>
      </c>
      <c r="I115" s="23"/>
      <c r="J115" s="24"/>
      <c r="K115" s="24"/>
      <c r="L115" s="22" t="s">
        <v>67</v>
      </c>
      <c r="M115" s="23"/>
    </row>
    <row r="116" spans="1:13" ht="51" x14ac:dyDescent="0.25">
      <c r="A116" s="19" t="s">
        <v>2835</v>
      </c>
      <c r="B116" s="20" t="s">
        <v>28</v>
      </c>
      <c r="C116" s="20" t="s">
        <v>2360</v>
      </c>
      <c r="D116" s="20" t="s">
        <v>2395</v>
      </c>
      <c r="E116" s="20" t="s">
        <v>2836</v>
      </c>
      <c r="F116" s="20" t="s">
        <v>2837</v>
      </c>
      <c r="G116" s="20" t="s">
        <v>2392</v>
      </c>
      <c r="H116" s="20" t="s">
        <v>2838</v>
      </c>
      <c r="I116" s="19"/>
      <c r="J116" s="20"/>
      <c r="K116" s="20"/>
      <c r="L116" s="22" t="s">
        <v>67</v>
      </c>
      <c r="M116" s="19"/>
    </row>
    <row r="117" spans="1:13" ht="51" x14ac:dyDescent="0.25">
      <c r="A117" s="23" t="s">
        <v>2839</v>
      </c>
      <c r="B117" s="24" t="s">
        <v>28</v>
      </c>
      <c r="C117" s="24" t="s">
        <v>2360</v>
      </c>
      <c r="D117" s="24" t="s">
        <v>2657</v>
      </c>
      <c r="E117" s="24" t="s">
        <v>2840</v>
      </c>
      <c r="F117" s="24" t="s">
        <v>2841</v>
      </c>
      <c r="G117" s="24" t="s">
        <v>2392</v>
      </c>
      <c r="H117" s="24" t="s">
        <v>2842</v>
      </c>
      <c r="I117" s="23"/>
      <c r="J117" s="24"/>
      <c r="K117" s="24"/>
      <c r="L117" s="25" t="s">
        <v>95</v>
      </c>
      <c r="M117" s="23"/>
    </row>
    <row r="118" spans="1:13" ht="51" x14ac:dyDescent="0.25">
      <c r="A118" s="19" t="s">
        <v>2843</v>
      </c>
      <c r="B118" s="20" t="s">
        <v>28</v>
      </c>
      <c r="C118" s="20" t="s">
        <v>2360</v>
      </c>
      <c r="D118" s="20" t="s">
        <v>2661</v>
      </c>
      <c r="E118" s="20" t="s">
        <v>2661</v>
      </c>
      <c r="F118" s="20" t="s">
        <v>2844</v>
      </c>
      <c r="G118" s="20" t="s">
        <v>2392</v>
      </c>
      <c r="H118" s="20" t="s">
        <v>2663</v>
      </c>
      <c r="I118" s="19"/>
      <c r="J118" s="20"/>
      <c r="K118" s="20"/>
      <c r="L118" s="22" t="s">
        <v>67</v>
      </c>
      <c r="M118" s="19"/>
    </row>
    <row r="119" spans="1:13" ht="51" x14ac:dyDescent="0.25">
      <c r="A119" s="23" t="s">
        <v>2845</v>
      </c>
      <c r="B119" s="24" t="s">
        <v>28</v>
      </c>
      <c r="C119" s="24" t="s">
        <v>2360</v>
      </c>
      <c r="D119" s="24" t="s">
        <v>2846</v>
      </c>
      <c r="E119" s="24" t="s">
        <v>2665</v>
      </c>
      <c r="F119" s="24" t="s">
        <v>2847</v>
      </c>
      <c r="G119" s="24" t="s">
        <v>2364</v>
      </c>
      <c r="H119" s="24" t="s">
        <v>2848</v>
      </c>
      <c r="I119" s="23"/>
      <c r="J119" s="24"/>
      <c r="K119" s="24"/>
      <c r="L119" s="25" t="s">
        <v>95</v>
      </c>
      <c r="M119" s="23"/>
    </row>
    <row r="120" spans="1:13" ht="51" x14ac:dyDescent="0.25">
      <c r="A120" s="19" t="s">
        <v>2849</v>
      </c>
      <c r="B120" s="20" t="s">
        <v>28</v>
      </c>
      <c r="C120" s="20" t="s">
        <v>2360</v>
      </c>
      <c r="D120" s="20" t="s">
        <v>2850</v>
      </c>
      <c r="E120" s="20" t="s">
        <v>2851</v>
      </c>
      <c r="F120" s="20" t="s">
        <v>2852</v>
      </c>
      <c r="G120" s="20" t="s">
        <v>2392</v>
      </c>
      <c r="H120" s="20" t="s">
        <v>2853</v>
      </c>
      <c r="I120" s="19"/>
      <c r="J120" s="20"/>
      <c r="K120" s="20"/>
      <c r="L120" s="27" t="s">
        <v>131</v>
      </c>
      <c r="M120" s="19"/>
    </row>
    <row r="121" spans="1:13" ht="38.25" x14ac:dyDescent="0.25">
      <c r="A121" s="23" t="s">
        <v>2854</v>
      </c>
      <c r="B121" s="24" t="s">
        <v>28</v>
      </c>
      <c r="C121" s="24" t="s">
        <v>2400</v>
      </c>
      <c r="D121" s="24" t="s">
        <v>2402</v>
      </c>
      <c r="E121" s="24" t="s">
        <v>2402</v>
      </c>
      <c r="F121" s="24" t="s">
        <v>2855</v>
      </c>
      <c r="G121" s="24" t="s">
        <v>2415</v>
      </c>
      <c r="H121" s="24" t="s">
        <v>2856</v>
      </c>
      <c r="I121" s="23"/>
      <c r="J121" s="24"/>
      <c r="K121" s="24"/>
      <c r="L121" s="26" t="s">
        <v>103</v>
      </c>
      <c r="M121" s="23"/>
    </row>
    <row r="122" spans="1:13" ht="38.25" x14ac:dyDescent="0.25">
      <c r="A122" s="19" t="s">
        <v>2857</v>
      </c>
      <c r="B122" s="20" t="s">
        <v>28</v>
      </c>
      <c r="C122" s="20" t="s">
        <v>2400</v>
      </c>
      <c r="D122" s="20" t="s">
        <v>2407</v>
      </c>
      <c r="E122" s="20" t="s">
        <v>2408</v>
      </c>
      <c r="F122" s="20" t="s">
        <v>2858</v>
      </c>
      <c r="G122" s="20" t="s">
        <v>2415</v>
      </c>
      <c r="H122" s="20" t="s">
        <v>2859</v>
      </c>
      <c r="I122" s="19"/>
      <c r="J122" s="20"/>
      <c r="K122" s="20"/>
      <c r="L122" s="26" t="s">
        <v>103</v>
      </c>
      <c r="M122" s="19"/>
    </row>
    <row r="123" spans="1:13" ht="51" x14ac:dyDescent="0.25">
      <c r="A123" s="23" t="s">
        <v>2860</v>
      </c>
      <c r="B123" s="24" t="s">
        <v>28</v>
      </c>
      <c r="C123" s="24" t="s">
        <v>2400</v>
      </c>
      <c r="D123" s="24" t="s">
        <v>2611</v>
      </c>
      <c r="E123" s="24" t="s">
        <v>2861</v>
      </c>
      <c r="F123" s="24" t="s">
        <v>2862</v>
      </c>
      <c r="G123" s="24" t="s">
        <v>2404</v>
      </c>
      <c r="H123" s="24" t="s">
        <v>2863</v>
      </c>
      <c r="I123" s="23"/>
      <c r="J123" s="24"/>
      <c r="K123" s="24"/>
      <c r="L123" s="26" t="s">
        <v>103</v>
      </c>
      <c r="M123" s="23"/>
    </row>
    <row r="124" spans="1:13" ht="51" x14ac:dyDescent="0.25">
      <c r="A124" s="19" t="s">
        <v>2864</v>
      </c>
      <c r="B124" s="20" t="s">
        <v>28</v>
      </c>
      <c r="C124" s="20" t="s">
        <v>2400</v>
      </c>
      <c r="D124" s="20" t="s">
        <v>2413</v>
      </c>
      <c r="E124" s="20" t="s">
        <v>2413</v>
      </c>
      <c r="F124" s="20" t="s">
        <v>2865</v>
      </c>
      <c r="G124" s="20" t="s">
        <v>2415</v>
      </c>
      <c r="H124" s="20" t="s">
        <v>2866</v>
      </c>
      <c r="I124" s="19"/>
      <c r="J124" s="20"/>
      <c r="K124" s="20"/>
      <c r="L124" s="26" t="s">
        <v>103</v>
      </c>
      <c r="M124" s="19"/>
    </row>
    <row r="125" spans="1:13" ht="51" x14ac:dyDescent="0.25">
      <c r="A125" s="23" t="s">
        <v>2867</v>
      </c>
      <c r="B125" s="24" t="s">
        <v>28</v>
      </c>
      <c r="C125" s="24" t="s">
        <v>2400</v>
      </c>
      <c r="D125" s="24" t="s">
        <v>2868</v>
      </c>
      <c r="E125" s="24" t="s">
        <v>2869</v>
      </c>
      <c r="F125" s="24" t="s">
        <v>2870</v>
      </c>
      <c r="G125" s="24" t="s">
        <v>2415</v>
      </c>
      <c r="H125" s="24" t="s">
        <v>2871</v>
      </c>
      <c r="I125" s="23"/>
      <c r="J125" s="24"/>
      <c r="K125" s="24"/>
      <c r="L125" s="22" t="s">
        <v>67</v>
      </c>
      <c r="M125" s="23"/>
    </row>
    <row r="126" spans="1:13" ht="51" x14ac:dyDescent="0.25">
      <c r="A126" s="19" t="s">
        <v>2872</v>
      </c>
      <c r="B126" s="20" t="s">
        <v>28</v>
      </c>
      <c r="C126" s="20" t="s">
        <v>2400</v>
      </c>
      <c r="D126" s="20" t="s">
        <v>2616</v>
      </c>
      <c r="E126" s="20" t="s">
        <v>2873</v>
      </c>
      <c r="F126" s="20" t="s">
        <v>2874</v>
      </c>
      <c r="G126" s="20" t="s">
        <v>2415</v>
      </c>
      <c r="H126" s="20" t="s">
        <v>2620</v>
      </c>
      <c r="I126" s="19"/>
      <c r="J126" s="20"/>
      <c r="K126" s="20"/>
      <c r="L126" s="25" t="s">
        <v>95</v>
      </c>
      <c r="M126" s="19"/>
    </row>
    <row r="127" spans="1:13" ht="51" x14ac:dyDescent="0.25">
      <c r="A127" s="23" t="s">
        <v>2875</v>
      </c>
      <c r="B127" s="24" t="s">
        <v>28</v>
      </c>
      <c r="C127" s="24" t="s">
        <v>2400</v>
      </c>
      <c r="D127" s="24" t="s">
        <v>2627</v>
      </c>
      <c r="E127" s="24" t="s">
        <v>2876</v>
      </c>
      <c r="F127" s="24" t="s">
        <v>2877</v>
      </c>
      <c r="G127" s="24" t="s">
        <v>2415</v>
      </c>
      <c r="H127" s="24" t="s">
        <v>2878</v>
      </c>
      <c r="I127" s="23"/>
      <c r="J127" s="24"/>
      <c r="K127" s="24"/>
      <c r="L127" s="25" t="s">
        <v>95</v>
      </c>
      <c r="M127" s="23"/>
    </row>
    <row r="128" spans="1:13" ht="51" x14ac:dyDescent="0.25">
      <c r="A128" s="19" t="s">
        <v>2879</v>
      </c>
      <c r="B128" s="20" t="s">
        <v>28</v>
      </c>
      <c r="C128" s="20" t="s">
        <v>2400</v>
      </c>
      <c r="D128" s="20" t="s">
        <v>2424</v>
      </c>
      <c r="E128" s="20" t="s">
        <v>195</v>
      </c>
      <c r="F128" s="20" t="s">
        <v>2880</v>
      </c>
      <c r="G128" s="20" t="s">
        <v>2404</v>
      </c>
      <c r="H128" s="20" t="s">
        <v>2881</v>
      </c>
      <c r="I128" s="19"/>
      <c r="J128" s="20"/>
      <c r="K128" s="20"/>
      <c r="L128" s="26" t="s">
        <v>103</v>
      </c>
      <c r="M128" s="19"/>
    </row>
    <row r="129" spans="1:13" ht="51" x14ac:dyDescent="0.25">
      <c r="A129" s="23" t="s">
        <v>2882</v>
      </c>
      <c r="B129" s="24" t="s">
        <v>28</v>
      </c>
      <c r="C129" s="24" t="s">
        <v>2400</v>
      </c>
      <c r="D129" s="24" t="s">
        <v>2428</v>
      </c>
      <c r="E129" s="24" t="s">
        <v>201</v>
      </c>
      <c r="F129" s="24" t="s">
        <v>2883</v>
      </c>
      <c r="G129" s="24" t="s">
        <v>2431</v>
      </c>
      <c r="H129" s="24" t="s">
        <v>2884</v>
      </c>
      <c r="I129" s="23"/>
      <c r="J129" s="24"/>
      <c r="K129" s="24"/>
      <c r="L129" s="25" t="s">
        <v>95</v>
      </c>
      <c r="M129" s="23"/>
    </row>
    <row r="130" spans="1:13" ht="38.25" x14ac:dyDescent="0.25">
      <c r="A130" s="19" t="s">
        <v>2885</v>
      </c>
      <c r="B130" s="20" t="s">
        <v>28</v>
      </c>
      <c r="C130" s="20" t="s">
        <v>2400</v>
      </c>
      <c r="D130" s="20" t="s">
        <v>2886</v>
      </c>
      <c r="E130" s="20" t="s">
        <v>2435</v>
      </c>
      <c r="F130" s="20" t="s">
        <v>2436</v>
      </c>
      <c r="G130" s="20" t="s">
        <v>2415</v>
      </c>
      <c r="H130" s="20" t="s">
        <v>2887</v>
      </c>
      <c r="I130" s="19"/>
      <c r="J130" s="20"/>
      <c r="K130" s="20"/>
      <c r="L130" s="22" t="s">
        <v>67</v>
      </c>
      <c r="M130" s="19"/>
    </row>
    <row r="131" spans="1:13" ht="51" x14ac:dyDescent="0.25">
      <c r="A131" s="23" t="s">
        <v>1408</v>
      </c>
      <c r="B131" s="24" t="s">
        <v>28</v>
      </c>
      <c r="C131" s="24" t="s">
        <v>2400</v>
      </c>
      <c r="D131" s="24" t="s">
        <v>2440</v>
      </c>
      <c r="E131" s="24" t="s">
        <v>2440</v>
      </c>
      <c r="F131" s="24" t="s">
        <v>2441</v>
      </c>
      <c r="G131" s="24" t="s">
        <v>2415</v>
      </c>
      <c r="H131" s="24" t="s">
        <v>2888</v>
      </c>
      <c r="I131" s="23"/>
      <c r="J131" s="24"/>
      <c r="K131" s="24"/>
      <c r="L131" s="22" t="s">
        <v>67</v>
      </c>
      <c r="M131" s="23"/>
    </row>
    <row r="132" spans="1:13" ht="38.25" x14ac:dyDescent="0.25">
      <c r="A132" s="19" t="s">
        <v>1412</v>
      </c>
      <c r="B132" s="20" t="s">
        <v>28</v>
      </c>
      <c r="C132" s="20" t="s">
        <v>2400</v>
      </c>
      <c r="D132" s="20" t="s">
        <v>2445</v>
      </c>
      <c r="E132" s="20" t="s">
        <v>2445</v>
      </c>
      <c r="F132" s="20" t="s">
        <v>2889</v>
      </c>
      <c r="G132" s="20" t="s">
        <v>2415</v>
      </c>
      <c r="H132" s="20" t="s">
        <v>2890</v>
      </c>
      <c r="I132" s="19"/>
      <c r="J132" s="20"/>
      <c r="K132" s="20"/>
      <c r="L132" s="22" t="s">
        <v>67</v>
      </c>
      <c r="M132" s="19"/>
    </row>
    <row r="133" spans="1:13" ht="38.25" x14ac:dyDescent="0.25">
      <c r="A133" s="23" t="s">
        <v>1415</v>
      </c>
      <c r="B133" s="24" t="s">
        <v>28</v>
      </c>
      <c r="C133" s="24" t="s">
        <v>2400</v>
      </c>
      <c r="D133" s="24" t="s">
        <v>2450</v>
      </c>
      <c r="E133" s="24" t="s">
        <v>2450</v>
      </c>
      <c r="F133" s="24" t="s">
        <v>2451</v>
      </c>
      <c r="G133" s="24" t="s">
        <v>2415</v>
      </c>
      <c r="H133" s="24" t="s">
        <v>2891</v>
      </c>
      <c r="I133" s="23"/>
      <c r="J133" s="24"/>
      <c r="K133" s="24"/>
      <c r="L133" s="25" t="s">
        <v>95</v>
      </c>
      <c r="M133" s="23"/>
    </row>
    <row r="134" spans="1:13" ht="51" x14ac:dyDescent="0.25">
      <c r="A134" s="19" t="s">
        <v>1420</v>
      </c>
      <c r="B134" s="20" t="s">
        <v>28</v>
      </c>
      <c r="C134" s="20" t="s">
        <v>2400</v>
      </c>
      <c r="D134" s="20" t="s">
        <v>2892</v>
      </c>
      <c r="E134" s="20" t="s">
        <v>2570</v>
      </c>
      <c r="F134" s="20" t="s">
        <v>2893</v>
      </c>
      <c r="G134" s="20" t="s">
        <v>2404</v>
      </c>
      <c r="H134" s="20" t="s">
        <v>2894</v>
      </c>
      <c r="I134" s="19"/>
      <c r="J134" s="20"/>
      <c r="K134" s="20"/>
      <c r="L134" s="25" t="s">
        <v>95</v>
      </c>
      <c r="M134" s="19"/>
    </row>
    <row r="135" spans="1:13" ht="38.25" x14ac:dyDescent="0.25">
      <c r="A135" s="23" t="s">
        <v>1454</v>
      </c>
      <c r="B135" s="24" t="s">
        <v>28</v>
      </c>
      <c r="C135" s="24" t="s">
        <v>97</v>
      </c>
      <c r="D135" s="24" t="s">
        <v>2454</v>
      </c>
      <c r="E135" s="24" t="s">
        <v>2454</v>
      </c>
      <c r="F135" s="24" t="s">
        <v>2895</v>
      </c>
      <c r="G135" s="24" t="s">
        <v>2479</v>
      </c>
      <c r="H135" s="24" t="s">
        <v>2896</v>
      </c>
      <c r="I135" s="23"/>
      <c r="J135" s="24"/>
      <c r="K135" s="24"/>
      <c r="L135" s="26" t="s">
        <v>103</v>
      </c>
      <c r="M135" s="23"/>
    </row>
    <row r="136" spans="1:13" ht="38.25" x14ac:dyDescent="0.25">
      <c r="A136" s="19" t="s">
        <v>1459</v>
      </c>
      <c r="B136" s="20" t="s">
        <v>28</v>
      </c>
      <c r="C136" s="20" t="s">
        <v>97</v>
      </c>
      <c r="D136" s="20" t="s">
        <v>297</v>
      </c>
      <c r="E136" s="20" t="s">
        <v>298</v>
      </c>
      <c r="F136" s="20" t="s">
        <v>2897</v>
      </c>
      <c r="G136" s="20" t="s">
        <v>2479</v>
      </c>
      <c r="H136" s="20" t="s">
        <v>2898</v>
      </c>
      <c r="I136" s="19"/>
      <c r="J136" s="20"/>
      <c r="K136" s="20"/>
      <c r="L136" s="22" t="s">
        <v>67</v>
      </c>
      <c r="M136" s="19"/>
    </row>
    <row r="137" spans="1:13" ht="38.25" x14ac:dyDescent="0.25">
      <c r="A137" s="23" t="s">
        <v>1464</v>
      </c>
      <c r="B137" s="24" t="s">
        <v>28</v>
      </c>
      <c r="C137" s="24" t="s">
        <v>97</v>
      </c>
      <c r="D137" s="24" t="s">
        <v>308</v>
      </c>
      <c r="E137" s="24" t="s">
        <v>2466</v>
      </c>
      <c r="F137" s="24" t="s">
        <v>610</v>
      </c>
      <c r="G137" s="24" t="s">
        <v>2479</v>
      </c>
      <c r="H137" s="24" t="s">
        <v>2469</v>
      </c>
      <c r="I137" s="23"/>
      <c r="J137" s="24"/>
      <c r="K137" s="24"/>
      <c r="L137" s="22" t="s">
        <v>67</v>
      </c>
      <c r="M137" s="23"/>
    </row>
    <row r="138" spans="1:13" ht="51" x14ac:dyDescent="0.25">
      <c r="A138" s="19" t="s">
        <v>1469</v>
      </c>
      <c r="B138" s="20" t="s">
        <v>28</v>
      </c>
      <c r="C138" s="20" t="s">
        <v>97</v>
      </c>
      <c r="D138" s="20" t="s">
        <v>123</v>
      </c>
      <c r="E138" s="20" t="s">
        <v>123</v>
      </c>
      <c r="F138" s="20" t="s">
        <v>601</v>
      </c>
      <c r="G138" s="20" t="s">
        <v>2456</v>
      </c>
      <c r="H138" s="20" t="s">
        <v>602</v>
      </c>
      <c r="I138" s="19"/>
      <c r="J138" s="20"/>
      <c r="K138" s="20"/>
      <c r="L138" s="26" t="s">
        <v>103</v>
      </c>
      <c r="M138" s="19"/>
    </row>
    <row r="139" spans="1:13" ht="38.25" x14ac:dyDescent="0.25">
      <c r="A139" s="23" t="s">
        <v>1474</v>
      </c>
      <c r="B139" s="24" t="s">
        <v>28</v>
      </c>
      <c r="C139" s="24" t="s">
        <v>97</v>
      </c>
      <c r="D139" s="24" t="s">
        <v>117</v>
      </c>
      <c r="E139" s="24" t="s">
        <v>117</v>
      </c>
      <c r="F139" s="24" t="s">
        <v>2474</v>
      </c>
      <c r="G139" s="24" t="s">
        <v>2475</v>
      </c>
      <c r="H139" s="24" t="s">
        <v>599</v>
      </c>
      <c r="I139" s="23"/>
      <c r="J139" s="24"/>
      <c r="K139" s="24"/>
      <c r="L139" s="22" t="s">
        <v>67</v>
      </c>
      <c r="M139" s="23"/>
    </row>
    <row r="140" spans="1:13" ht="51" x14ac:dyDescent="0.25">
      <c r="A140" s="19" t="s">
        <v>2899</v>
      </c>
      <c r="B140" s="20" t="s">
        <v>28</v>
      </c>
      <c r="C140" s="20" t="s">
        <v>97</v>
      </c>
      <c r="D140" s="20" t="s">
        <v>968</v>
      </c>
      <c r="E140" s="20" t="s">
        <v>968</v>
      </c>
      <c r="F140" s="20" t="s">
        <v>2478</v>
      </c>
      <c r="G140" s="20" t="s">
        <v>2479</v>
      </c>
      <c r="H140" s="20" t="s">
        <v>2900</v>
      </c>
      <c r="I140" s="19"/>
      <c r="J140" s="20"/>
      <c r="K140" s="20"/>
      <c r="L140" s="22" t="s">
        <v>67</v>
      </c>
      <c r="M140" s="19"/>
    </row>
    <row r="141" spans="1:13" ht="51" x14ac:dyDescent="0.25">
      <c r="A141" s="23" t="s">
        <v>2901</v>
      </c>
      <c r="B141" s="24" t="s">
        <v>28</v>
      </c>
      <c r="C141" s="24" t="s">
        <v>97</v>
      </c>
      <c r="D141" s="24" t="s">
        <v>2483</v>
      </c>
      <c r="E141" s="24" t="s">
        <v>2902</v>
      </c>
      <c r="F141" s="24" t="s">
        <v>2484</v>
      </c>
      <c r="G141" s="24" t="s">
        <v>2479</v>
      </c>
      <c r="H141" s="24" t="s">
        <v>2903</v>
      </c>
      <c r="I141" s="23"/>
      <c r="J141" s="24"/>
      <c r="K141" s="24"/>
      <c r="L141" s="26" t="s">
        <v>103</v>
      </c>
      <c r="M141" s="23"/>
    </row>
    <row r="142" spans="1:13" ht="51" x14ac:dyDescent="0.25">
      <c r="A142" s="19" t="s">
        <v>2904</v>
      </c>
      <c r="B142" s="20" t="s">
        <v>28</v>
      </c>
      <c r="C142" s="20" t="s">
        <v>97</v>
      </c>
      <c r="D142" s="20" t="s">
        <v>2487</v>
      </c>
      <c r="E142" s="20" t="s">
        <v>2488</v>
      </c>
      <c r="F142" s="20" t="s">
        <v>2905</v>
      </c>
      <c r="G142" s="20" t="s">
        <v>2479</v>
      </c>
      <c r="H142" s="20" t="s">
        <v>2906</v>
      </c>
      <c r="I142" s="19"/>
      <c r="J142" s="20"/>
      <c r="K142" s="20"/>
      <c r="L142" s="22" t="s">
        <v>67</v>
      </c>
      <c r="M142" s="19"/>
    </row>
    <row r="143" spans="1:13" ht="38.25" x14ac:dyDescent="0.25">
      <c r="A143" s="23" t="s">
        <v>2907</v>
      </c>
      <c r="B143" s="24" t="s">
        <v>28</v>
      </c>
      <c r="C143" s="24" t="s">
        <v>97</v>
      </c>
      <c r="D143" s="24" t="s">
        <v>613</v>
      </c>
      <c r="E143" s="24" t="s">
        <v>315</v>
      </c>
      <c r="F143" s="24" t="s">
        <v>2908</v>
      </c>
      <c r="G143" s="24" t="s">
        <v>2456</v>
      </c>
      <c r="H143" s="24" t="s">
        <v>615</v>
      </c>
      <c r="I143" s="23"/>
      <c r="J143" s="24"/>
      <c r="K143" s="24"/>
      <c r="L143" s="25" t="s">
        <v>95</v>
      </c>
      <c r="M143" s="23"/>
    </row>
    <row r="144" spans="1:13" ht="51" x14ac:dyDescent="0.25">
      <c r="A144" s="19" t="s">
        <v>2909</v>
      </c>
      <c r="B144" s="20" t="s">
        <v>28</v>
      </c>
      <c r="C144" s="20" t="s">
        <v>97</v>
      </c>
      <c r="D144" s="20" t="s">
        <v>2910</v>
      </c>
      <c r="E144" s="20" t="s">
        <v>2911</v>
      </c>
      <c r="F144" s="20" t="s">
        <v>2912</v>
      </c>
      <c r="G144" s="20" t="s">
        <v>2479</v>
      </c>
      <c r="H144" s="20" t="s">
        <v>2913</v>
      </c>
      <c r="I144" s="19"/>
      <c r="J144" s="20"/>
      <c r="K144" s="20"/>
      <c r="L144" s="25" t="s">
        <v>95</v>
      </c>
      <c r="M144" s="19"/>
    </row>
    <row r="145" spans="1:13" ht="38.25" x14ac:dyDescent="0.25">
      <c r="A145" s="23" t="s">
        <v>2914</v>
      </c>
      <c r="B145" s="24" t="s">
        <v>28</v>
      </c>
      <c r="C145" s="24" t="s">
        <v>2492</v>
      </c>
      <c r="D145" s="24" t="s">
        <v>2493</v>
      </c>
      <c r="E145" s="24" t="s">
        <v>2493</v>
      </c>
      <c r="F145" s="24" t="s">
        <v>2915</v>
      </c>
      <c r="G145" s="24" t="s">
        <v>2516</v>
      </c>
      <c r="H145" s="24" t="s">
        <v>2916</v>
      </c>
      <c r="I145" s="23"/>
      <c r="J145" s="24"/>
      <c r="K145" s="24"/>
      <c r="L145" s="26" t="s">
        <v>103</v>
      </c>
      <c r="M145" s="23"/>
    </row>
    <row r="146" spans="1:13" ht="38.25" x14ac:dyDescent="0.25">
      <c r="A146" s="19" t="s">
        <v>2917</v>
      </c>
      <c r="B146" s="20" t="s">
        <v>28</v>
      </c>
      <c r="C146" s="20" t="s">
        <v>2492</v>
      </c>
      <c r="D146" s="20" t="s">
        <v>842</v>
      </c>
      <c r="E146" s="20" t="s">
        <v>842</v>
      </c>
      <c r="F146" s="20" t="s">
        <v>2918</v>
      </c>
      <c r="G146" s="20" t="s">
        <v>2516</v>
      </c>
      <c r="H146" s="20" t="s">
        <v>2919</v>
      </c>
      <c r="I146" s="19"/>
      <c r="J146" s="20"/>
      <c r="K146" s="20"/>
      <c r="L146" s="22" t="s">
        <v>67</v>
      </c>
      <c r="M146" s="19"/>
    </row>
    <row r="147" spans="1:13" ht="38.25" x14ac:dyDescent="0.25">
      <c r="A147" s="23" t="s">
        <v>2920</v>
      </c>
      <c r="B147" s="24" t="s">
        <v>28</v>
      </c>
      <c r="C147" s="24" t="s">
        <v>2492</v>
      </c>
      <c r="D147" s="24" t="s">
        <v>2501</v>
      </c>
      <c r="E147" s="24" t="s">
        <v>2502</v>
      </c>
      <c r="F147" s="24" t="s">
        <v>2921</v>
      </c>
      <c r="G147" s="24" t="s">
        <v>2504</v>
      </c>
      <c r="H147" s="24" t="s">
        <v>2505</v>
      </c>
      <c r="I147" s="23"/>
      <c r="J147" s="24"/>
      <c r="K147" s="24"/>
      <c r="L147" s="25" t="s">
        <v>95</v>
      </c>
      <c r="M147" s="23"/>
    </row>
    <row r="148" spans="1:13" ht="38.25" x14ac:dyDescent="0.25">
      <c r="A148" s="19" t="s">
        <v>2922</v>
      </c>
      <c r="B148" s="20" t="s">
        <v>28</v>
      </c>
      <c r="C148" s="20" t="s">
        <v>2492</v>
      </c>
      <c r="D148" s="20" t="s">
        <v>2507</v>
      </c>
      <c r="E148" s="20" t="s">
        <v>2923</v>
      </c>
      <c r="F148" s="20" t="s">
        <v>2924</v>
      </c>
      <c r="G148" s="20" t="s">
        <v>2510</v>
      </c>
      <c r="H148" s="20" t="s">
        <v>2511</v>
      </c>
      <c r="I148" s="19"/>
      <c r="J148" s="20"/>
      <c r="K148" s="20"/>
      <c r="L148" s="27" t="s">
        <v>131</v>
      </c>
      <c r="M148" s="19"/>
    </row>
    <row r="149" spans="1:13" ht="38.25" x14ac:dyDescent="0.25">
      <c r="A149" s="23" t="s">
        <v>2925</v>
      </c>
      <c r="B149" s="24" t="s">
        <v>28</v>
      </c>
      <c r="C149" s="24" t="s">
        <v>2492</v>
      </c>
      <c r="D149" s="24" t="s">
        <v>889</v>
      </c>
      <c r="E149" s="24" t="s">
        <v>2514</v>
      </c>
      <c r="F149" s="24" t="s">
        <v>2515</v>
      </c>
      <c r="G149" s="24" t="s">
        <v>2516</v>
      </c>
      <c r="H149" s="24" t="s">
        <v>2517</v>
      </c>
      <c r="I149" s="23"/>
      <c r="J149" s="24"/>
      <c r="K149" s="24"/>
      <c r="L149" s="22" t="s">
        <v>67</v>
      </c>
      <c r="M149" s="23"/>
    </row>
    <row r="150" spans="1:13" ht="38.25" x14ac:dyDescent="0.25">
      <c r="A150" s="19" t="s">
        <v>2926</v>
      </c>
      <c r="B150" s="20" t="s">
        <v>28</v>
      </c>
      <c r="C150" s="20" t="s">
        <v>2492</v>
      </c>
      <c r="D150" s="20" t="s">
        <v>2520</v>
      </c>
      <c r="E150" s="20" t="s">
        <v>2520</v>
      </c>
      <c r="F150" s="20" t="s">
        <v>2927</v>
      </c>
      <c r="G150" s="20" t="s">
        <v>2516</v>
      </c>
      <c r="H150" s="20" t="s">
        <v>2522</v>
      </c>
      <c r="I150" s="19"/>
      <c r="J150" s="20"/>
      <c r="K150" s="20"/>
      <c r="L150" s="27" t="s">
        <v>131</v>
      </c>
      <c r="M150" s="19"/>
    </row>
    <row r="151" spans="1:13" ht="51" x14ac:dyDescent="0.25">
      <c r="A151" s="23" t="s">
        <v>2928</v>
      </c>
      <c r="B151" s="24" t="s">
        <v>28</v>
      </c>
      <c r="C151" s="24" t="s">
        <v>2492</v>
      </c>
      <c r="D151" s="24" t="s">
        <v>2736</v>
      </c>
      <c r="E151" s="24" t="s">
        <v>2929</v>
      </c>
      <c r="F151" s="24" t="s">
        <v>2930</v>
      </c>
      <c r="G151" s="24" t="s">
        <v>2931</v>
      </c>
      <c r="H151" s="24" t="s">
        <v>2932</v>
      </c>
      <c r="I151" s="23"/>
      <c r="J151" s="24"/>
      <c r="K151" s="24"/>
      <c r="L151" s="25" t="s">
        <v>95</v>
      </c>
      <c r="M151" s="23"/>
    </row>
    <row r="152" spans="1:13" ht="51" x14ac:dyDescent="0.25">
      <c r="A152" s="19" t="s">
        <v>2933</v>
      </c>
      <c r="B152" s="20" t="s">
        <v>28</v>
      </c>
      <c r="C152" s="20" t="s">
        <v>2492</v>
      </c>
      <c r="D152" s="20" t="s">
        <v>2934</v>
      </c>
      <c r="E152" s="20" t="s">
        <v>2935</v>
      </c>
      <c r="F152" s="20" t="s">
        <v>2936</v>
      </c>
      <c r="G152" s="20" t="s">
        <v>2937</v>
      </c>
      <c r="H152" s="20" t="s">
        <v>2938</v>
      </c>
      <c r="I152" s="19"/>
      <c r="J152" s="20"/>
      <c r="K152" s="20"/>
      <c r="L152" s="22" t="s">
        <v>67</v>
      </c>
      <c r="M152" s="19"/>
    </row>
    <row r="153" spans="1:13" ht="38.25" x14ac:dyDescent="0.25">
      <c r="A153" s="23" t="s">
        <v>2939</v>
      </c>
      <c r="B153" s="24" t="s">
        <v>28</v>
      </c>
      <c r="C153" s="24" t="s">
        <v>2574</v>
      </c>
      <c r="D153" s="24" t="s">
        <v>2575</v>
      </c>
      <c r="E153" s="24" t="s">
        <v>2575</v>
      </c>
      <c r="F153" s="24" t="s">
        <v>2940</v>
      </c>
      <c r="G153" s="24" t="s">
        <v>2583</v>
      </c>
      <c r="H153" s="24" t="s">
        <v>2941</v>
      </c>
      <c r="I153" s="23"/>
      <c r="J153" s="24"/>
      <c r="K153" s="24"/>
      <c r="L153" s="26" t="s">
        <v>103</v>
      </c>
      <c r="M153" s="23"/>
    </row>
    <row r="154" spans="1:13" ht="51" x14ac:dyDescent="0.25">
      <c r="A154" s="19" t="s">
        <v>2942</v>
      </c>
      <c r="B154" s="20" t="s">
        <v>28</v>
      </c>
      <c r="C154" s="20" t="s">
        <v>2574</v>
      </c>
      <c r="D154" s="20" t="s">
        <v>2636</v>
      </c>
      <c r="E154" s="20" t="s">
        <v>2637</v>
      </c>
      <c r="F154" s="20" t="s">
        <v>2943</v>
      </c>
      <c r="G154" s="20" t="s">
        <v>2583</v>
      </c>
      <c r="H154" s="20" t="s">
        <v>2944</v>
      </c>
      <c r="I154" s="19"/>
      <c r="J154" s="20"/>
      <c r="K154" s="20"/>
      <c r="L154" s="26" t="s">
        <v>103</v>
      </c>
      <c r="M154" s="19"/>
    </row>
    <row r="155" spans="1:13" ht="51" x14ac:dyDescent="0.25">
      <c r="A155" s="23" t="s">
        <v>2945</v>
      </c>
      <c r="B155" s="24" t="s">
        <v>28</v>
      </c>
      <c r="C155" s="24" t="s">
        <v>2574</v>
      </c>
      <c r="D155" s="24" t="s">
        <v>2641</v>
      </c>
      <c r="E155" s="24" t="s">
        <v>2642</v>
      </c>
      <c r="F155" s="24" t="s">
        <v>2946</v>
      </c>
      <c r="G155" s="24" t="s">
        <v>2583</v>
      </c>
      <c r="H155" s="24" t="s">
        <v>656</v>
      </c>
      <c r="I155" s="23"/>
      <c r="J155" s="24"/>
      <c r="K155" s="24"/>
      <c r="L155" s="22" t="s">
        <v>67</v>
      </c>
      <c r="M155" s="23"/>
    </row>
    <row r="156" spans="1:13" ht="38.25" x14ac:dyDescent="0.25">
      <c r="A156" s="19" t="s">
        <v>2947</v>
      </c>
      <c r="B156" s="20" t="s">
        <v>28</v>
      </c>
      <c r="C156" s="20" t="s">
        <v>2574</v>
      </c>
      <c r="D156" s="20" t="s">
        <v>2580</v>
      </c>
      <c r="E156" s="20" t="s">
        <v>2580</v>
      </c>
      <c r="F156" s="20" t="s">
        <v>2582</v>
      </c>
      <c r="G156" s="20" t="s">
        <v>2583</v>
      </c>
      <c r="H156" s="20" t="s">
        <v>2948</v>
      </c>
      <c r="I156" s="19"/>
      <c r="J156" s="20"/>
      <c r="K156" s="20"/>
      <c r="L156" s="26" t="s">
        <v>103</v>
      </c>
      <c r="M156" s="19"/>
    </row>
    <row r="157" spans="1:13" ht="51" x14ac:dyDescent="0.25">
      <c r="A157" s="23" t="s">
        <v>2949</v>
      </c>
      <c r="B157" s="24" t="s">
        <v>28</v>
      </c>
      <c r="C157" s="24" t="s">
        <v>2574</v>
      </c>
      <c r="D157" s="24" t="s">
        <v>2645</v>
      </c>
      <c r="E157" s="24" t="s">
        <v>2646</v>
      </c>
      <c r="F157" s="24" t="s">
        <v>2950</v>
      </c>
      <c r="G157" s="24" t="s">
        <v>2583</v>
      </c>
      <c r="H157" s="24" t="s">
        <v>2648</v>
      </c>
      <c r="I157" s="23"/>
      <c r="J157" s="24"/>
      <c r="K157" s="24"/>
      <c r="L157" s="25" t="s">
        <v>95</v>
      </c>
      <c r="M157" s="23"/>
    </row>
    <row r="158" spans="1:13" ht="38.25" x14ac:dyDescent="0.25">
      <c r="A158" s="19" t="s">
        <v>2951</v>
      </c>
      <c r="B158" s="20" t="s">
        <v>28</v>
      </c>
      <c r="C158" s="20" t="s">
        <v>2574</v>
      </c>
      <c r="D158" s="20" t="s">
        <v>180</v>
      </c>
      <c r="E158" s="20" t="s">
        <v>180</v>
      </c>
      <c r="F158" s="20" t="s">
        <v>2952</v>
      </c>
      <c r="G158" s="20" t="s">
        <v>2583</v>
      </c>
      <c r="H158" s="20" t="s">
        <v>2953</v>
      </c>
      <c r="I158" s="19"/>
      <c r="J158" s="20"/>
      <c r="K158" s="20"/>
      <c r="L158" s="25" t="s">
        <v>95</v>
      </c>
      <c r="M158" s="19"/>
    </row>
    <row r="159" spans="1:13" ht="51" x14ac:dyDescent="0.25">
      <c r="A159" s="23" t="s">
        <v>2954</v>
      </c>
      <c r="B159" s="24" t="s">
        <v>28</v>
      </c>
      <c r="C159" s="24" t="s">
        <v>2574</v>
      </c>
      <c r="D159" s="24" t="s">
        <v>2589</v>
      </c>
      <c r="E159" s="24" t="s">
        <v>2955</v>
      </c>
      <c r="F159" s="24" t="s">
        <v>2956</v>
      </c>
      <c r="G159" s="24" t="s">
        <v>2583</v>
      </c>
      <c r="H159" s="24" t="s">
        <v>2957</v>
      </c>
      <c r="I159" s="23"/>
      <c r="J159" s="24"/>
      <c r="K159" s="24"/>
      <c r="L159" s="25" t="s">
        <v>95</v>
      </c>
      <c r="M159" s="23"/>
    </row>
    <row r="160" spans="1:13" ht="51" x14ac:dyDescent="0.25">
      <c r="A160" s="19" t="s">
        <v>2958</v>
      </c>
      <c r="B160" s="20" t="s">
        <v>28</v>
      </c>
      <c r="C160" s="20" t="s">
        <v>2574</v>
      </c>
      <c r="D160" s="20" t="s">
        <v>2653</v>
      </c>
      <c r="E160" s="20" t="s">
        <v>2654</v>
      </c>
      <c r="F160" s="20" t="s">
        <v>2959</v>
      </c>
      <c r="G160" s="20" t="s">
        <v>2583</v>
      </c>
      <c r="H160" s="20" t="s">
        <v>2960</v>
      </c>
      <c r="I160" s="19"/>
      <c r="J160" s="20"/>
      <c r="K160" s="20"/>
      <c r="L160" s="22" t="s">
        <v>67</v>
      </c>
      <c r="M160" s="19"/>
    </row>
    <row r="161" spans="1:13" ht="38.25" x14ac:dyDescent="0.25">
      <c r="A161" s="23" t="s">
        <v>2961</v>
      </c>
      <c r="B161" s="24" t="s">
        <v>28</v>
      </c>
      <c r="C161" s="24" t="s">
        <v>2574</v>
      </c>
      <c r="D161" s="24" t="s">
        <v>2649</v>
      </c>
      <c r="E161" s="24" t="s">
        <v>2649</v>
      </c>
      <c r="F161" s="24" t="s">
        <v>2962</v>
      </c>
      <c r="G161" s="24" t="s">
        <v>2583</v>
      </c>
      <c r="H161" s="24" t="s">
        <v>2963</v>
      </c>
      <c r="I161" s="23"/>
      <c r="J161" s="24"/>
      <c r="K161" s="24"/>
      <c r="L161" s="27" t="s">
        <v>131</v>
      </c>
      <c r="M161" s="23"/>
    </row>
    <row r="162" spans="1:13" ht="38.25" x14ac:dyDescent="0.25">
      <c r="A162" s="19" t="s">
        <v>1479</v>
      </c>
      <c r="B162" s="20" t="s">
        <v>28</v>
      </c>
      <c r="C162" s="20" t="s">
        <v>1305</v>
      </c>
      <c r="D162" s="20" t="s">
        <v>2964</v>
      </c>
      <c r="E162" s="20" t="s">
        <v>2965</v>
      </c>
      <c r="F162" s="20" t="s">
        <v>2966</v>
      </c>
      <c r="G162" s="20" t="s">
        <v>2967</v>
      </c>
      <c r="H162" s="20" t="s">
        <v>2968</v>
      </c>
      <c r="I162" s="19"/>
      <c r="J162" s="20"/>
      <c r="K162" s="20"/>
      <c r="L162" s="22" t="s">
        <v>67</v>
      </c>
      <c r="M162" s="19"/>
    </row>
    <row r="163" spans="1:13" ht="38.25" x14ac:dyDescent="0.25">
      <c r="A163" s="23" t="s">
        <v>1483</v>
      </c>
      <c r="B163" s="24" t="s">
        <v>28</v>
      </c>
      <c r="C163" s="24" t="s">
        <v>1305</v>
      </c>
      <c r="D163" s="24" t="s">
        <v>2969</v>
      </c>
      <c r="E163" s="24" t="s">
        <v>2970</v>
      </c>
      <c r="F163" s="24" t="s">
        <v>2971</v>
      </c>
      <c r="G163" s="24" t="s">
        <v>2967</v>
      </c>
      <c r="H163" s="24" t="s">
        <v>2972</v>
      </c>
      <c r="I163" s="23"/>
      <c r="J163" s="24"/>
      <c r="K163" s="24"/>
      <c r="L163" s="22" t="s">
        <v>67</v>
      </c>
      <c r="M163" s="23"/>
    </row>
    <row r="164" spans="1:13" ht="51" x14ac:dyDescent="0.25">
      <c r="A164" s="19" t="s">
        <v>1488</v>
      </c>
      <c r="B164" s="20" t="s">
        <v>28</v>
      </c>
      <c r="C164" s="20" t="s">
        <v>1305</v>
      </c>
      <c r="D164" s="20" t="s">
        <v>2869</v>
      </c>
      <c r="E164" s="20" t="s">
        <v>2973</v>
      </c>
      <c r="F164" s="20" t="s">
        <v>2974</v>
      </c>
      <c r="G164" s="20" t="s">
        <v>2967</v>
      </c>
      <c r="H164" s="20" t="s">
        <v>2871</v>
      </c>
      <c r="I164" s="19"/>
      <c r="J164" s="20"/>
      <c r="K164" s="20"/>
      <c r="L164" s="22" t="s">
        <v>67</v>
      </c>
      <c r="M164" s="19"/>
    </row>
    <row r="165" spans="1:13" ht="38.25" x14ac:dyDescent="0.25">
      <c r="A165" s="23" t="s">
        <v>1492</v>
      </c>
      <c r="B165" s="24" t="s">
        <v>28</v>
      </c>
      <c r="C165" s="24" t="s">
        <v>1305</v>
      </c>
      <c r="D165" s="24" t="s">
        <v>2975</v>
      </c>
      <c r="E165" s="24" t="s">
        <v>2975</v>
      </c>
      <c r="F165" s="24" t="s">
        <v>2976</v>
      </c>
      <c r="G165" s="24" t="s">
        <v>2977</v>
      </c>
      <c r="H165" s="24" t="s">
        <v>2978</v>
      </c>
      <c r="I165" s="23"/>
      <c r="J165" s="24"/>
      <c r="K165" s="24"/>
      <c r="L165" s="22" t="s">
        <v>67</v>
      </c>
      <c r="M165" s="23"/>
    </row>
    <row r="166" spans="1:13" ht="51" x14ac:dyDescent="0.25">
      <c r="A166" s="19" t="s">
        <v>1496</v>
      </c>
      <c r="B166" s="20" t="s">
        <v>28</v>
      </c>
      <c r="C166" s="20" t="s">
        <v>1305</v>
      </c>
      <c r="D166" s="20" t="s">
        <v>2979</v>
      </c>
      <c r="E166" s="20" t="s">
        <v>2979</v>
      </c>
      <c r="F166" s="20" t="s">
        <v>2980</v>
      </c>
      <c r="G166" s="20" t="s">
        <v>2977</v>
      </c>
      <c r="H166" s="20" t="s">
        <v>2948</v>
      </c>
      <c r="I166" s="19"/>
      <c r="J166" s="20"/>
      <c r="K166" s="20"/>
      <c r="L166" s="22" t="s">
        <v>67</v>
      </c>
      <c r="M166" s="19"/>
    </row>
    <row r="167" spans="1:13" ht="38.25" x14ac:dyDescent="0.25">
      <c r="A167" s="23" t="s">
        <v>1523</v>
      </c>
      <c r="B167" s="24" t="s">
        <v>28</v>
      </c>
      <c r="C167" s="24" t="s">
        <v>443</v>
      </c>
      <c r="D167" s="24" t="s">
        <v>444</v>
      </c>
      <c r="E167" s="24" t="s">
        <v>2981</v>
      </c>
      <c r="F167" s="24" t="s">
        <v>2982</v>
      </c>
      <c r="G167" s="24" t="s">
        <v>2705</v>
      </c>
      <c r="H167" s="24" t="s">
        <v>754</v>
      </c>
      <c r="I167" s="23"/>
      <c r="J167" s="24"/>
      <c r="K167" s="24"/>
      <c r="L167" s="26" t="s">
        <v>103</v>
      </c>
      <c r="M167" s="23"/>
    </row>
    <row r="168" spans="1:13" ht="51" x14ac:dyDescent="0.25">
      <c r="A168" s="19" t="s">
        <v>1528</v>
      </c>
      <c r="B168" s="20" t="s">
        <v>28</v>
      </c>
      <c r="C168" s="20" t="s">
        <v>443</v>
      </c>
      <c r="D168" s="20" t="s">
        <v>2689</v>
      </c>
      <c r="E168" s="20" t="s">
        <v>2690</v>
      </c>
      <c r="F168" s="20" t="s">
        <v>2983</v>
      </c>
      <c r="G168" s="20" t="s">
        <v>2705</v>
      </c>
      <c r="H168" s="20" t="s">
        <v>2693</v>
      </c>
      <c r="I168" s="19"/>
      <c r="J168" s="20"/>
      <c r="K168" s="20"/>
      <c r="L168" s="22" t="s">
        <v>67</v>
      </c>
      <c r="M168" s="19"/>
    </row>
    <row r="169" spans="1:13" ht="38.25" x14ac:dyDescent="0.25">
      <c r="A169" s="23" t="s">
        <v>1533</v>
      </c>
      <c r="B169" s="24" t="s">
        <v>28</v>
      </c>
      <c r="C169" s="24" t="s">
        <v>443</v>
      </c>
      <c r="D169" s="24" t="s">
        <v>2694</v>
      </c>
      <c r="E169" s="24" t="s">
        <v>2984</v>
      </c>
      <c r="F169" s="24" t="s">
        <v>2985</v>
      </c>
      <c r="G169" s="24" t="s">
        <v>2986</v>
      </c>
      <c r="H169" s="24" t="s">
        <v>2697</v>
      </c>
      <c r="I169" s="23"/>
      <c r="J169" s="24"/>
      <c r="K169" s="24"/>
      <c r="L169" s="22" t="s">
        <v>67</v>
      </c>
      <c r="M169" s="23"/>
    </row>
    <row r="170" spans="1:13" ht="38.25" x14ac:dyDescent="0.25">
      <c r="A170" s="19" t="s">
        <v>1538</v>
      </c>
      <c r="B170" s="20" t="s">
        <v>28</v>
      </c>
      <c r="C170" s="20" t="s">
        <v>443</v>
      </c>
      <c r="D170" s="20" t="s">
        <v>2698</v>
      </c>
      <c r="E170" s="20" t="s">
        <v>2987</v>
      </c>
      <c r="F170" s="20" t="s">
        <v>2988</v>
      </c>
      <c r="G170" s="20" t="s">
        <v>2705</v>
      </c>
      <c r="H170" s="20" t="s">
        <v>2989</v>
      </c>
      <c r="I170" s="19"/>
      <c r="J170" s="20"/>
      <c r="K170" s="20"/>
      <c r="L170" s="25" t="s">
        <v>95</v>
      </c>
      <c r="M170" s="19"/>
    </row>
    <row r="171" spans="1:13" ht="51" x14ac:dyDescent="0.25">
      <c r="A171" s="23" t="s">
        <v>1544</v>
      </c>
      <c r="B171" s="24" t="s">
        <v>28</v>
      </c>
      <c r="C171" s="24" t="s">
        <v>443</v>
      </c>
      <c r="D171" s="24" t="s">
        <v>2990</v>
      </c>
      <c r="E171" s="24" t="s">
        <v>2991</v>
      </c>
      <c r="F171" s="24" t="s">
        <v>2992</v>
      </c>
      <c r="G171" s="24" t="s">
        <v>2705</v>
      </c>
      <c r="H171" s="24" t="s">
        <v>2993</v>
      </c>
      <c r="I171" s="23"/>
      <c r="J171" s="24"/>
      <c r="K171" s="24"/>
      <c r="L171" s="27" t="s">
        <v>131</v>
      </c>
      <c r="M171" s="23"/>
    </row>
    <row r="172" spans="1:13" ht="38.25" x14ac:dyDescent="0.25">
      <c r="A172" s="19" t="s">
        <v>1569</v>
      </c>
      <c r="B172" s="20" t="s">
        <v>28</v>
      </c>
      <c r="C172" s="20" t="s">
        <v>2524</v>
      </c>
      <c r="D172" s="20" t="s">
        <v>2526</v>
      </c>
      <c r="E172" s="20" t="s">
        <v>2526</v>
      </c>
      <c r="F172" s="20" t="s">
        <v>2994</v>
      </c>
      <c r="G172" s="20" t="s">
        <v>2539</v>
      </c>
      <c r="H172" s="20" t="s">
        <v>2995</v>
      </c>
      <c r="I172" s="19"/>
      <c r="J172" s="20"/>
      <c r="K172" s="20"/>
      <c r="L172" s="25" t="s">
        <v>95</v>
      </c>
      <c r="M172" s="19"/>
    </row>
    <row r="173" spans="1:13" ht="51" x14ac:dyDescent="0.25">
      <c r="A173" s="23" t="s">
        <v>1573</v>
      </c>
      <c r="B173" s="24" t="s">
        <v>28</v>
      </c>
      <c r="C173" s="24" t="s">
        <v>2524</v>
      </c>
      <c r="D173" s="24" t="s">
        <v>2531</v>
      </c>
      <c r="E173" s="24" t="s">
        <v>2532</v>
      </c>
      <c r="F173" s="24" t="s">
        <v>2533</v>
      </c>
      <c r="G173" s="24" t="s">
        <v>2534</v>
      </c>
      <c r="H173" s="24" t="s">
        <v>2535</v>
      </c>
      <c r="I173" s="23"/>
      <c r="J173" s="24"/>
      <c r="K173" s="24"/>
      <c r="L173" s="25" t="s">
        <v>95</v>
      </c>
      <c r="M173" s="23"/>
    </row>
    <row r="174" spans="1:13" ht="38.25" x14ac:dyDescent="0.25">
      <c r="A174" s="19" t="s">
        <v>1578</v>
      </c>
      <c r="B174" s="20" t="s">
        <v>28</v>
      </c>
      <c r="C174" s="20" t="s">
        <v>2524</v>
      </c>
      <c r="D174" s="20" t="s">
        <v>2537</v>
      </c>
      <c r="E174" s="20" t="s">
        <v>2537</v>
      </c>
      <c r="F174" s="20" t="s">
        <v>2538</v>
      </c>
      <c r="G174" s="20" t="s">
        <v>2539</v>
      </c>
      <c r="H174" s="20" t="s">
        <v>2540</v>
      </c>
      <c r="I174" s="19"/>
      <c r="J174" s="20"/>
      <c r="K174" s="20"/>
      <c r="L174" s="25" t="s">
        <v>95</v>
      </c>
      <c r="M174" s="19"/>
    </row>
    <row r="175" spans="1:13" ht="51" x14ac:dyDescent="0.25">
      <c r="A175" s="23" t="s">
        <v>1583</v>
      </c>
      <c r="B175" s="24" t="s">
        <v>28</v>
      </c>
      <c r="C175" s="24" t="s">
        <v>2524</v>
      </c>
      <c r="D175" s="24" t="s">
        <v>2670</v>
      </c>
      <c r="E175" s="24" t="s">
        <v>2670</v>
      </c>
      <c r="F175" s="24" t="s">
        <v>2996</v>
      </c>
      <c r="G175" s="24" t="s">
        <v>2539</v>
      </c>
      <c r="H175" s="24" t="s">
        <v>2913</v>
      </c>
      <c r="I175" s="23"/>
      <c r="J175" s="24"/>
      <c r="K175" s="24"/>
      <c r="L175" s="27" t="s">
        <v>131</v>
      </c>
      <c r="M175" s="23"/>
    </row>
    <row r="176" spans="1:13" ht="51" x14ac:dyDescent="0.25">
      <c r="A176" s="19" t="s">
        <v>1588</v>
      </c>
      <c r="B176" s="20" t="s">
        <v>28</v>
      </c>
      <c r="C176" s="20" t="s">
        <v>2524</v>
      </c>
      <c r="D176" s="20" t="s">
        <v>2543</v>
      </c>
      <c r="E176" s="20" t="s">
        <v>2686</v>
      </c>
      <c r="F176" s="20" t="s">
        <v>2997</v>
      </c>
      <c r="G176" s="20" t="s">
        <v>2998</v>
      </c>
      <c r="H176" s="20" t="s">
        <v>2999</v>
      </c>
      <c r="I176" s="19"/>
      <c r="J176" s="20"/>
      <c r="K176" s="20"/>
      <c r="L176" s="25" t="s">
        <v>95</v>
      </c>
      <c r="M176" s="19"/>
    </row>
    <row r="177" spans="1:13" ht="51" x14ac:dyDescent="0.25">
      <c r="A177" s="23" t="s">
        <v>1593</v>
      </c>
      <c r="B177" s="24" t="s">
        <v>28</v>
      </c>
      <c r="C177" s="24" t="s">
        <v>2524</v>
      </c>
      <c r="D177" s="24" t="s">
        <v>1284</v>
      </c>
      <c r="E177" s="24" t="s">
        <v>3000</v>
      </c>
      <c r="F177" s="24" t="s">
        <v>3001</v>
      </c>
      <c r="G177" s="24" t="s">
        <v>2754</v>
      </c>
      <c r="H177" s="24" t="s">
        <v>3002</v>
      </c>
      <c r="I177" s="23"/>
      <c r="J177" s="24"/>
      <c r="K177" s="24"/>
      <c r="L177" s="27" t="s">
        <v>131</v>
      </c>
      <c r="M177" s="23"/>
    </row>
    <row r="178" spans="1:13" ht="51" x14ac:dyDescent="0.25">
      <c r="A178" s="19" t="s">
        <v>3003</v>
      </c>
      <c r="B178" s="20" t="s">
        <v>28</v>
      </c>
      <c r="C178" s="20" t="s">
        <v>2524</v>
      </c>
      <c r="D178" s="20" t="s">
        <v>2675</v>
      </c>
      <c r="E178" s="20" t="s">
        <v>2675</v>
      </c>
      <c r="F178" s="20" t="s">
        <v>3004</v>
      </c>
      <c r="G178" s="20" t="s">
        <v>2539</v>
      </c>
      <c r="H178" s="20" t="s">
        <v>3005</v>
      </c>
      <c r="I178" s="19"/>
      <c r="J178" s="20"/>
      <c r="K178" s="20"/>
      <c r="L178" s="25" t="s">
        <v>95</v>
      </c>
      <c r="M178" s="19"/>
    </row>
    <row r="179" spans="1:13" ht="51" x14ac:dyDescent="0.25">
      <c r="A179" s="23" t="s">
        <v>3006</v>
      </c>
      <c r="B179" s="24" t="s">
        <v>28</v>
      </c>
      <c r="C179" s="24" t="s">
        <v>2524</v>
      </c>
      <c r="D179" s="24" t="s">
        <v>2680</v>
      </c>
      <c r="E179" s="24" t="s">
        <v>2681</v>
      </c>
      <c r="F179" s="24" t="s">
        <v>3007</v>
      </c>
      <c r="G179" s="24" t="s">
        <v>2550</v>
      </c>
      <c r="H179" s="24" t="s">
        <v>3008</v>
      </c>
      <c r="I179" s="23"/>
      <c r="J179" s="24"/>
      <c r="K179" s="24"/>
      <c r="L179" s="27" t="s">
        <v>131</v>
      </c>
      <c r="M179" s="23"/>
    </row>
    <row r="180" spans="1:13" ht="51" x14ac:dyDescent="0.25">
      <c r="A180" s="19" t="s">
        <v>3009</v>
      </c>
      <c r="B180" s="20" t="s">
        <v>28</v>
      </c>
      <c r="C180" s="20" t="s">
        <v>1205</v>
      </c>
      <c r="D180" s="20" t="s">
        <v>2741</v>
      </c>
      <c r="E180" s="20" t="s">
        <v>2742</v>
      </c>
      <c r="F180" s="20" t="s">
        <v>3010</v>
      </c>
      <c r="G180" s="20" t="s">
        <v>2744</v>
      </c>
      <c r="H180" s="20" t="s">
        <v>2745</v>
      </c>
      <c r="I180" s="19"/>
      <c r="J180" s="20"/>
      <c r="K180" s="20"/>
      <c r="L180" s="25" t="s">
        <v>95</v>
      </c>
      <c r="M180" s="19"/>
    </row>
    <row r="181" spans="1:13" ht="51" x14ac:dyDescent="0.25">
      <c r="A181" s="23" t="s">
        <v>3011</v>
      </c>
      <c r="B181" s="24" t="s">
        <v>28</v>
      </c>
      <c r="C181" s="24" t="s">
        <v>1205</v>
      </c>
      <c r="D181" s="24" t="s">
        <v>1211</v>
      </c>
      <c r="E181" s="24" t="s">
        <v>2746</v>
      </c>
      <c r="F181" s="24" t="s">
        <v>3012</v>
      </c>
      <c r="G181" s="24" t="s">
        <v>2748</v>
      </c>
      <c r="H181" s="24" t="s">
        <v>2749</v>
      </c>
      <c r="I181" s="23"/>
      <c r="J181" s="24"/>
      <c r="K181" s="24"/>
      <c r="L181" s="25" t="s">
        <v>95</v>
      </c>
      <c r="M181" s="23"/>
    </row>
    <row r="182" spans="1:13" ht="51" x14ac:dyDescent="0.25">
      <c r="A182" s="19" t="s">
        <v>3013</v>
      </c>
      <c r="B182" s="20" t="s">
        <v>28</v>
      </c>
      <c r="C182" s="20" t="s">
        <v>483</v>
      </c>
      <c r="D182" s="20" t="s">
        <v>2731</v>
      </c>
      <c r="E182" s="20" t="s">
        <v>3014</v>
      </c>
      <c r="F182" s="20" t="s">
        <v>3015</v>
      </c>
      <c r="G182" s="20" t="s">
        <v>2734</v>
      </c>
      <c r="H182" s="20" t="s">
        <v>3016</v>
      </c>
      <c r="I182" s="19"/>
      <c r="J182" s="20"/>
      <c r="K182" s="20"/>
      <c r="L182" s="25" t="s">
        <v>95</v>
      </c>
      <c r="M182" s="19"/>
    </row>
    <row r="183" spans="1:13" ht="38.25" x14ac:dyDescent="0.25">
      <c r="A183" s="23" t="s">
        <v>3017</v>
      </c>
      <c r="B183" s="24" t="s">
        <v>28</v>
      </c>
      <c r="C183" s="24" t="s">
        <v>792</v>
      </c>
      <c r="D183" s="24" t="s">
        <v>2595</v>
      </c>
      <c r="E183" s="24" t="s">
        <v>3018</v>
      </c>
      <c r="F183" s="24" t="s">
        <v>3019</v>
      </c>
      <c r="G183" s="24" t="s">
        <v>2597</v>
      </c>
      <c r="H183" s="24" t="s">
        <v>800</v>
      </c>
      <c r="I183" s="23"/>
      <c r="J183" s="24"/>
      <c r="K183" s="24"/>
      <c r="L183" s="25" t="s">
        <v>95</v>
      </c>
      <c r="M183" s="23"/>
    </row>
    <row r="184" spans="1:13" ht="51" x14ac:dyDescent="0.25">
      <c r="A184" s="19" t="s">
        <v>3020</v>
      </c>
      <c r="B184" s="20" t="s">
        <v>28</v>
      </c>
      <c r="C184" s="20" t="s">
        <v>792</v>
      </c>
      <c r="D184" s="20" t="s">
        <v>2600</v>
      </c>
      <c r="E184" s="20" t="s">
        <v>3021</v>
      </c>
      <c r="F184" s="20" t="s">
        <v>3022</v>
      </c>
      <c r="G184" s="20" t="s">
        <v>2597</v>
      </c>
      <c r="H184" s="20" t="s">
        <v>3023</v>
      </c>
      <c r="I184" s="19"/>
      <c r="J184" s="20"/>
      <c r="K184" s="20"/>
      <c r="L184" s="26" t="s">
        <v>103</v>
      </c>
      <c r="M184" s="19"/>
    </row>
    <row r="185" spans="1:13" ht="51" x14ac:dyDescent="0.25">
      <c r="A185" s="23" t="s">
        <v>3024</v>
      </c>
      <c r="B185" s="24" t="s">
        <v>28</v>
      </c>
      <c r="C185" s="24" t="s">
        <v>792</v>
      </c>
      <c r="D185" s="24" t="s">
        <v>2707</v>
      </c>
      <c r="E185" s="24" t="s">
        <v>3025</v>
      </c>
      <c r="F185" s="24" t="s">
        <v>3026</v>
      </c>
      <c r="G185" s="24" t="s">
        <v>2597</v>
      </c>
      <c r="H185" s="24" t="s">
        <v>3027</v>
      </c>
      <c r="I185" s="23"/>
      <c r="J185" s="24"/>
      <c r="K185" s="24"/>
      <c r="L185" s="26" t="s">
        <v>103</v>
      </c>
      <c r="M185" s="23"/>
    </row>
    <row r="186" spans="1:13" ht="51" x14ac:dyDescent="0.25">
      <c r="A186" s="19" t="s">
        <v>3028</v>
      </c>
      <c r="B186" s="20" t="s">
        <v>28</v>
      </c>
      <c r="C186" s="20" t="s">
        <v>792</v>
      </c>
      <c r="D186" s="20" t="s">
        <v>2711</v>
      </c>
      <c r="E186" s="20" t="s">
        <v>2712</v>
      </c>
      <c r="F186" s="20" t="s">
        <v>3029</v>
      </c>
      <c r="G186" s="20" t="s">
        <v>2597</v>
      </c>
      <c r="H186" s="20" t="s">
        <v>2715</v>
      </c>
      <c r="I186" s="19"/>
      <c r="J186" s="20"/>
      <c r="K186" s="20"/>
      <c r="L186" s="27" t="s">
        <v>131</v>
      </c>
      <c r="M186" s="19"/>
    </row>
    <row r="187" spans="1:13" ht="51" x14ac:dyDescent="0.25">
      <c r="A187" s="23" t="s">
        <v>3030</v>
      </c>
      <c r="B187" s="24" t="s">
        <v>28</v>
      </c>
      <c r="C187" s="24" t="s">
        <v>792</v>
      </c>
      <c r="D187" s="24" t="s">
        <v>2607</v>
      </c>
      <c r="E187" s="24" t="s">
        <v>2717</v>
      </c>
      <c r="F187" s="24" t="s">
        <v>3031</v>
      </c>
      <c r="G187" s="24" t="s">
        <v>2597</v>
      </c>
      <c r="H187" s="24" t="s">
        <v>3032</v>
      </c>
      <c r="I187" s="23"/>
      <c r="J187" s="24"/>
      <c r="K187" s="24"/>
      <c r="L187" s="25" t="s">
        <v>95</v>
      </c>
      <c r="M187" s="23"/>
    </row>
    <row r="188" spans="1:13" ht="51" x14ac:dyDescent="0.25">
      <c r="A188" s="19" t="s">
        <v>3033</v>
      </c>
      <c r="B188" s="20" t="s">
        <v>28</v>
      </c>
      <c r="C188" s="20" t="s">
        <v>792</v>
      </c>
      <c r="D188" s="20" t="s">
        <v>3034</v>
      </c>
      <c r="E188" s="20" t="s">
        <v>2721</v>
      </c>
      <c r="F188" s="20" t="s">
        <v>3035</v>
      </c>
      <c r="G188" s="20" t="s">
        <v>2597</v>
      </c>
      <c r="H188" s="20" t="s">
        <v>3036</v>
      </c>
      <c r="I188" s="19"/>
      <c r="J188" s="20"/>
      <c r="K188" s="20"/>
      <c r="L188" s="27" t="s">
        <v>131</v>
      </c>
      <c r="M188" s="19"/>
    </row>
    <row r="189" spans="1:13" ht="51" x14ac:dyDescent="0.25">
      <c r="A189" s="23" t="s">
        <v>3037</v>
      </c>
      <c r="B189" s="24" t="s">
        <v>28</v>
      </c>
      <c r="C189" s="24" t="s">
        <v>2776</v>
      </c>
      <c r="D189" s="24" t="s">
        <v>2048</v>
      </c>
      <c r="E189" s="24" t="s">
        <v>2778</v>
      </c>
      <c r="F189" s="24" t="s">
        <v>3038</v>
      </c>
      <c r="G189" s="24" t="s">
        <v>2780</v>
      </c>
      <c r="H189" s="24" t="s">
        <v>3039</v>
      </c>
      <c r="I189" s="23"/>
      <c r="J189" s="24"/>
      <c r="K189" s="24"/>
      <c r="L189" s="25" t="s">
        <v>95</v>
      </c>
      <c r="M189" s="23"/>
    </row>
    <row r="190" spans="1:13" ht="38.25" x14ac:dyDescent="0.25">
      <c r="A190" s="19" t="s">
        <v>3040</v>
      </c>
      <c r="B190" s="20" t="s">
        <v>28</v>
      </c>
      <c r="C190" s="20" t="s">
        <v>3041</v>
      </c>
      <c r="D190" s="20" t="s">
        <v>3042</v>
      </c>
      <c r="E190" s="20" t="s">
        <v>3042</v>
      </c>
      <c r="F190" s="20" t="s">
        <v>3043</v>
      </c>
      <c r="G190" s="20" t="s">
        <v>2773</v>
      </c>
      <c r="H190" s="20" t="s">
        <v>3044</v>
      </c>
      <c r="I190" s="19"/>
      <c r="J190" s="20"/>
      <c r="K190" s="20"/>
      <c r="L190" s="22" t="s">
        <v>67</v>
      </c>
      <c r="M190" s="19"/>
    </row>
    <row r="191" spans="1:13" ht="38.25" x14ac:dyDescent="0.25">
      <c r="A191" s="23" t="s">
        <v>3045</v>
      </c>
      <c r="B191" s="24" t="s">
        <v>28</v>
      </c>
      <c r="C191" s="24" t="s">
        <v>3041</v>
      </c>
      <c r="D191" s="24" t="s">
        <v>3046</v>
      </c>
      <c r="E191" s="24" t="s">
        <v>3047</v>
      </c>
      <c r="F191" s="24" t="s">
        <v>3048</v>
      </c>
      <c r="G191" s="24" t="s">
        <v>2773</v>
      </c>
      <c r="H191" s="24" t="s">
        <v>3049</v>
      </c>
      <c r="I191" s="23"/>
      <c r="J191" s="24"/>
      <c r="K191" s="24"/>
      <c r="L191" s="22" t="s">
        <v>67</v>
      </c>
      <c r="M191" s="23"/>
    </row>
    <row r="192" spans="1:13" ht="38.25" x14ac:dyDescent="0.25">
      <c r="A192" s="19" t="s">
        <v>3050</v>
      </c>
      <c r="B192" s="20" t="s">
        <v>28</v>
      </c>
      <c r="C192" s="20" t="s">
        <v>3041</v>
      </c>
      <c r="D192" s="20" t="s">
        <v>3051</v>
      </c>
      <c r="E192" s="20" t="s">
        <v>3051</v>
      </c>
      <c r="F192" s="20" t="s">
        <v>3052</v>
      </c>
      <c r="G192" s="20" t="s">
        <v>2773</v>
      </c>
      <c r="H192" s="20" t="s">
        <v>3053</v>
      </c>
      <c r="I192" s="19"/>
      <c r="J192" s="20"/>
      <c r="K192" s="20"/>
      <c r="L192" s="22" t="s">
        <v>67</v>
      </c>
      <c r="M192" s="19"/>
    </row>
    <row r="193" spans="1:13" ht="38.25" x14ac:dyDescent="0.25">
      <c r="A193" s="23" t="s">
        <v>3054</v>
      </c>
      <c r="B193" s="24" t="s">
        <v>28</v>
      </c>
      <c r="C193" s="24" t="s">
        <v>3055</v>
      </c>
      <c r="D193" s="24" t="s">
        <v>3056</v>
      </c>
      <c r="E193" s="24" t="s">
        <v>3056</v>
      </c>
      <c r="F193" s="24" t="s">
        <v>3057</v>
      </c>
      <c r="G193" s="24" t="s">
        <v>3058</v>
      </c>
      <c r="H193" s="24" t="s">
        <v>3059</v>
      </c>
      <c r="I193" s="23"/>
      <c r="J193" s="24"/>
      <c r="K193" s="24"/>
      <c r="L193" s="22" t="s">
        <v>67</v>
      </c>
      <c r="M193" s="23"/>
    </row>
    <row r="194" spans="1:13" ht="38.25" x14ac:dyDescent="0.25">
      <c r="A194" s="19" t="s">
        <v>3060</v>
      </c>
      <c r="B194" s="20" t="s">
        <v>28</v>
      </c>
      <c r="C194" s="20" t="s">
        <v>3055</v>
      </c>
      <c r="D194" s="20" t="s">
        <v>3061</v>
      </c>
      <c r="E194" s="20" t="s">
        <v>3062</v>
      </c>
      <c r="F194" s="20" t="s">
        <v>2924</v>
      </c>
      <c r="G194" s="20" t="s">
        <v>3058</v>
      </c>
      <c r="H194" s="20" t="s">
        <v>3063</v>
      </c>
      <c r="I194" s="19"/>
      <c r="J194" s="20"/>
      <c r="K194" s="20"/>
      <c r="L194" s="22" t="s">
        <v>67</v>
      </c>
      <c r="M194" s="19"/>
    </row>
    <row r="195" spans="1:13" ht="38.25" x14ac:dyDescent="0.25">
      <c r="A195" s="23" t="s">
        <v>3064</v>
      </c>
      <c r="B195" s="24" t="s">
        <v>28</v>
      </c>
      <c r="C195" s="24" t="s">
        <v>3055</v>
      </c>
      <c r="D195" s="24" t="s">
        <v>3065</v>
      </c>
      <c r="E195" s="24" t="s">
        <v>3065</v>
      </c>
      <c r="F195" s="24" t="s">
        <v>3066</v>
      </c>
      <c r="G195" s="24" t="s">
        <v>3058</v>
      </c>
      <c r="H195" s="24" t="s">
        <v>3067</v>
      </c>
      <c r="I195" s="23"/>
      <c r="J195" s="24"/>
      <c r="K195" s="24"/>
      <c r="L195" s="25" t="s">
        <v>95</v>
      </c>
      <c r="M195" s="23"/>
    </row>
    <row r="196" spans="1:13" ht="38.25" x14ac:dyDescent="0.25">
      <c r="A196" s="19" t="s">
        <v>3068</v>
      </c>
      <c r="B196" s="20" t="s">
        <v>28</v>
      </c>
      <c r="C196" s="20" t="s">
        <v>3055</v>
      </c>
      <c r="D196" s="20" t="s">
        <v>3069</v>
      </c>
      <c r="E196" s="20" t="s">
        <v>3069</v>
      </c>
      <c r="F196" s="20" t="s">
        <v>3070</v>
      </c>
      <c r="G196" s="20" t="s">
        <v>3058</v>
      </c>
      <c r="H196" s="20" t="s">
        <v>3071</v>
      </c>
      <c r="I196" s="19"/>
      <c r="J196" s="20"/>
      <c r="K196" s="20"/>
      <c r="L196" s="22" t="s">
        <v>67</v>
      </c>
      <c r="M196" s="19"/>
    </row>
    <row r="197" spans="1:13" ht="38.25" x14ac:dyDescent="0.25">
      <c r="A197" s="23" t="s">
        <v>3072</v>
      </c>
      <c r="B197" s="24" t="s">
        <v>28</v>
      </c>
      <c r="C197" s="24" t="s">
        <v>3073</v>
      </c>
      <c r="D197" s="24" t="s">
        <v>3074</v>
      </c>
      <c r="E197" s="24" t="s">
        <v>3075</v>
      </c>
      <c r="F197" s="24" t="s">
        <v>3076</v>
      </c>
      <c r="G197" s="24" t="s">
        <v>3077</v>
      </c>
      <c r="H197" s="24" t="s">
        <v>3078</v>
      </c>
      <c r="I197" s="23"/>
      <c r="J197" s="24"/>
      <c r="K197" s="24"/>
      <c r="L197" s="22" t="s">
        <v>67</v>
      </c>
      <c r="M197" s="23"/>
    </row>
    <row r="198" spans="1:13" ht="38.25" x14ac:dyDescent="0.25">
      <c r="A198" s="19" t="s">
        <v>3079</v>
      </c>
      <c r="B198" s="20" t="s">
        <v>28</v>
      </c>
      <c r="C198" s="20" t="s">
        <v>3073</v>
      </c>
      <c r="D198" s="20" t="s">
        <v>3080</v>
      </c>
      <c r="E198" s="20" t="s">
        <v>1262</v>
      </c>
      <c r="F198" s="20" t="s">
        <v>3081</v>
      </c>
      <c r="G198" s="20" t="s">
        <v>3077</v>
      </c>
      <c r="H198" s="20" t="s">
        <v>3082</v>
      </c>
      <c r="I198" s="19"/>
      <c r="J198" s="20"/>
      <c r="K198" s="20"/>
      <c r="L198" s="25" t="s">
        <v>95</v>
      </c>
      <c r="M198" s="19"/>
    </row>
    <row r="199" spans="1:13" ht="38.25" x14ac:dyDescent="0.25">
      <c r="A199" s="23" t="s">
        <v>3083</v>
      </c>
      <c r="B199" s="24" t="s">
        <v>28</v>
      </c>
      <c r="C199" s="24" t="s">
        <v>460</v>
      </c>
      <c r="D199" s="24" t="s">
        <v>3084</v>
      </c>
      <c r="E199" s="24" t="s">
        <v>3084</v>
      </c>
      <c r="F199" s="24" t="s">
        <v>3085</v>
      </c>
      <c r="G199" s="24" t="s">
        <v>3086</v>
      </c>
      <c r="H199" s="24" t="s">
        <v>3087</v>
      </c>
      <c r="I199" s="23"/>
      <c r="J199" s="24"/>
      <c r="K199" s="24"/>
      <c r="L199" s="22" t="s">
        <v>67</v>
      </c>
      <c r="M199" s="23"/>
    </row>
    <row r="200" spans="1:13" ht="51" x14ac:dyDescent="0.25">
      <c r="A200" s="19" t="s">
        <v>3088</v>
      </c>
      <c r="B200" s="20" t="s">
        <v>28</v>
      </c>
      <c r="C200" s="20" t="s">
        <v>460</v>
      </c>
      <c r="D200" s="20" t="s">
        <v>3089</v>
      </c>
      <c r="E200" s="20" t="s">
        <v>3089</v>
      </c>
      <c r="F200" s="20" t="s">
        <v>3090</v>
      </c>
      <c r="G200" s="20" t="s">
        <v>3086</v>
      </c>
      <c r="H200" s="20" t="s">
        <v>3091</v>
      </c>
      <c r="I200" s="19"/>
      <c r="J200" s="20"/>
      <c r="K200" s="20"/>
      <c r="L200" s="22" t="s">
        <v>67</v>
      </c>
      <c r="M200" s="19"/>
    </row>
    <row r="201" spans="1:13" ht="51" x14ac:dyDescent="0.25">
      <c r="A201" s="23" t="s">
        <v>3092</v>
      </c>
      <c r="B201" s="24" t="s">
        <v>28</v>
      </c>
      <c r="C201" s="24" t="s">
        <v>460</v>
      </c>
      <c r="D201" s="24" t="s">
        <v>3093</v>
      </c>
      <c r="E201" s="24" t="s">
        <v>3094</v>
      </c>
      <c r="F201" s="24" t="s">
        <v>3095</v>
      </c>
      <c r="G201" s="24" t="s">
        <v>3086</v>
      </c>
      <c r="H201" s="24" t="s">
        <v>3096</v>
      </c>
      <c r="I201" s="23"/>
      <c r="J201" s="24"/>
      <c r="K201" s="24"/>
      <c r="L201" s="25" t="s">
        <v>95</v>
      </c>
      <c r="M201" s="23"/>
    </row>
    <row r="202" spans="1:13" ht="38.25" x14ac:dyDescent="0.25">
      <c r="A202" s="19" t="s">
        <v>3097</v>
      </c>
      <c r="B202" s="20" t="s">
        <v>28</v>
      </c>
      <c r="C202" s="20" t="s">
        <v>460</v>
      </c>
      <c r="D202" s="20" t="s">
        <v>779</v>
      </c>
      <c r="E202" s="20" t="s">
        <v>3098</v>
      </c>
      <c r="F202" s="20" t="s">
        <v>780</v>
      </c>
      <c r="G202" s="20" t="s">
        <v>3099</v>
      </c>
      <c r="H202" s="20" t="s">
        <v>782</v>
      </c>
      <c r="I202" s="19"/>
      <c r="J202" s="20"/>
      <c r="K202" s="20"/>
      <c r="L202" s="25" t="s">
        <v>95</v>
      </c>
      <c r="M202" s="19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2" customWidth="1"/>
    <col min="3" max="3" width="16" customWidth="1"/>
    <col min="4" max="4" width="22" customWidth="1"/>
    <col min="5" max="5" width="35" customWidth="1"/>
    <col min="6" max="6" width="50" customWidth="1"/>
    <col min="7" max="7" width="40" customWidth="1"/>
    <col min="8" max="8" width="45" customWidth="1"/>
    <col min="9" max="9" width="10" customWidth="1"/>
    <col min="10" max="10" width="15" customWidth="1"/>
    <col min="11" max="11" width="20" customWidth="1"/>
    <col min="12" max="13" width="12" customWidth="1"/>
  </cols>
  <sheetData>
    <row r="1" spans="1:13" ht="30" customHeight="1" x14ac:dyDescent="0.25">
      <c r="A1" s="18" t="s">
        <v>47</v>
      </c>
      <c r="B1" s="18" t="s">
        <v>48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53</v>
      </c>
      <c r="H1" s="18" t="s">
        <v>54</v>
      </c>
      <c r="I1" s="18" t="s">
        <v>55</v>
      </c>
      <c r="J1" s="18" t="s">
        <v>56</v>
      </c>
      <c r="K1" s="18" t="s">
        <v>19</v>
      </c>
      <c r="L1" s="18" t="s">
        <v>57</v>
      </c>
      <c r="M1" s="18" t="s">
        <v>58</v>
      </c>
    </row>
    <row r="2" spans="1:13" ht="51" x14ac:dyDescent="0.25">
      <c r="A2" s="19" t="s">
        <v>3100</v>
      </c>
      <c r="B2" s="20" t="s">
        <v>24</v>
      </c>
      <c r="C2" s="20" t="s">
        <v>60</v>
      </c>
      <c r="D2" s="20" t="s">
        <v>61</v>
      </c>
      <c r="E2" s="20" t="s">
        <v>3101</v>
      </c>
      <c r="F2" s="20" t="s">
        <v>3102</v>
      </c>
      <c r="G2" s="20" t="s">
        <v>3103</v>
      </c>
      <c r="H2" s="20" t="s">
        <v>3104</v>
      </c>
      <c r="I2" s="19"/>
      <c r="J2" s="20"/>
      <c r="K2" s="20"/>
      <c r="L2" s="22" t="s">
        <v>67</v>
      </c>
      <c r="M2" s="19"/>
    </row>
    <row r="3" spans="1:13" x14ac:dyDescent="0.25">
      <c r="A3" s="23" t="s">
        <v>3105</v>
      </c>
      <c r="B3" s="24" t="s">
        <v>24</v>
      </c>
      <c r="C3" s="24" t="s">
        <v>60</v>
      </c>
      <c r="D3" s="24" t="s">
        <v>74</v>
      </c>
      <c r="E3" s="24" t="s">
        <v>3106</v>
      </c>
      <c r="F3" s="24" t="s">
        <v>2334</v>
      </c>
      <c r="G3" s="24" t="s">
        <v>3103</v>
      </c>
      <c r="H3" s="24" t="s">
        <v>3107</v>
      </c>
      <c r="I3" s="23"/>
      <c r="J3" s="24"/>
      <c r="K3" s="24"/>
      <c r="L3" s="22" t="s">
        <v>67</v>
      </c>
      <c r="M3" s="23"/>
    </row>
    <row r="4" spans="1:13" ht="25.5" x14ac:dyDescent="0.25">
      <c r="A4" s="19" t="s">
        <v>3108</v>
      </c>
      <c r="B4" s="20" t="s">
        <v>24</v>
      </c>
      <c r="C4" s="20" t="s">
        <v>79</v>
      </c>
      <c r="D4" s="20" t="s">
        <v>80</v>
      </c>
      <c r="E4" s="20" t="s">
        <v>3109</v>
      </c>
      <c r="F4" s="20" t="s">
        <v>3110</v>
      </c>
      <c r="G4" s="20" t="s">
        <v>3111</v>
      </c>
      <c r="H4" s="20" t="s">
        <v>3112</v>
      </c>
      <c r="I4" s="19"/>
      <c r="J4" s="20"/>
      <c r="K4" s="20"/>
      <c r="L4" s="22" t="s">
        <v>67</v>
      </c>
      <c r="M4" s="19"/>
    </row>
    <row r="5" spans="1:13" ht="25.5" x14ac:dyDescent="0.25">
      <c r="A5" s="23" t="s">
        <v>3113</v>
      </c>
      <c r="B5" s="24" t="s">
        <v>24</v>
      </c>
      <c r="C5" s="24" t="s">
        <v>79</v>
      </c>
      <c r="D5" s="24" t="s">
        <v>86</v>
      </c>
      <c r="E5" s="24" t="s">
        <v>3114</v>
      </c>
      <c r="F5" s="24" t="s">
        <v>3115</v>
      </c>
      <c r="G5" s="24" t="s">
        <v>3116</v>
      </c>
      <c r="H5" s="24" t="s">
        <v>3117</v>
      </c>
      <c r="I5" s="23"/>
      <c r="J5" s="24"/>
      <c r="K5" s="24"/>
      <c r="L5" s="25" t="s">
        <v>95</v>
      </c>
      <c r="M5" s="23"/>
    </row>
    <row r="6" spans="1:13" ht="25.5" x14ac:dyDescent="0.25">
      <c r="A6" s="19" t="s">
        <v>3118</v>
      </c>
      <c r="B6" s="20" t="s">
        <v>24</v>
      </c>
      <c r="C6" s="20" t="s">
        <v>3073</v>
      </c>
      <c r="D6" s="20" t="s">
        <v>3119</v>
      </c>
      <c r="E6" s="20" t="s">
        <v>3120</v>
      </c>
      <c r="F6" s="20" t="s">
        <v>3121</v>
      </c>
      <c r="G6" s="20" t="s">
        <v>3122</v>
      </c>
      <c r="H6" s="20" t="s">
        <v>3123</v>
      </c>
      <c r="I6" s="19"/>
      <c r="J6" s="20"/>
      <c r="K6" s="20"/>
      <c r="L6" s="26" t="s">
        <v>103</v>
      </c>
      <c r="M6" s="19"/>
    </row>
    <row r="7" spans="1:13" ht="38.25" x14ac:dyDescent="0.25">
      <c r="A7" s="23" t="s">
        <v>3124</v>
      </c>
      <c r="B7" s="24" t="s">
        <v>24</v>
      </c>
      <c r="C7" s="24" t="s">
        <v>3073</v>
      </c>
      <c r="D7" s="24" t="s">
        <v>3125</v>
      </c>
      <c r="E7" s="24" t="s">
        <v>3126</v>
      </c>
      <c r="F7" s="24" t="s">
        <v>3127</v>
      </c>
      <c r="G7" s="24" t="s">
        <v>3128</v>
      </c>
      <c r="H7" s="24" t="s">
        <v>3129</v>
      </c>
      <c r="I7" s="23"/>
      <c r="J7" s="24"/>
      <c r="K7" s="24"/>
      <c r="L7" s="26" t="s">
        <v>103</v>
      </c>
      <c r="M7" s="23"/>
    </row>
    <row r="8" spans="1:13" ht="25.5" x14ac:dyDescent="0.25">
      <c r="A8" s="19" t="s">
        <v>3130</v>
      </c>
      <c r="B8" s="20" t="s">
        <v>24</v>
      </c>
      <c r="C8" s="20" t="s">
        <v>3073</v>
      </c>
      <c r="D8" s="20" t="s">
        <v>98</v>
      </c>
      <c r="E8" s="20" t="s">
        <v>3131</v>
      </c>
      <c r="F8" s="20" t="s">
        <v>3132</v>
      </c>
      <c r="G8" s="20" t="s">
        <v>3122</v>
      </c>
      <c r="H8" s="20" t="s">
        <v>3133</v>
      </c>
      <c r="I8" s="19"/>
      <c r="J8" s="20"/>
      <c r="K8" s="20"/>
      <c r="L8" s="22" t="s">
        <v>67</v>
      </c>
      <c r="M8" s="19"/>
    </row>
    <row r="9" spans="1:13" ht="38.25" x14ac:dyDescent="0.25">
      <c r="A9" s="23" t="s">
        <v>3134</v>
      </c>
      <c r="B9" s="24" t="s">
        <v>24</v>
      </c>
      <c r="C9" s="24" t="s">
        <v>3073</v>
      </c>
      <c r="D9" s="24" t="s">
        <v>3135</v>
      </c>
      <c r="E9" s="24" t="s">
        <v>3136</v>
      </c>
      <c r="F9" s="24" t="s">
        <v>3137</v>
      </c>
      <c r="G9" s="24" t="s">
        <v>3128</v>
      </c>
      <c r="H9" s="24" t="s">
        <v>3138</v>
      </c>
      <c r="I9" s="23"/>
      <c r="J9" s="24"/>
      <c r="K9" s="24"/>
      <c r="L9" s="22" t="s">
        <v>67</v>
      </c>
      <c r="M9" s="23"/>
    </row>
    <row r="10" spans="1:13" ht="38.25" x14ac:dyDescent="0.25">
      <c r="A10" s="19" t="s">
        <v>3139</v>
      </c>
      <c r="B10" s="20" t="s">
        <v>24</v>
      </c>
      <c r="C10" s="20" t="s">
        <v>3073</v>
      </c>
      <c r="D10" s="20" t="s">
        <v>3140</v>
      </c>
      <c r="E10" s="20" t="s">
        <v>3141</v>
      </c>
      <c r="F10" s="20" t="s">
        <v>3142</v>
      </c>
      <c r="G10" s="20" t="s">
        <v>3128</v>
      </c>
      <c r="H10" s="20" t="s">
        <v>3143</v>
      </c>
      <c r="I10" s="19"/>
      <c r="J10" s="20"/>
      <c r="K10" s="20"/>
      <c r="L10" s="26" t="s">
        <v>103</v>
      </c>
      <c r="M10" s="19"/>
    </row>
    <row r="11" spans="1:13" ht="25.5" x14ac:dyDescent="0.25">
      <c r="A11" s="23" t="s">
        <v>3144</v>
      </c>
      <c r="B11" s="24" t="s">
        <v>24</v>
      </c>
      <c r="C11" s="24" t="s">
        <v>3073</v>
      </c>
      <c r="D11" s="24" t="s">
        <v>3145</v>
      </c>
      <c r="E11" s="24" t="s">
        <v>3146</v>
      </c>
      <c r="F11" s="24" t="s">
        <v>3147</v>
      </c>
      <c r="G11" s="24" t="s">
        <v>3128</v>
      </c>
      <c r="H11" s="24" t="s">
        <v>3148</v>
      </c>
      <c r="I11" s="23"/>
      <c r="J11" s="24"/>
      <c r="K11" s="24"/>
      <c r="L11" s="22" t="s">
        <v>67</v>
      </c>
      <c r="M11" s="23"/>
    </row>
    <row r="12" spans="1:13" ht="51" x14ac:dyDescent="0.25">
      <c r="A12" s="19" t="s">
        <v>3149</v>
      </c>
      <c r="B12" s="20" t="s">
        <v>24</v>
      </c>
      <c r="C12" s="20" t="s">
        <v>3073</v>
      </c>
      <c r="D12" s="20" t="s">
        <v>3150</v>
      </c>
      <c r="E12" s="20" t="s">
        <v>3151</v>
      </c>
      <c r="F12" s="20" t="s">
        <v>3152</v>
      </c>
      <c r="G12" s="20" t="s">
        <v>3128</v>
      </c>
      <c r="H12" s="20" t="s">
        <v>3153</v>
      </c>
      <c r="I12" s="19"/>
      <c r="J12" s="20"/>
      <c r="K12" s="20"/>
      <c r="L12" s="26" t="s">
        <v>103</v>
      </c>
      <c r="M12" s="19"/>
    </row>
    <row r="13" spans="1:13" ht="25.5" x14ac:dyDescent="0.25">
      <c r="A13" s="23" t="s">
        <v>3154</v>
      </c>
      <c r="B13" s="24" t="s">
        <v>24</v>
      </c>
      <c r="C13" s="24" t="s">
        <v>3073</v>
      </c>
      <c r="D13" s="24" t="s">
        <v>105</v>
      </c>
      <c r="E13" s="24" t="s">
        <v>3155</v>
      </c>
      <c r="F13" s="24" t="s">
        <v>3156</v>
      </c>
      <c r="G13" s="24" t="s">
        <v>3122</v>
      </c>
      <c r="H13" s="24" t="s">
        <v>3157</v>
      </c>
      <c r="I13" s="23"/>
      <c r="J13" s="24"/>
      <c r="K13" s="24"/>
      <c r="L13" s="25" t="s">
        <v>95</v>
      </c>
      <c r="M13" s="23"/>
    </row>
    <row r="14" spans="1:13" ht="25.5" x14ac:dyDescent="0.25">
      <c r="A14" s="19" t="s">
        <v>3158</v>
      </c>
      <c r="B14" s="20" t="s">
        <v>24</v>
      </c>
      <c r="C14" s="20" t="s">
        <v>3073</v>
      </c>
      <c r="D14" s="20" t="s">
        <v>3159</v>
      </c>
      <c r="E14" s="20" t="s">
        <v>3160</v>
      </c>
      <c r="F14" s="20" t="s">
        <v>3161</v>
      </c>
      <c r="G14" s="20" t="s">
        <v>3122</v>
      </c>
      <c r="H14" s="20" t="s">
        <v>3162</v>
      </c>
      <c r="I14" s="19"/>
      <c r="J14" s="20"/>
      <c r="K14" s="20"/>
      <c r="L14" s="25" t="s">
        <v>95</v>
      </c>
      <c r="M14" s="19"/>
    </row>
    <row r="15" spans="1:13" ht="25.5" x14ac:dyDescent="0.25">
      <c r="A15" s="23" t="s">
        <v>3163</v>
      </c>
      <c r="B15" s="24" t="s">
        <v>24</v>
      </c>
      <c r="C15" s="24" t="s">
        <v>173</v>
      </c>
      <c r="D15" s="24" t="s">
        <v>80</v>
      </c>
      <c r="E15" s="24" t="s">
        <v>174</v>
      </c>
      <c r="F15" s="24" t="s">
        <v>176</v>
      </c>
      <c r="G15" s="24" t="s">
        <v>3164</v>
      </c>
      <c r="H15" s="24" t="s">
        <v>3165</v>
      </c>
      <c r="I15" s="23"/>
      <c r="J15" s="24"/>
      <c r="K15" s="24"/>
      <c r="L15" s="22" t="s">
        <v>67</v>
      </c>
      <c r="M15" s="23"/>
    </row>
    <row r="16" spans="1:13" ht="25.5" x14ac:dyDescent="0.25">
      <c r="A16" s="19" t="s">
        <v>3166</v>
      </c>
      <c r="B16" s="20" t="s">
        <v>24</v>
      </c>
      <c r="C16" s="20" t="s">
        <v>173</v>
      </c>
      <c r="D16" s="20" t="s">
        <v>3167</v>
      </c>
      <c r="E16" s="20" t="s">
        <v>3168</v>
      </c>
      <c r="F16" s="20" t="s">
        <v>3169</v>
      </c>
      <c r="G16" s="20" t="s">
        <v>3164</v>
      </c>
      <c r="H16" s="20" t="s">
        <v>3170</v>
      </c>
      <c r="I16" s="19"/>
      <c r="J16" s="20"/>
      <c r="K16" s="20"/>
      <c r="L16" s="25" t="s">
        <v>95</v>
      </c>
      <c r="M16" s="19"/>
    </row>
    <row r="17" spans="1:13" ht="25.5" x14ac:dyDescent="0.25">
      <c r="A17" s="23" t="s">
        <v>3171</v>
      </c>
      <c r="B17" s="24" t="s">
        <v>24</v>
      </c>
      <c r="C17" s="24" t="s">
        <v>173</v>
      </c>
      <c r="D17" s="24" t="s">
        <v>3172</v>
      </c>
      <c r="E17" s="24" t="s">
        <v>3173</v>
      </c>
      <c r="F17" s="24" t="s">
        <v>3174</v>
      </c>
      <c r="G17" s="24" t="s">
        <v>3164</v>
      </c>
      <c r="H17" s="24" t="s">
        <v>3175</v>
      </c>
      <c r="I17" s="23"/>
      <c r="J17" s="24"/>
      <c r="K17" s="24"/>
      <c r="L17" s="25" t="s">
        <v>95</v>
      </c>
      <c r="M17" s="23"/>
    </row>
    <row r="18" spans="1:13" ht="25.5" x14ac:dyDescent="0.25">
      <c r="A18" s="19" t="s">
        <v>3176</v>
      </c>
      <c r="B18" s="20" t="s">
        <v>24</v>
      </c>
      <c r="C18" s="20" t="s">
        <v>193</v>
      </c>
      <c r="D18" s="20" t="s">
        <v>80</v>
      </c>
      <c r="E18" s="20" t="s">
        <v>3177</v>
      </c>
      <c r="F18" s="20" t="s">
        <v>3178</v>
      </c>
      <c r="G18" s="20" t="s">
        <v>3179</v>
      </c>
      <c r="H18" s="20" t="s">
        <v>3180</v>
      </c>
      <c r="I18" s="19"/>
      <c r="J18" s="20"/>
      <c r="K18" s="20"/>
      <c r="L18" s="25" t="s">
        <v>95</v>
      </c>
      <c r="M18" s="19"/>
    </row>
    <row r="19" spans="1:13" ht="38.25" x14ac:dyDescent="0.25">
      <c r="A19" s="23" t="s">
        <v>3181</v>
      </c>
      <c r="B19" s="24" t="s">
        <v>24</v>
      </c>
      <c r="C19" s="24" t="s">
        <v>193</v>
      </c>
      <c r="D19" s="24" t="s">
        <v>3182</v>
      </c>
      <c r="E19" s="24" t="s">
        <v>200</v>
      </c>
      <c r="F19" s="24" t="s">
        <v>3183</v>
      </c>
      <c r="G19" s="24" t="s">
        <v>3184</v>
      </c>
      <c r="H19" s="24" t="s">
        <v>716</v>
      </c>
      <c r="I19" s="23"/>
      <c r="J19" s="24"/>
      <c r="K19" s="24"/>
      <c r="L19" s="25" t="s">
        <v>95</v>
      </c>
      <c r="M19" s="23"/>
    </row>
    <row r="20" spans="1:13" ht="25.5" x14ac:dyDescent="0.25">
      <c r="A20" s="19" t="s">
        <v>3185</v>
      </c>
      <c r="B20" s="20" t="s">
        <v>24</v>
      </c>
      <c r="C20" s="20" t="s">
        <v>193</v>
      </c>
      <c r="D20" s="20" t="s">
        <v>3186</v>
      </c>
      <c r="E20" s="20" t="s">
        <v>3187</v>
      </c>
      <c r="F20" s="20" t="s">
        <v>3188</v>
      </c>
      <c r="G20" s="20" t="s">
        <v>3184</v>
      </c>
      <c r="H20" s="20" t="s">
        <v>3189</v>
      </c>
      <c r="I20" s="19"/>
      <c r="J20" s="20"/>
      <c r="K20" s="20"/>
      <c r="L20" s="27" t="s">
        <v>131</v>
      </c>
      <c r="M20" s="19"/>
    </row>
    <row r="21" spans="1:13" ht="25.5" x14ac:dyDescent="0.25">
      <c r="A21" s="23" t="s">
        <v>3190</v>
      </c>
      <c r="B21" s="24" t="s">
        <v>24</v>
      </c>
      <c r="C21" s="24" t="s">
        <v>193</v>
      </c>
      <c r="D21" s="24" t="s">
        <v>3191</v>
      </c>
      <c r="E21" s="24" t="s">
        <v>3192</v>
      </c>
      <c r="F21" s="24" t="s">
        <v>3193</v>
      </c>
      <c r="G21" s="24" t="s">
        <v>3194</v>
      </c>
      <c r="H21" s="24" t="s">
        <v>3195</v>
      </c>
      <c r="I21" s="23"/>
      <c r="J21" s="24"/>
      <c r="K21" s="24"/>
      <c r="L21" s="22" t="s">
        <v>67</v>
      </c>
      <c r="M21" s="23"/>
    </row>
    <row r="22" spans="1:13" ht="25.5" x14ac:dyDescent="0.25">
      <c r="A22" s="19" t="s">
        <v>3196</v>
      </c>
      <c r="B22" s="20" t="s">
        <v>24</v>
      </c>
      <c r="C22" s="20" t="s">
        <v>193</v>
      </c>
      <c r="D22" s="20" t="s">
        <v>3197</v>
      </c>
      <c r="E22" s="20" t="s">
        <v>207</v>
      </c>
      <c r="F22" s="20" t="s">
        <v>3198</v>
      </c>
      <c r="G22" s="20" t="s">
        <v>3179</v>
      </c>
      <c r="H22" s="20" t="s">
        <v>3199</v>
      </c>
      <c r="I22" s="19"/>
      <c r="J22" s="20"/>
      <c r="K22" s="20"/>
      <c r="L22" s="22" t="s">
        <v>67</v>
      </c>
      <c r="M22" s="19"/>
    </row>
    <row r="23" spans="1:13" ht="51" x14ac:dyDescent="0.25">
      <c r="A23" s="23" t="s">
        <v>588</v>
      </c>
      <c r="B23" s="24" t="s">
        <v>24</v>
      </c>
      <c r="C23" s="24" t="s">
        <v>60</v>
      </c>
      <c r="D23" s="24" t="s">
        <v>3200</v>
      </c>
      <c r="E23" s="24" t="s">
        <v>3201</v>
      </c>
      <c r="F23" s="24" t="s">
        <v>3202</v>
      </c>
      <c r="G23" s="24" t="s">
        <v>3103</v>
      </c>
      <c r="H23" s="24" t="s">
        <v>522</v>
      </c>
      <c r="I23" s="23"/>
      <c r="J23" s="24"/>
      <c r="K23" s="24"/>
      <c r="L23" s="22" t="s">
        <v>67</v>
      </c>
      <c r="M23" s="23"/>
    </row>
    <row r="24" spans="1:13" ht="51" x14ac:dyDescent="0.25">
      <c r="A24" s="19" t="s">
        <v>591</v>
      </c>
      <c r="B24" s="20" t="s">
        <v>24</v>
      </c>
      <c r="C24" s="20" t="s">
        <v>79</v>
      </c>
      <c r="D24" s="20" t="s">
        <v>568</v>
      </c>
      <c r="E24" s="20" t="s">
        <v>3203</v>
      </c>
      <c r="F24" s="20" t="s">
        <v>3204</v>
      </c>
      <c r="G24" s="20" t="s">
        <v>3116</v>
      </c>
      <c r="H24" s="20" t="s">
        <v>3205</v>
      </c>
      <c r="I24" s="19"/>
      <c r="J24" s="20"/>
      <c r="K24" s="20"/>
      <c r="L24" s="22" t="s">
        <v>67</v>
      </c>
      <c r="M24" s="19"/>
    </row>
    <row r="25" spans="1:13" ht="51" x14ac:dyDescent="0.25">
      <c r="A25" s="23" t="s">
        <v>594</v>
      </c>
      <c r="B25" s="24" t="s">
        <v>24</v>
      </c>
      <c r="C25" s="24" t="s">
        <v>79</v>
      </c>
      <c r="D25" s="24" t="s">
        <v>3206</v>
      </c>
      <c r="E25" s="24" t="s">
        <v>3207</v>
      </c>
      <c r="F25" s="24" t="s">
        <v>3208</v>
      </c>
      <c r="G25" s="24" t="s">
        <v>3116</v>
      </c>
      <c r="H25" s="24" t="s">
        <v>3209</v>
      </c>
      <c r="I25" s="23"/>
      <c r="J25" s="24"/>
      <c r="K25" s="24"/>
      <c r="L25" s="26" t="s">
        <v>103</v>
      </c>
      <c r="M25" s="23"/>
    </row>
    <row r="26" spans="1:13" ht="51" x14ac:dyDescent="0.25">
      <c r="A26" s="19" t="s">
        <v>597</v>
      </c>
      <c r="B26" s="20" t="s">
        <v>24</v>
      </c>
      <c r="C26" s="20" t="s">
        <v>3073</v>
      </c>
      <c r="D26" s="20" t="s">
        <v>3210</v>
      </c>
      <c r="E26" s="20" t="s">
        <v>3211</v>
      </c>
      <c r="F26" s="20" t="s">
        <v>3212</v>
      </c>
      <c r="G26" s="20" t="s">
        <v>3213</v>
      </c>
      <c r="H26" s="20" t="s">
        <v>3214</v>
      </c>
      <c r="I26" s="19"/>
      <c r="J26" s="20"/>
      <c r="K26" s="20"/>
      <c r="L26" s="25" t="s">
        <v>95</v>
      </c>
      <c r="M26" s="19"/>
    </row>
    <row r="27" spans="1:13" ht="51" x14ac:dyDescent="0.25">
      <c r="A27" s="23" t="s">
        <v>600</v>
      </c>
      <c r="B27" s="24" t="s">
        <v>24</v>
      </c>
      <c r="C27" s="24" t="s">
        <v>3073</v>
      </c>
      <c r="D27" s="24" t="s">
        <v>3215</v>
      </c>
      <c r="E27" s="24" t="s">
        <v>3216</v>
      </c>
      <c r="F27" s="24" t="s">
        <v>3217</v>
      </c>
      <c r="G27" s="24" t="s">
        <v>3128</v>
      </c>
      <c r="H27" s="24" t="s">
        <v>3218</v>
      </c>
      <c r="I27" s="23"/>
      <c r="J27" s="24"/>
      <c r="K27" s="24"/>
      <c r="L27" s="22" t="s">
        <v>67</v>
      </c>
      <c r="M27" s="23"/>
    </row>
    <row r="28" spans="1:13" ht="51" x14ac:dyDescent="0.25">
      <c r="A28" s="19" t="s">
        <v>603</v>
      </c>
      <c r="B28" s="20" t="s">
        <v>24</v>
      </c>
      <c r="C28" s="20" t="s">
        <v>3073</v>
      </c>
      <c r="D28" s="20" t="s">
        <v>3219</v>
      </c>
      <c r="E28" s="20" t="s">
        <v>3220</v>
      </c>
      <c r="F28" s="20" t="s">
        <v>3221</v>
      </c>
      <c r="G28" s="20" t="s">
        <v>3128</v>
      </c>
      <c r="H28" s="20" t="s">
        <v>3222</v>
      </c>
      <c r="I28" s="19"/>
      <c r="J28" s="20"/>
      <c r="K28" s="20"/>
      <c r="L28" s="25" t="s">
        <v>95</v>
      </c>
      <c r="M28" s="19"/>
    </row>
    <row r="29" spans="1:13" ht="51" x14ac:dyDescent="0.25">
      <c r="A29" s="23" t="s">
        <v>606</v>
      </c>
      <c r="B29" s="24" t="s">
        <v>24</v>
      </c>
      <c r="C29" s="24" t="s">
        <v>3073</v>
      </c>
      <c r="D29" s="24" t="s">
        <v>3223</v>
      </c>
      <c r="E29" s="24" t="s">
        <v>3224</v>
      </c>
      <c r="F29" s="24" t="s">
        <v>3225</v>
      </c>
      <c r="G29" s="24" t="s">
        <v>3128</v>
      </c>
      <c r="H29" s="24" t="s">
        <v>3226</v>
      </c>
      <c r="I29" s="23"/>
      <c r="J29" s="24"/>
      <c r="K29" s="24"/>
      <c r="L29" s="26" t="s">
        <v>103</v>
      </c>
      <c r="M29" s="23"/>
    </row>
    <row r="30" spans="1:13" ht="51" x14ac:dyDescent="0.25">
      <c r="A30" s="19" t="s">
        <v>609</v>
      </c>
      <c r="B30" s="20" t="s">
        <v>24</v>
      </c>
      <c r="C30" s="20" t="s">
        <v>3073</v>
      </c>
      <c r="D30" s="20" t="s">
        <v>3227</v>
      </c>
      <c r="E30" s="20" t="s">
        <v>3228</v>
      </c>
      <c r="F30" s="20" t="s">
        <v>3229</v>
      </c>
      <c r="G30" s="20" t="s">
        <v>3128</v>
      </c>
      <c r="H30" s="20" t="s">
        <v>3230</v>
      </c>
      <c r="I30" s="19"/>
      <c r="J30" s="20"/>
      <c r="K30" s="20"/>
      <c r="L30" s="26" t="s">
        <v>103</v>
      </c>
      <c r="M30" s="19"/>
    </row>
    <row r="31" spans="1:13" ht="51" x14ac:dyDescent="0.25">
      <c r="A31" s="23" t="s">
        <v>612</v>
      </c>
      <c r="B31" s="24" t="s">
        <v>24</v>
      </c>
      <c r="C31" s="24" t="s">
        <v>3073</v>
      </c>
      <c r="D31" s="24" t="s">
        <v>3231</v>
      </c>
      <c r="E31" s="24" t="s">
        <v>3232</v>
      </c>
      <c r="F31" s="24" t="s">
        <v>3233</v>
      </c>
      <c r="G31" s="24" t="s">
        <v>3128</v>
      </c>
      <c r="H31" s="24" t="s">
        <v>3234</v>
      </c>
      <c r="I31" s="23"/>
      <c r="J31" s="24"/>
      <c r="K31" s="24"/>
      <c r="L31" s="22" t="s">
        <v>67</v>
      </c>
      <c r="M31" s="23"/>
    </row>
    <row r="32" spans="1:13" ht="51" x14ac:dyDescent="0.25">
      <c r="A32" s="19" t="s">
        <v>616</v>
      </c>
      <c r="B32" s="20" t="s">
        <v>24</v>
      </c>
      <c r="C32" s="20" t="s">
        <v>3073</v>
      </c>
      <c r="D32" s="20" t="s">
        <v>3235</v>
      </c>
      <c r="E32" s="20" t="s">
        <v>3236</v>
      </c>
      <c r="F32" s="20" t="s">
        <v>3237</v>
      </c>
      <c r="G32" s="20" t="s">
        <v>3128</v>
      </c>
      <c r="H32" s="20" t="s">
        <v>3238</v>
      </c>
      <c r="I32" s="19"/>
      <c r="J32" s="20"/>
      <c r="K32" s="20"/>
      <c r="L32" s="22" t="s">
        <v>67</v>
      </c>
      <c r="M32" s="19"/>
    </row>
    <row r="33" spans="1:13" ht="63.75" x14ac:dyDescent="0.25">
      <c r="A33" s="23" t="s">
        <v>620</v>
      </c>
      <c r="B33" s="24" t="s">
        <v>24</v>
      </c>
      <c r="C33" s="24" t="s">
        <v>3073</v>
      </c>
      <c r="D33" s="24" t="s">
        <v>3239</v>
      </c>
      <c r="E33" s="24" t="s">
        <v>3240</v>
      </c>
      <c r="F33" s="24" t="s">
        <v>3241</v>
      </c>
      <c r="G33" s="24" t="s">
        <v>3128</v>
      </c>
      <c r="H33" s="24" t="s">
        <v>3242</v>
      </c>
      <c r="I33" s="23"/>
      <c r="J33" s="24"/>
      <c r="K33" s="24"/>
      <c r="L33" s="25" t="s">
        <v>95</v>
      </c>
      <c r="M33" s="23"/>
    </row>
    <row r="34" spans="1:13" ht="63.75" x14ac:dyDescent="0.25">
      <c r="A34" s="19" t="s">
        <v>623</v>
      </c>
      <c r="B34" s="20" t="s">
        <v>24</v>
      </c>
      <c r="C34" s="20" t="s">
        <v>3073</v>
      </c>
      <c r="D34" s="20" t="s">
        <v>3243</v>
      </c>
      <c r="E34" s="20" t="s">
        <v>3244</v>
      </c>
      <c r="F34" s="20" t="s">
        <v>3245</v>
      </c>
      <c r="G34" s="20" t="s">
        <v>3128</v>
      </c>
      <c r="H34" s="20" t="s">
        <v>3246</v>
      </c>
      <c r="I34" s="19"/>
      <c r="J34" s="20"/>
      <c r="K34" s="20"/>
      <c r="L34" s="22" t="s">
        <v>67</v>
      </c>
      <c r="M34" s="19"/>
    </row>
    <row r="35" spans="1:13" ht="63.75" x14ac:dyDescent="0.25">
      <c r="A35" s="23" t="s">
        <v>627</v>
      </c>
      <c r="B35" s="24" t="s">
        <v>24</v>
      </c>
      <c r="C35" s="24" t="s">
        <v>3073</v>
      </c>
      <c r="D35" s="24" t="s">
        <v>3247</v>
      </c>
      <c r="E35" s="24" t="s">
        <v>3248</v>
      </c>
      <c r="F35" s="24" t="s">
        <v>3249</v>
      </c>
      <c r="G35" s="24" t="s">
        <v>3250</v>
      </c>
      <c r="H35" s="24" t="s">
        <v>3251</v>
      </c>
      <c r="I35" s="23"/>
      <c r="J35" s="24"/>
      <c r="K35" s="24"/>
      <c r="L35" s="22" t="s">
        <v>67</v>
      </c>
      <c r="M35" s="23"/>
    </row>
    <row r="36" spans="1:13" ht="51" x14ac:dyDescent="0.25">
      <c r="A36" s="19" t="s">
        <v>630</v>
      </c>
      <c r="B36" s="20" t="s">
        <v>24</v>
      </c>
      <c r="C36" s="20" t="s">
        <v>173</v>
      </c>
      <c r="D36" s="20" t="s">
        <v>3252</v>
      </c>
      <c r="E36" s="20" t="s">
        <v>3253</v>
      </c>
      <c r="F36" s="20" t="s">
        <v>3254</v>
      </c>
      <c r="G36" s="20" t="s">
        <v>3164</v>
      </c>
      <c r="H36" s="20" t="s">
        <v>3255</v>
      </c>
      <c r="I36" s="19"/>
      <c r="J36" s="20"/>
      <c r="K36" s="20"/>
      <c r="L36" s="25" t="s">
        <v>95</v>
      </c>
      <c r="M36" s="19"/>
    </row>
    <row r="37" spans="1:13" ht="63.75" x14ac:dyDescent="0.25">
      <c r="A37" s="23" t="s">
        <v>633</v>
      </c>
      <c r="B37" s="24" t="s">
        <v>24</v>
      </c>
      <c r="C37" s="24" t="s">
        <v>173</v>
      </c>
      <c r="D37" s="24" t="s">
        <v>3256</v>
      </c>
      <c r="E37" s="24" t="s">
        <v>3257</v>
      </c>
      <c r="F37" s="24" t="s">
        <v>3258</v>
      </c>
      <c r="G37" s="24" t="s">
        <v>3164</v>
      </c>
      <c r="H37" s="24" t="s">
        <v>3259</v>
      </c>
      <c r="I37" s="23"/>
      <c r="J37" s="24"/>
      <c r="K37" s="24"/>
      <c r="L37" s="25" t="s">
        <v>95</v>
      </c>
      <c r="M37" s="23"/>
    </row>
    <row r="38" spans="1:13" ht="51" x14ac:dyDescent="0.25">
      <c r="A38" s="19" t="s">
        <v>636</v>
      </c>
      <c r="B38" s="20" t="s">
        <v>24</v>
      </c>
      <c r="C38" s="20" t="s">
        <v>173</v>
      </c>
      <c r="D38" s="20" t="s">
        <v>3260</v>
      </c>
      <c r="E38" s="20" t="s">
        <v>3261</v>
      </c>
      <c r="F38" s="20" t="s">
        <v>3262</v>
      </c>
      <c r="G38" s="20" t="s">
        <v>3263</v>
      </c>
      <c r="H38" s="20" t="s">
        <v>3175</v>
      </c>
      <c r="I38" s="19"/>
      <c r="J38" s="20"/>
      <c r="K38" s="20"/>
      <c r="L38" s="22" t="s">
        <v>67</v>
      </c>
      <c r="M38" s="19"/>
    </row>
    <row r="39" spans="1:13" ht="51" x14ac:dyDescent="0.25">
      <c r="A39" s="23" t="s">
        <v>639</v>
      </c>
      <c r="B39" s="24" t="s">
        <v>24</v>
      </c>
      <c r="C39" s="24" t="s">
        <v>173</v>
      </c>
      <c r="D39" s="24" t="s">
        <v>3264</v>
      </c>
      <c r="E39" s="24" t="s">
        <v>3265</v>
      </c>
      <c r="F39" s="24" t="s">
        <v>3266</v>
      </c>
      <c r="G39" s="24" t="s">
        <v>3263</v>
      </c>
      <c r="H39" s="24" t="s">
        <v>3267</v>
      </c>
      <c r="I39" s="23"/>
      <c r="J39" s="24"/>
      <c r="K39" s="24"/>
      <c r="L39" s="27" t="s">
        <v>131</v>
      </c>
      <c r="M39" s="23"/>
    </row>
    <row r="40" spans="1:13" ht="76.5" x14ac:dyDescent="0.25">
      <c r="A40" s="19" t="s">
        <v>643</v>
      </c>
      <c r="B40" s="20" t="s">
        <v>24</v>
      </c>
      <c r="C40" s="20" t="s">
        <v>193</v>
      </c>
      <c r="D40" s="20" t="s">
        <v>3186</v>
      </c>
      <c r="E40" s="20" t="s">
        <v>3187</v>
      </c>
      <c r="F40" s="20" t="s">
        <v>3268</v>
      </c>
      <c r="G40" s="20" t="s">
        <v>3184</v>
      </c>
      <c r="H40" s="20" t="s">
        <v>3269</v>
      </c>
      <c r="I40" s="19"/>
      <c r="J40" s="20"/>
      <c r="K40" s="20"/>
      <c r="L40" s="25" t="s">
        <v>95</v>
      </c>
      <c r="M40" s="19"/>
    </row>
    <row r="41" spans="1:13" ht="63.75" x14ac:dyDescent="0.25">
      <c r="A41" s="23" t="s">
        <v>646</v>
      </c>
      <c r="B41" s="24" t="s">
        <v>24</v>
      </c>
      <c r="C41" s="24" t="s">
        <v>193</v>
      </c>
      <c r="D41" s="24" t="s">
        <v>3270</v>
      </c>
      <c r="E41" s="24" t="s">
        <v>3271</v>
      </c>
      <c r="F41" s="24" t="s">
        <v>3272</v>
      </c>
      <c r="G41" s="24" t="s">
        <v>3194</v>
      </c>
      <c r="H41" s="24" t="s">
        <v>3273</v>
      </c>
      <c r="I41" s="23"/>
      <c r="J41" s="24"/>
      <c r="K41" s="24"/>
      <c r="L41" s="22" t="s">
        <v>67</v>
      </c>
      <c r="M41" s="23"/>
    </row>
    <row r="42" spans="1:13" ht="63.75" x14ac:dyDescent="0.25">
      <c r="A42" s="19" t="s">
        <v>650</v>
      </c>
      <c r="B42" s="20" t="s">
        <v>24</v>
      </c>
      <c r="C42" s="20" t="s">
        <v>193</v>
      </c>
      <c r="D42" s="20" t="s">
        <v>3274</v>
      </c>
      <c r="E42" s="20" t="s">
        <v>3275</v>
      </c>
      <c r="F42" s="20" t="s">
        <v>3276</v>
      </c>
      <c r="G42" s="20" t="s">
        <v>3194</v>
      </c>
      <c r="H42" s="20" t="s">
        <v>3277</v>
      </c>
      <c r="I42" s="19"/>
      <c r="J42" s="20"/>
      <c r="K42" s="20"/>
      <c r="L42" s="25" t="s">
        <v>95</v>
      </c>
      <c r="M42" s="19"/>
    </row>
    <row r="43" spans="1:13" ht="51" x14ac:dyDescent="0.25">
      <c r="A43" s="23" t="s">
        <v>653</v>
      </c>
      <c r="B43" s="24" t="s">
        <v>24</v>
      </c>
      <c r="C43" s="24" t="s">
        <v>193</v>
      </c>
      <c r="D43" s="24" t="s">
        <v>3278</v>
      </c>
      <c r="E43" s="24" t="s">
        <v>3279</v>
      </c>
      <c r="F43" s="24" t="s">
        <v>3280</v>
      </c>
      <c r="G43" s="24" t="s">
        <v>3194</v>
      </c>
      <c r="H43" s="24" t="s">
        <v>3281</v>
      </c>
      <c r="I43" s="23"/>
      <c r="J43" s="24"/>
      <c r="K43" s="24"/>
      <c r="L43" s="26" t="s">
        <v>103</v>
      </c>
      <c r="M43" s="23"/>
    </row>
    <row r="44" spans="1:13" ht="63.75" x14ac:dyDescent="0.25">
      <c r="A44" s="19" t="s">
        <v>657</v>
      </c>
      <c r="B44" s="20" t="s">
        <v>24</v>
      </c>
      <c r="C44" s="20" t="s">
        <v>460</v>
      </c>
      <c r="D44" s="20" t="s">
        <v>461</v>
      </c>
      <c r="E44" s="20" t="s">
        <v>3282</v>
      </c>
      <c r="F44" s="20" t="s">
        <v>3283</v>
      </c>
      <c r="G44" s="20" t="s">
        <v>3284</v>
      </c>
      <c r="H44" s="20" t="s">
        <v>2178</v>
      </c>
      <c r="I44" s="19"/>
      <c r="J44" s="20"/>
      <c r="K44" s="20"/>
      <c r="L44" s="22" t="s">
        <v>67</v>
      </c>
      <c r="M44" s="19"/>
    </row>
    <row r="45" spans="1:13" ht="51" x14ac:dyDescent="0.25">
      <c r="A45" s="23" t="s">
        <v>660</v>
      </c>
      <c r="B45" s="24" t="s">
        <v>24</v>
      </c>
      <c r="C45" s="24" t="s">
        <v>460</v>
      </c>
      <c r="D45" s="24" t="s">
        <v>3285</v>
      </c>
      <c r="E45" s="24" t="s">
        <v>3286</v>
      </c>
      <c r="F45" s="24" t="s">
        <v>3287</v>
      </c>
      <c r="G45" s="24" t="s">
        <v>3284</v>
      </c>
      <c r="H45" s="24" t="s">
        <v>3288</v>
      </c>
      <c r="I45" s="23"/>
      <c r="J45" s="24"/>
      <c r="K45" s="24"/>
      <c r="L45" s="26" t="s">
        <v>103</v>
      </c>
      <c r="M45" s="23"/>
    </row>
    <row r="46" spans="1:13" x14ac:dyDescent="0.25">
      <c r="A46" s="19"/>
      <c r="B46" s="20"/>
      <c r="C46" s="20"/>
      <c r="D46" s="20"/>
      <c r="E46" s="20"/>
      <c r="F46" s="20"/>
      <c r="G46" s="20" t="s">
        <v>476</v>
      </c>
      <c r="H46" s="20"/>
      <c r="I46" s="19"/>
      <c r="J46" s="20"/>
      <c r="K46" s="20"/>
      <c r="L46" s="19"/>
      <c r="M46" s="19"/>
    </row>
    <row r="47" spans="1:13" x14ac:dyDescent="0.25">
      <c r="A47" s="23" t="s">
        <v>477</v>
      </c>
      <c r="B47" s="24"/>
      <c r="C47" s="24"/>
      <c r="D47" s="24"/>
      <c r="E47" s="24"/>
      <c r="F47" s="24"/>
      <c r="G47" s="24" t="s">
        <v>476</v>
      </c>
      <c r="H47" s="24"/>
      <c r="I47" s="23"/>
      <c r="J47" s="24"/>
      <c r="K47" s="24"/>
      <c r="L47" s="23"/>
      <c r="M47" s="23"/>
    </row>
    <row r="48" spans="1:13" x14ac:dyDescent="0.25">
      <c r="A48" s="19" t="s">
        <v>478</v>
      </c>
      <c r="B48" s="20"/>
      <c r="C48" s="20"/>
      <c r="D48" s="20"/>
      <c r="E48" s="20"/>
      <c r="F48" s="20"/>
      <c r="G48" s="20" t="s">
        <v>476</v>
      </c>
      <c r="H48" s="20"/>
      <c r="I48" s="19"/>
      <c r="J48" s="20"/>
      <c r="K48" s="20"/>
      <c r="L48" s="19"/>
      <c r="M48" s="19"/>
    </row>
    <row r="49" spans="1:13" x14ac:dyDescent="0.25">
      <c r="A49" s="23" t="s">
        <v>479</v>
      </c>
      <c r="B49" s="24"/>
      <c r="C49" s="24"/>
      <c r="D49" s="24"/>
      <c r="E49" s="24"/>
      <c r="F49" s="24"/>
      <c r="G49" s="24" t="s">
        <v>476</v>
      </c>
      <c r="H49" s="24"/>
      <c r="I49" s="23"/>
      <c r="J49" s="24"/>
      <c r="K49" s="24"/>
      <c r="L49" s="23"/>
      <c r="M49" s="23"/>
    </row>
    <row r="50" spans="1:13" x14ac:dyDescent="0.25">
      <c r="A50" s="19" t="s">
        <v>480</v>
      </c>
      <c r="B50" s="20"/>
      <c r="C50" s="20"/>
      <c r="D50" s="20"/>
      <c r="E50" s="20"/>
      <c r="F50" s="20"/>
      <c r="G50" s="20" t="s">
        <v>476</v>
      </c>
      <c r="H50" s="20"/>
      <c r="I50" s="19"/>
      <c r="J50" s="20"/>
      <c r="K50" s="20"/>
      <c r="L50" s="19"/>
      <c r="M50" s="19"/>
    </row>
    <row r="51" spans="1:13" x14ac:dyDescent="0.25">
      <c r="A51" s="23" t="s">
        <v>481</v>
      </c>
      <c r="B51" s="24"/>
      <c r="C51" s="24"/>
      <c r="D51" s="24"/>
      <c r="E51" s="24"/>
      <c r="F51" s="24"/>
      <c r="G51" s="24" t="s">
        <v>476</v>
      </c>
      <c r="H51" s="24"/>
      <c r="I51" s="23"/>
      <c r="J51" s="24"/>
      <c r="K51" s="24"/>
      <c r="L51" s="23"/>
      <c r="M51" s="23"/>
    </row>
    <row r="52" spans="1:13" ht="38.25" x14ac:dyDescent="0.25">
      <c r="A52" s="19" t="s">
        <v>3185</v>
      </c>
      <c r="B52" s="20" t="s">
        <v>24</v>
      </c>
      <c r="C52" s="20" t="s">
        <v>60</v>
      </c>
      <c r="D52" s="20" t="s">
        <v>3101</v>
      </c>
      <c r="E52" s="20" t="s">
        <v>3289</v>
      </c>
      <c r="F52" s="20" t="s">
        <v>3290</v>
      </c>
      <c r="G52" s="20" t="s">
        <v>3103</v>
      </c>
      <c r="H52" s="20" t="s">
        <v>3291</v>
      </c>
      <c r="I52" s="19"/>
      <c r="J52" s="20"/>
      <c r="K52" s="20"/>
      <c r="L52" s="26" t="s">
        <v>103</v>
      </c>
      <c r="M52" s="19"/>
    </row>
    <row r="53" spans="1:13" ht="38.25" x14ac:dyDescent="0.25">
      <c r="A53" s="23" t="s">
        <v>3190</v>
      </c>
      <c r="B53" s="24" t="s">
        <v>24</v>
      </c>
      <c r="C53" s="24" t="s">
        <v>60</v>
      </c>
      <c r="D53" s="24" t="s">
        <v>69</v>
      </c>
      <c r="E53" s="24" t="s">
        <v>514</v>
      </c>
      <c r="F53" s="24" t="s">
        <v>515</v>
      </c>
      <c r="G53" s="24" t="s">
        <v>3103</v>
      </c>
      <c r="H53" s="24" t="s">
        <v>516</v>
      </c>
      <c r="I53" s="23"/>
      <c r="J53" s="24"/>
      <c r="K53" s="24"/>
      <c r="L53" s="22" t="s">
        <v>67</v>
      </c>
      <c r="M53" s="23"/>
    </row>
    <row r="54" spans="1:13" ht="25.5" x14ac:dyDescent="0.25">
      <c r="A54" s="19" t="s">
        <v>3196</v>
      </c>
      <c r="B54" s="20" t="s">
        <v>24</v>
      </c>
      <c r="C54" s="20" t="s">
        <v>60</v>
      </c>
      <c r="D54" s="20" t="s">
        <v>3106</v>
      </c>
      <c r="E54" s="20" t="s">
        <v>74</v>
      </c>
      <c r="F54" s="20" t="s">
        <v>3292</v>
      </c>
      <c r="G54" s="20" t="s">
        <v>3103</v>
      </c>
      <c r="H54" s="20" t="s">
        <v>519</v>
      </c>
      <c r="I54" s="19"/>
      <c r="J54" s="20"/>
      <c r="K54" s="20"/>
      <c r="L54" s="22" t="s">
        <v>67</v>
      </c>
      <c r="M54" s="19"/>
    </row>
    <row r="55" spans="1:13" ht="51" x14ac:dyDescent="0.25">
      <c r="A55" s="23" t="s">
        <v>231</v>
      </c>
      <c r="B55" s="24" t="s">
        <v>24</v>
      </c>
      <c r="C55" s="24" t="s">
        <v>60</v>
      </c>
      <c r="D55" s="24" t="s">
        <v>3200</v>
      </c>
      <c r="E55" s="24" t="s">
        <v>3200</v>
      </c>
      <c r="F55" s="24" t="s">
        <v>521</v>
      </c>
      <c r="G55" s="24" t="s">
        <v>3103</v>
      </c>
      <c r="H55" s="24" t="s">
        <v>3293</v>
      </c>
      <c r="I55" s="23"/>
      <c r="J55" s="24"/>
      <c r="K55" s="24"/>
      <c r="L55" s="22" t="s">
        <v>67</v>
      </c>
      <c r="M55" s="23"/>
    </row>
    <row r="56" spans="1:13" ht="38.25" x14ac:dyDescent="0.25">
      <c r="A56" s="19" t="s">
        <v>269</v>
      </c>
      <c r="B56" s="20" t="s">
        <v>24</v>
      </c>
      <c r="C56" s="20" t="s">
        <v>79</v>
      </c>
      <c r="D56" s="20" t="s">
        <v>558</v>
      </c>
      <c r="E56" s="20" t="s">
        <v>3294</v>
      </c>
      <c r="F56" s="20" t="s">
        <v>3295</v>
      </c>
      <c r="G56" s="20" t="s">
        <v>3111</v>
      </c>
      <c r="H56" s="20" t="s">
        <v>561</v>
      </c>
      <c r="I56" s="19"/>
      <c r="J56" s="20"/>
      <c r="K56" s="20"/>
      <c r="L56" s="26" t="s">
        <v>103</v>
      </c>
      <c r="M56" s="19"/>
    </row>
    <row r="57" spans="1:13" ht="38.25" x14ac:dyDescent="0.25">
      <c r="A57" s="23" t="s">
        <v>275</v>
      </c>
      <c r="B57" s="24" t="s">
        <v>24</v>
      </c>
      <c r="C57" s="24" t="s">
        <v>79</v>
      </c>
      <c r="D57" s="24" t="s">
        <v>568</v>
      </c>
      <c r="E57" s="24" t="s">
        <v>569</v>
      </c>
      <c r="F57" s="24" t="s">
        <v>3296</v>
      </c>
      <c r="G57" s="24" t="s">
        <v>3111</v>
      </c>
      <c r="H57" s="24" t="s">
        <v>687</v>
      </c>
      <c r="I57" s="23"/>
      <c r="J57" s="24"/>
      <c r="K57" s="24"/>
      <c r="L57" s="22" t="s">
        <v>67</v>
      </c>
      <c r="M57" s="23"/>
    </row>
    <row r="58" spans="1:13" ht="38.25" x14ac:dyDescent="0.25">
      <c r="A58" s="19" t="s">
        <v>281</v>
      </c>
      <c r="B58" s="20" t="s">
        <v>24</v>
      </c>
      <c r="C58" s="20" t="s">
        <v>79</v>
      </c>
      <c r="D58" s="20" t="s">
        <v>3206</v>
      </c>
      <c r="E58" s="20" t="s">
        <v>3297</v>
      </c>
      <c r="F58" s="20" t="s">
        <v>3298</v>
      </c>
      <c r="G58" s="20" t="s">
        <v>3111</v>
      </c>
      <c r="H58" s="20" t="s">
        <v>3299</v>
      </c>
      <c r="I58" s="19"/>
      <c r="J58" s="20"/>
      <c r="K58" s="20"/>
      <c r="L58" s="26" t="s">
        <v>103</v>
      </c>
      <c r="M58" s="19"/>
    </row>
    <row r="59" spans="1:13" ht="38.25" x14ac:dyDescent="0.25">
      <c r="A59" s="23" t="s">
        <v>286</v>
      </c>
      <c r="B59" s="24" t="s">
        <v>24</v>
      </c>
      <c r="C59" s="24" t="s">
        <v>79</v>
      </c>
      <c r="D59" s="24" t="s">
        <v>3300</v>
      </c>
      <c r="E59" s="24" t="s">
        <v>3301</v>
      </c>
      <c r="F59" s="24" t="s">
        <v>3302</v>
      </c>
      <c r="G59" s="24" t="s">
        <v>3111</v>
      </c>
      <c r="H59" s="24" t="s">
        <v>3303</v>
      </c>
      <c r="I59" s="23"/>
      <c r="J59" s="24"/>
      <c r="K59" s="24"/>
      <c r="L59" s="25" t="s">
        <v>95</v>
      </c>
      <c r="M59" s="23"/>
    </row>
    <row r="60" spans="1:13" ht="38.25" x14ac:dyDescent="0.25">
      <c r="A60" s="19" t="s">
        <v>323</v>
      </c>
      <c r="B60" s="20" t="s">
        <v>24</v>
      </c>
      <c r="C60" s="20" t="s">
        <v>3073</v>
      </c>
      <c r="D60" s="20" t="s">
        <v>3119</v>
      </c>
      <c r="E60" s="20" t="s">
        <v>3120</v>
      </c>
      <c r="F60" s="20" t="s">
        <v>3304</v>
      </c>
      <c r="G60" s="20" t="s">
        <v>3128</v>
      </c>
      <c r="H60" s="20" t="s">
        <v>3305</v>
      </c>
      <c r="I60" s="19"/>
      <c r="J60" s="20"/>
      <c r="K60" s="20"/>
      <c r="L60" s="26" t="s">
        <v>103</v>
      </c>
      <c r="M60" s="19"/>
    </row>
    <row r="61" spans="1:13" ht="38.25" x14ac:dyDescent="0.25">
      <c r="A61" s="23" t="s">
        <v>326</v>
      </c>
      <c r="B61" s="24" t="s">
        <v>24</v>
      </c>
      <c r="C61" s="24" t="s">
        <v>3073</v>
      </c>
      <c r="D61" s="24" t="s">
        <v>3210</v>
      </c>
      <c r="E61" s="24" t="s">
        <v>3306</v>
      </c>
      <c r="F61" s="24" t="s">
        <v>3307</v>
      </c>
      <c r="G61" s="24" t="s">
        <v>3128</v>
      </c>
      <c r="H61" s="24" t="s">
        <v>3308</v>
      </c>
      <c r="I61" s="23"/>
      <c r="J61" s="24"/>
      <c r="K61" s="24"/>
      <c r="L61" s="25" t="s">
        <v>95</v>
      </c>
      <c r="M61" s="23"/>
    </row>
    <row r="62" spans="1:13" ht="38.25" x14ac:dyDescent="0.25">
      <c r="A62" s="19" t="s">
        <v>331</v>
      </c>
      <c r="B62" s="20" t="s">
        <v>24</v>
      </c>
      <c r="C62" s="20" t="s">
        <v>3073</v>
      </c>
      <c r="D62" s="20" t="s">
        <v>3125</v>
      </c>
      <c r="E62" s="20" t="s">
        <v>3125</v>
      </c>
      <c r="F62" s="20" t="s">
        <v>3309</v>
      </c>
      <c r="G62" s="20" t="s">
        <v>3128</v>
      </c>
      <c r="H62" s="20" t="s">
        <v>3310</v>
      </c>
      <c r="I62" s="19"/>
      <c r="J62" s="20"/>
      <c r="K62" s="20"/>
      <c r="L62" s="26" t="s">
        <v>103</v>
      </c>
      <c r="M62" s="19"/>
    </row>
    <row r="63" spans="1:13" ht="38.25" x14ac:dyDescent="0.25">
      <c r="A63" s="23" t="s">
        <v>336</v>
      </c>
      <c r="B63" s="24" t="s">
        <v>24</v>
      </c>
      <c r="C63" s="24" t="s">
        <v>3073</v>
      </c>
      <c r="D63" s="24" t="s">
        <v>3215</v>
      </c>
      <c r="E63" s="24" t="s">
        <v>3311</v>
      </c>
      <c r="F63" s="24" t="s">
        <v>3312</v>
      </c>
      <c r="G63" s="24" t="s">
        <v>3128</v>
      </c>
      <c r="H63" s="24" t="s">
        <v>3313</v>
      </c>
      <c r="I63" s="23"/>
      <c r="J63" s="24"/>
      <c r="K63" s="24"/>
      <c r="L63" s="22" t="s">
        <v>67</v>
      </c>
      <c r="M63" s="23"/>
    </row>
    <row r="64" spans="1:13" ht="51" x14ac:dyDescent="0.25">
      <c r="A64" s="19" t="s">
        <v>341</v>
      </c>
      <c r="B64" s="20" t="s">
        <v>24</v>
      </c>
      <c r="C64" s="20" t="s">
        <v>3073</v>
      </c>
      <c r="D64" s="20" t="s">
        <v>3219</v>
      </c>
      <c r="E64" s="20" t="s">
        <v>3314</v>
      </c>
      <c r="F64" s="20" t="s">
        <v>3315</v>
      </c>
      <c r="G64" s="20" t="s">
        <v>3128</v>
      </c>
      <c r="H64" s="20" t="s">
        <v>3316</v>
      </c>
      <c r="I64" s="19"/>
      <c r="J64" s="20"/>
      <c r="K64" s="20"/>
      <c r="L64" s="25" t="s">
        <v>95</v>
      </c>
      <c r="M64" s="19"/>
    </row>
    <row r="65" spans="1:13" ht="38.25" x14ac:dyDescent="0.25">
      <c r="A65" s="23" t="s">
        <v>346</v>
      </c>
      <c r="B65" s="24" t="s">
        <v>24</v>
      </c>
      <c r="C65" s="24" t="s">
        <v>3073</v>
      </c>
      <c r="D65" s="24" t="s">
        <v>98</v>
      </c>
      <c r="E65" s="24" t="s">
        <v>3131</v>
      </c>
      <c r="F65" s="24" t="s">
        <v>3317</v>
      </c>
      <c r="G65" s="24" t="s">
        <v>3128</v>
      </c>
      <c r="H65" s="24" t="s">
        <v>3318</v>
      </c>
      <c r="I65" s="23"/>
      <c r="J65" s="24"/>
      <c r="K65" s="24"/>
      <c r="L65" s="22" t="s">
        <v>67</v>
      </c>
      <c r="M65" s="23"/>
    </row>
    <row r="66" spans="1:13" ht="51" x14ac:dyDescent="0.25">
      <c r="A66" s="19" t="s">
        <v>351</v>
      </c>
      <c r="B66" s="20" t="s">
        <v>24</v>
      </c>
      <c r="C66" s="20" t="s">
        <v>3073</v>
      </c>
      <c r="D66" s="20" t="s">
        <v>3136</v>
      </c>
      <c r="E66" s="20" t="s">
        <v>3319</v>
      </c>
      <c r="F66" s="20" t="s">
        <v>3320</v>
      </c>
      <c r="G66" s="20" t="s">
        <v>3128</v>
      </c>
      <c r="H66" s="20" t="s">
        <v>3321</v>
      </c>
      <c r="I66" s="19"/>
      <c r="J66" s="20"/>
      <c r="K66" s="20"/>
      <c r="L66" s="26" t="s">
        <v>103</v>
      </c>
      <c r="M66" s="19"/>
    </row>
    <row r="67" spans="1:13" ht="38.25" x14ac:dyDescent="0.25">
      <c r="A67" s="23" t="s">
        <v>356</v>
      </c>
      <c r="B67" s="24" t="s">
        <v>24</v>
      </c>
      <c r="C67" s="24" t="s">
        <v>3073</v>
      </c>
      <c r="D67" s="24" t="s">
        <v>3140</v>
      </c>
      <c r="E67" s="24" t="s">
        <v>3322</v>
      </c>
      <c r="F67" s="24" t="s">
        <v>3142</v>
      </c>
      <c r="G67" s="24" t="s">
        <v>3128</v>
      </c>
      <c r="H67" s="24" t="s">
        <v>599</v>
      </c>
      <c r="I67" s="23"/>
      <c r="J67" s="24"/>
      <c r="K67" s="24"/>
      <c r="L67" s="26" t="s">
        <v>103</v>
      </c>
      <c r="M67" s="23"/>
    </row>
    <row r="68" spans="1:13" ht="38.25" x14ac:dyDescent="0.25">
      <c r="A68" s="19" t="s">
        <v>361</v>
      </c>
      <c r="B68" s="20" t="s">
        <v>24</v>
      </c>
      <c r="C68" s="20" t="s">
        <v>3073</v>
      </c>
      <c r="D68" s="20" t="s">
        <v>3146</v>
      </c>
      <c r="E68" s="20" t="s">
        <v>3146</v>
      </c>
      <c r="F68" s="20" t="s">
        <v>3323</v>
      </c>
      <c r="G68" s="20" t="s">
        <v>3128</v>
      </c>
      <c r="H68" s="20" t="s">
        <v>3321</v>
      </c>
      <c r="I68" s="19"/>
      <c r="J68" s="20"/>
      <c r="K68" s="20"/>
      <c r="L68" s="26" t="s">
        <v>103</v>
      </c>
      <c r="M68" s="19"/>
    </row>
    <row r="69" spans="1:13" ht="38.25" x14ac:dyDescent="0.25">
      <c r="A69" s="23" t="s">
        <v>366</v>
      </c>
      <c r="B69" s="24" t="s">
        <v>24</v>
      </c>
      <c r="C69" s="24" t="s">
        <v>3073</v>
      </c>
      <c r="D69" s="24" t="s">
        <v>3231</v>
      </c>
      <c r="E69" s="24" t="s">
        <v>3231</v>
      </c>
      <c r="F69" s="24" t="s">
        <v>3324</v>
      </c>
      <c r="G69" s="24" t="s">
        <v>3128</v>
      </c>
      <c r="H69" s="24" t="s">
        <v>3325</v>
      </c>
      <c r="I69" s="23"/>
      <c r="J69" s="24"/>
      <c r="K69" s="24"/>
      <c r="L69" s="22" t="s">
        <v>67</v>
      </c>
      <c r="M69" s="23"/>
    </row>
    <row r="70" spans="1:13" ht="38.25" x14ac:dyDescent="0.25">
      <c r="A70" s="19" t="s">
        <v>371</v>
      </c>
      <c r="B70" s="20" t="s">
        <v>24</v>
      </c>
      <c r="C70" s="20" t="s">
        <v>3073</v>
      </c>
      <c r="D70" s="20" t="s">
        <v>3235</v>
      </c>
      <c r="E70" s="20" t="s">
        <v>3235</v>
      </c>
      <c r="F70" s="20" t="s">
        <v>3326</v>
      </c>
      <c r="G70" s="20" t="s">
        <v>3128</v>
      </c>
      <c r="H70" s="20" t="s">
        <v>3327</v>
      </c>
      <c r="I70" s="19"/>
      <c r="J70" s="20"/>
      <c r="K70" s="20"/>
      <c r="L70" s="22" t="s">
        <v>67</v>
      </c>
      <c r="M70" s="19"/>
    </row>
    <row r="71" spans="1:13" ht="38.25" x14ac:dyDescent="0.25">
      <c r="A71" s="23" t="s">
        <v>376</v>
      </c>
      <c r="B71" s="24" t="s">
        <v>24</v>
      </c>
      <c r="C71" s="24" t="s">
        <v>3073</v>
      </c>
      <c r="D71" s="24" t="s">
        <v>3150</v>
      </c>
      <c r="E71" s="24" t="s">
        <v>3328</v>
      </c>
      <c r="F71" s="24" t="s">
        <v>3329</v>
      </c>
      <c r="G71" s="24" t="s">
        <v>3128</v>
      </c>
      <c r="H71" s="24" t="s">
        <v>599</v>
      </c>
      <c r="I71" s="23"/>
      <c r="J71" s="24"/>
      <c r="K71" s="24"/>
      <c r="L71" s="26" t="s">
        <v>103</v>
      </c>
      <c r="M71" s="23"/>
    </row>
    <row r="72" spans="1:13" ht="38.25" x14ac:dyDescent="0.25">
      <c r="A72" s="19" t="s">
        <v>381</v>
      </c>
      <c r="B72" s="20" t="s">
        <v>24</v>
      </c>
      <c r="C72" s="20" t="s">
        <v>3073</v>
      </c>
      <c r="D72" s="20" t="s">
        <v>3330</v>
      </c>
      <c r="E72" s="20" t="s">
        <v>3331</v>
      </c>
      <c r="F72" s="20" t="s">
        <v>3332</v>
      </c>
      <c r="G72" s="20" t="s">
        <v>3128</v>
      </c>
      <c r="H72" s="20" t="s">
        <v>638</v>
      </c>
      <c r="I72" s="19"/>
      <c r="J72" s="20"/>
      <c r="K72" s="20"/>
      <c r="L72" s="25" t="s">
        <v>95</v>
      </c>
      <c r="M72" s="19"/>
    </row>
    <row r="73" spans="1:13" ht="38.25" x14ac:dyDescent="0.25">
      <c r="A73" s="23" t="s">
        <v>387</v>
      </c>
      <c r="B73" s="24" t="s">
        <v>24</v>
      </c>
      <c r="C73" s="24" t="s">
        <v>3073</v>
      </c>
      <c r="D73" s="24" t="s">
        <v>3243</v>
      </c>
      <c r="E73" s="24" t="s">
        <v>3244</v>
      </c>
      <c r="F73" s="24" t="s">
        <v>3333</v>
      </c>
      <c r="G73" s="24" t="s">
        <v>3128</v>
      </c>
      <c r="H73" s="24" t="s">
        <v>3334</v>
      </c>
      <c r="I73" s="23"/>
      <c r="J73" s="24"/>
      <c r="K73" s="24"/>
      <c r="L73" s="22" t="s">
        <v>67</v>
      </c>
      <c r="M73" s="23"/>
    </row>
    <row r="74" spans="1:13" ht="51" x14ac:dyDescent="0.25">
      <c r="A74" s="19" t="s">
        <v>392</v>
      </c>
      <c r="B74" s="20" t="s">
        <v>24</v>
      </c>
      <c r="C74" s="20" t="s">
        <v>3073</v>
      </c>
      <c r="D74" s="20" t="s">
        <v>3247</v>
      </c>
      <c r="E74" s="20" t="s">
        <v>3248</v>
      </c>
      <c r="F74" s="20" t="s">
        <v>3335</v>
      </c>
      <c r="G74" s="20" t="s">
        <v>3128</v>
      </c>
      <c r="H74" s="20" t="s">
        <v>3336</v>
      </c>
      <c r="I74" s="19"/>
      <c r="J74" s="20"/>
      <c r="K74" s="20"/>
      <c r="L74" s="22" t="s">
        <v>67</v>
      </c>
      <c r="M74" s="19"/>
    </row>
    <row r="75" spans="1:13" ht="38.25" x14ac:dyDescent="0.25">
      <c r="A75" s="23" t="s">
        <v>397</v>
      </c>
      <c r="B75" s="24" t="s">
        <v>24</v>
      </c>
      <c r="C75" s="24" t="s">
        <v>3073</v>
      </c>
      <c r="D75" s="24" t="s">
        <v>105</v>
      </c>
      <c r="E75" s="24" t="s">
        <v>3155</v>
      </c>
      <c r="F75" s="24" t="s">
        <v>3337</v>
      </c>
      <c r="G75" s="24" t="s">
        <v>3128</v>
      </c>
      <c r="H75" s="24" t="s">
        <v>2953</v>
      </c>
      <c r="I75" s="23"/>
      <c r="J75" s="24"/>
      <c r="K75" s="24"/>
      <c r="L75" s="25" t="s">
        <v>95</v>
      </c>
      <c r="M75" s="23"/>
    </row>
    <row r="76" spans="1:13" ht="51" x14ac:dyDescent="0.25">
      <c r="A76" s="19" t="s">
        <v>402</v>
      </c>
      <c r="B76" s="20" t="s">
        <v>24</v>
      </c>
      <c r="C76" s="20" t="s">
        <v>3073</v>
      </c>
      <c r="D76" s="20" t="s">
        <v>2423</v>
      </c>
      <c r="E76" s="20" t="s">
        <v>3160</v>
      </c>
      <c r="F76" s="20" t="s">
        <v>3338</v>
      </c>
      <c r="G76" s="20" t="s">
        <v>3122</v>
      </c>
      <c r="H76" s="20" t="s">
        <v>693</v>
      </c>
      <c r="I76" s="19"/>
      <c r="J76" s="20"/>
      <c r="K76" s="20"/>
      <c r="L76" s="25" t="s">
        <v>95</v>
      </c>
      <c r="M76" s="19"/>
    </row>
    <row r="77" spans="1:13" ht="51" x14ac:dyDescent="0.25">
      <c r="A77" s="23" t="s">
        <v>422</v>
      </c>
      <c r="B77" s="24" t="s">
        <v>24</v>
      </c>
      <c r="C77" s="24" t="s">
        <v>173</v>
      </c>
      <c r="D77" s="24" t="s">
        <v>174</v>
      </c>
      <c r="E77" s="24" t="s">
        <v>174</v>
      </c>
      <c r="F77" s="24" t="s">
        <v>686</v>
      </c>
      <c r="G77" s="24" t="s">
        <v>3263</v>
      </c>
      <c r="H77" s="24" t="s">
        <v>687</v>
      </c>
      <c r="I77" s="23"/>
      <c r="J77" s="24"/>
      <c r="K77" s="24"/>
      <c r="L77" s="22" t="s">
        <v>67</v>
      </c>
      <c r="M77" s="23"/>
    </row>
    <row r="78" spans="1:13" ht="38.25" x14ac:dyDescent="0.25">
      <c r="A78" s="19" t="s">
        <v>427</v>
      </c>
      <c r="B78" s="20" t="s">
        <v>24</v>
      </c>
      <c r="C78" s="20" t="s">
        <v>173</v>
      </c>
      <c r="D78" s="20" t="s">
        <v>3252</v>
      </c>
      <c r="E78" s="20" t="s">
        <v>3339</v>
      </c>
      <c r="F78" s="20" t="s">
        <v>3340</v>
      </c>
      <c r="G78" s="20" t="s">
        <v>3263</v>
      </c>
      <c r="H78" s="20" t="s">
        <v>3341</v>
      </c>
      <c r="I78" s="19"/>
      <c r="J78" s="20"/>
      <c r="K78" s="20"/>
      <c r="L78" s="25" t="s">
        <v>95</v>
      </c>
      <c r="M78" s="19"/>
    </row>
    <row r="79" spans="1:13" ht="51" x14ac:dyDescent="0.25">
      <c r="A79" s="23" t="s">
        <v>432</v>
      </c>
      <c r="B79" s="24" t="s">
        <v>24</v>
      </c>
      <c r="C79" s="24" t="s">
        <v>173</v>
      </c>
      <c r="D79" s="24" t="s">
        <v>3256</v>
      </c>
      <c r="E79" s="24" t="s">
        <v>3342</v>
      </c>
      <c r="F79" s="24" t="s">
        <v>3343</v>
      </c>
      <c r="G79" s="24" t="s">
        <v>3263</v>
      </c>
      <c r="H79" s="24" t="s">
        <v>3344</v>
      </c>
      <c r="I79" s="23"/>
      <c r="J79" s="24"/>
      <c r="K79" s="24"/>
      <c r="L79" s="25" t="s">
        <v>95</v>
      </c>
      <c r="M79" s="23"/>
    </row>
    <row r="80" spans="1:13" ht="38.25" x14ac:dyDescent="0.25">
      <c r="A80" s="19" t="s">
        <v>438</v>
      </c>
      <c r="B80" s="20" t="s">
        <v>24</v>
      </c>
      <c r="C80" s="20" t="s">
        <v>173</v>
      </c>
      <c r="D80" s="20" t="s">
        <v>3260</v>
      </c>
      <c r="E80" s="20" t="s">
        <v>3261</v>
      </c>
      <c r="F80" s="20" t="s">
        <v>3345</v>
      </c>
      <c r="G80" s="20" t="s">
        <v>3263</v>
      </c>
      <c r="H80" s="20" t="s">
        <v>3175</v>
      </c>
      <c r="I80" s="19"/>
      <c r="J80" s="20"/>
      <c r="K80" s="20"/>
      <c r="L80" s="22" t="s">
        <v>67</v>
      </c>
      <c r="M80" s="19"/>
    </row>
    <row r="81" spans="1:13" ht="51" x14ac:dyDescent="0.25">
      <c r="A81" s="23" t="s">
        <v>442</v>
      </c>
      <c r="B81" s="24" t="s">
        <v>24</v>
      </c>
      <c r="C81" s="24" t="s">
        <v>173</v>
      </c>
      <c r="D81" s="24" t="s">
        <v>3264</v>
      </c>
      <c r="E81" s="24" t="s">
        <v>3346</v>
      </c>
      <c r="F81" s="24" t="s">
        <v>3347</v>
      </c>
      <c r="G81" s="24" t="s">
        <v>3263</v>
      </c>
      <c r="H81" s="24" t="s">
        <v>3267</v>
      </c>
      <c r="I81" s="23"/>
      <c r="J81" s="24"/>
      <c r="K81" s="24"/>
      <c r="L81" s="27" t="s">
        <v>131</v>
      </c>
      <c r="M81" s="23"/>
    </row>
    <row r="82" spans="1:13" ht="38.25" x14ac:dyDescent="0.25">
      <c r="A82" s="19" t="s">
        <v>509</v>
      </c>
      <c r="B82" s="20" t="s">
        <v>24</v>
      </c>
      <c r="C82" s="20" t="s">
        <v>193</v>
      </c>
      <c r="D82" s="20" t="s">
        <v>194</v>
      </c>
      <c r="E82" s="20" t="s">
        <v>3177</v>
      </c>
      <c r="F82" s="20" t="s">
        <v>3348</v>
      </c>
      <c r="G82" s="20" t="s">
        <v>3194</v>
      </c>
      <c r="H82" s="20" t="s">
        <v>713</v>
      </c>
      <c r="I82" s="19"/>
      <c r="J82" s="20"/>
      <c r="K82" s="20"/>
      <c r="L82" s="25" t="s">
        <v>95</v>
      </c>
      <c r="M82" s="19"/>
    </row>
    <row r="83" spans="1:13" ht="38.25" x14ac:dyDescent="0.25">
      <c r="A83" s="23" t="s">
        <v>513</v>
      </c>
      <c r="B83" s="24" t="s">
        <v>24</v>
      </c>
      <c r="C83" s="24" t="s">
        <v>193</v>
      </c>
      <c r="D83" s="24" t="s">
        <v>200</v>
      </c>
      <c r="E83" s="24" t="s">
        <v>200</v>
      </c>
      <c r="F83" s="24" t="s">
        <v>3183</v>
      </c>
      <c r="G83" s="24" t="s">
        <v>3194</v>
      </c>
      <c r="H83" s="24" t="s">
        <v>716</v>
      </c>
      <c r="I83" s="23"/>
      <c r="J83" s="24"/>
      <c r="K83" s="24"/>
      <c r="L83" s="25" t="s">
        <v>95</v>
      </c>
      <c r="M83" s="23"/>
    </row>
    <row r="84" spans="1:13" ht="51" x14ac:dyDescent="0.25">
      <c r="A84" s="19" t="s">
        <v>517</v>
      </c>
      <c r="B84" s="20" t="s">
        <v>24</v>
      </c>
      <c r="C84" s="20" t="s">
        <v>193</v>
      </c>
      <c r="D84" s="20" t="s">
        <v>3186</v>
      </c>
      <c r="E84" s="20" t="s">
        <v>3349</v>
      </c>
      <c r="F84" s="20" t="s">
        <v>3350</v>
      </c>
      <c r="G84" s="20" t="s">
        <v>3194</v>
      </c>
      <c r="H84" s="20" t="s">
        <v>3351</v>
      </c>
      <c r="I84" s="19"/>
      <c r="J84" s="20"/>
      <c r="K84" s="20"/>
      <c r="L84" s="25" t="s">
        <v>95</v>
      </c>
      <c r="M84" s="19"/>
    </row>
    <row r="85" spans="1:13" ht="51" x14ac:dyDescent="0.25">
      <c r="A85" s="23" t="s">
        <v>520</v>
      </c>
      <c r="B85" s="24" t="s">
        <v>24</v>
      </c>
      <c r="C85" s="24" t="s">
        <v>193</v>
      </c>
      <c r="D85" s="24" t="s">
        <v>3270</v>
      </c>
      <c r="E85" s="24" t="s">
        <v>3352</v>
      </c>
      <c r="F85" s="24" t="s">
        <v>3353</v>
      </c>
      <c r="G85" s="24" t="s">
        <v>3194</v>
      </c>
      <c r="H85" s="24" t="s">
        <v>3354</v>
      </c>
      <c r="I85" s="23"/>
      <c r="J85" s="24"/>
      <c r="K85" s="24"/>
      <c r="L85" s="22" t="s">
        <v>67</v>
      </c>
      <c r="M85" s="23"/>
    </row>
    <row r="86" spans="1:13" ht="25.5" x14ac:dyDescent="0.25">
      <c r="A86" s="19" t="s">
        <v>1048</v>
      </c>
      <c r="B86" s="20" t="s">
        <v>24</v>
      </c>
      <c r="C86" s="20" t="s">
        <v>193</v>
      </c>
      <c r="D86" s="20" t="s">
        <v>206</v>
      </c>
      <c r="E86" s="20" t="s">
        <v>207</v>
      </c>
      <c r="F86" s="20" t="s">
        <v>3198</v>
      </c>
      <c r="G86" s="20" t="s">
        <v>3194</v>
      </c>
      <c r="H86" s="20" t="s">
        <v>719</v>
      </c>
      <c r="I86" s="19"/>
      <c r="J86" s="20"/>
      <c r="K86" s="20"/>
      <c r="L86" s="22" t="s">
        <v>67</v>
      </c>
      <c r="M86" s="19"/>
    </row>
    <row r="87" spans="1:13" ht="51" x14ac:dyDescent="0.25">
      <c r="A87" s="23" t="s">
        <v>1054</v>
      </c>
      <c r="B87" s="24" t="s">
        <v>24</v>
      </c>
      <c r="C87" s="24" t="s">
        <v>193</v>
      </c>
      <c r="D87" s="24" t="s">
        <v>3275</v>
      </c>
      <c r="E87" s="24" t="s">
        <v>3275</v>
      </c>
      <c r="F87" s="24" t="s">
        <v>3355</v>
      </c>
      <c r="G87" s="24" t="s">
        <v>3194</v>
      </c>
      <c r="H87" s="24" t="s">
        <v>737</v>
      </c>
      <c r="I87" s="23"/>
      <c r="J87" s="24"/>
      <c r="K87" s="24"/>
      <c r="L87" s="25" t="s">
        <v>95</v>
      </c>
      <c r="M87" s="23"/>
    </row>
    <row r="88" spans="1:13" ht="38.25" x14ac:dyDescent="0.25">
      <c r="A88" s="19" t="s">
        <v>1059</v>
      </c>
      <c r="B88" s="20" t="s">
        <v>24</v>
      </c>
      <c r="C88" s="20" t="s">
        <v>193</v>
      </c>
      <c r="D88" s="20" t="s">
        <v>3191</v>
      </c>
      <c r="E88" s="20" t="s">
        <v>3356</v>
      </c>
      <c r="F88" s="20" t="s">
        <v>3357</v>
      </c>
      <c r="G88" s="20" t="s">
        <v>3194</v>
      </c>
      <c r="H88" s="20" t="s">
        <v>3358</v>
      </c>
      <c r="I88" s="19"/>
      <c r="J88" s="20"/>
      <c r="K88" s="20"/>
      <c r="L88" s="26" t="s">
        <v>103</v>
      </c>
      <c r="M88" s="19"/>
    </row>
    <row r="89" spans="1:13" ht="51" x14ac:dyDescent="0.25">
      <c r="A89" s="23" t="s">
        <v>1064</v>
      </c>
      <c r="B89" s="24" t="s">
        <v>24</v>
      </c>
      <c r="C89" s="24" t="s">
        <v>193</v>
      </c>
      <c r="D89" s="24" t="s">
        <v>403</v>
      </c>
      <c r="E89" s="24" t="s">
        <v>403</v>
      </c>
      <c r="F89" s="24" t="s">
        <v>3359</v>
      </c>
      <c r="G89" s="24" t="s">
        <v>3194</v>
      </c>
      <c r="H89" s="24" t="s">
        <v>734</v>
      </c>
      <c r="I89" s="23"/>
      <c r="J89" s="24"/>
      <c r="K89" s="24"/>
      <c r="L89" s="22" t="s">
        <v>67</v>
      </c>
      <c r="M89" s="23"/>
    </row>
    <row r="90" spans="1:13" ht="38.25" x14ac:dyDescent="0.25">
      <c r="A90" s="19" t="s">
        <v>523</v>
      </c>
      <c r="B90" s="20" t="s">
        <v>24</v>
      </c>
      <c r="C90" s="20" t="s">
        <v>778</v>
      </c>
      <c r="D90" s="20" t="s">
        <v>779</v>
      </c>
      <c r="E90" s="20" t="s">
        <v>779</v>
      </c>
      <c r="F90" s="20" t="s">
        <v>780</v>
      </c>
      <c r="G90" s="20" t="s">
        <v>3360</v>
      </c>
      <c r="H90" s="20" t="s">
        <v>782</v>
      </c>
      <c r="I90" s="19"/>
      <c r="J90" s="20"/>
      <c r="K90" s="20"/>
      <c r="L90" s="25" t="s">
        <v>95</v>
      </c>
      <c r="M90" s="19"/>
    </row>
    <row r="91" spans="1:13" ht="25.5" x14ac:dyDescent="0.25">
      <c r="A91" s="23" t="s">
        <v>557</v>
      </c>
      <c r="B91" s="24" t="s">
        <v>24</v>
      </c>
      <c r="C91" s="24" t="s">
        <v>792</v>
      </c>
      <c r="D91" s="24" t="s">
        <v>793</v>
      </c>
      <c r="E91" s="24" t="s">
        <v>793</v>
      </c>
      <c r="F91" s="24" t="s">
        <v>3361</v>
      </c>
      <c r="G91" s="24" t="s">
        <v>3362</v>
      </c>
      <c r="H91" s="24" t="s">
        <v>797</v>
      </c>
      <c r="I91" s="23"/>
      <c r="J91" s="24"/>
      <c r="K91" s="24"/>
      <c r="L91" s="25" t="s">
        <v>95</v>
      </c>
      <c r="M91" s="23"/>
    </row>
    <row r="92" spans="1:13" ht="25.5" x14ac:dyDescent="0.25">
      <c r="A92" s="19" t="s">
        <v>562</v>
      </c>
      <c r="B92" s="20" t="s">
        <v>24</v>
      </c>
      <c r="C92" s="20" t="s">
        <v>792</v>
      </c>
      <c r="D92" s="20" t="s">
        <v>798</v>
      </c>
      <c r="E92" s="20" t="s">
        <v>798</v>
      </c>
      <c r="F92" s="20" t="s">
        <v>3363</v>
      </c>
      <c r="G92" s="20" t="s">
        <v>3362</v>
      </c>
      <c r="H92" s="20" t="s">
        <v>800</v>
      </c>
      <c r="I92" s="19"/>
      <c r="J92" s="20"/>
      <c r="K92" s="20"/>
      <c r="L92" s="25" t="s">
        <v>95</v>
      </c>
      <c r="M92" s="19"/>
    </row>
    <row r="93" spans="1:13" ht="51" x14ac:dyDescent="0.25">
      <c r="A93" s="23" t="s">
        <v>588</v>
      </c>
      <c r="B93" s="24" t="s">
        <v>24</v>
      </c>
      <c r="C93" s="24" t="s">
        <v>460</v>
      </c>
      <c r="D93" s="24" t="s">
        <v>461</v>
      </c>
      <c r="E93" s="24" t="s">
        <v>461</v>
      </c>
      <c r="F93" s="24" t="s">
        <v>3364</v>
      </c>
      <c r="G93" s="24" t="s">
        <v>3284</v>
      </c>
      <c r="H93" s="24" t="s">
        <v>785</v>
      </c>
      <c r="I93" s="23"/>
      <c r="J93" s="24"/>
      <c r="K93" s="24"/>
      <c r="L93" s="22" t="s">
        <v>67</v>
      </c>
      <c r="M93" s="23"/>
    </row>
    <row r="94" spans="1:13" ht="51" x14ac:dyDescent="0.25">
      <c r="A94" s="19" t="s">
        <v>591</v>
      </c>
      <c r="B94" s="20" t="s">
        <v>24</v>
      </c>
      <c r="C94" s="20" t="s">
        <v>460</v>
      </c>
      <c r="D94" s="20" t="s">
        <v>3285</v>
      </c>
      <c r="E94" s="20" t="s">
        <v>3286</v>
      </c>
      <c r="F94" s="20" t="s">
        <v>3365</v>
      </c>
      <c r="G94" s="20" t="s">
        <v>3284</v>
      </c>
      <c r="H94" s="20" t="s">
        <v>3366</v>
      </c>
      <c r="I94" s="19"/>
      <c r="J94" s="20"/>
      <c r="K94" s="20"/>
      <c r="L94" s="26" t="s">
        <v>103</v>
      </c>
      <c r="M94" s="19"/>
    </row>
    <row r="95" spans="1:13" ht="38.25" x14ac:dyDescent="0.25">
      <c r="A95" s="23" t="s">
        <v>620</v>
      </c>
      <c r="B95" s="24" t="s">
        <v>24</v>
      </c>
      <c r="C95" s="24" t="s">
        <v>2574</v>
      </c>
      <c r="D95" s="24" t="s">
        <v>3367</v>
      </c>
      <c r="E95" s="24" t="s">
        <v>180</v>
      </c>
      <c r="F95" s="24" t="s">
        <v>3368</v>
      </c>
      <c r="G95" s="24" t="s">
        <v>3369</v>
      </c>
      <c r="H95" s="24" t="s">
        <v>2978</v>
      </c>
      <c r="I95" s="23"/>
      <c r="J95" s="24"/>
      <c r="K95" s="24"/>
      <c r="L95" s="22" t="s">
        <v>67</v>
      </c>
      <c r="M95" s="2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8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2" customWidth="1"/>
    <col min="3" max="3" width="16" customWidth="1"/>
    <col min="4" max="4" width="22" customWidth="1"/>
    <col min="5" max="5" width="35" customWidth="1"/>
    <col min="6" max="6" width="50" customWidth="1"/>
    <col min="7" max="7" width="40" customWidth="1"/>
    <col min="8" max="8" width="45" customWidth="1"/>
    <col min="9" max="9" width="10" customWidth="1"/>
    <col min="10" max="10" width="15" customWidth="1"/>
    <col min="11" max="11" width="20" customWidth="1"/>
    <col min="12" max="13" width="12" customWidth="1"/>
  </cols>
  <sheetData>
    <row r="1" spans="1:13" ht="30" customHeight="1" x14ac:dyDescent="0.25">
      <c r="A1" s="18" t="s">
        <v>47</v>
      </c>
      <c r="B1" s="18" t="s">
        <v>48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53</v>
      </c>
      <c r="H1" s="18" t="s">
        <v>54</v>
      </c>
      <c r="I1" s="18" t="s">
        <v>55</v>
      </c>
      <c r="J1" s="18" t="s">
        <v>56</v>
      </c>
      <c r="K1" s="18" t="s">
        <v>19</v>
      </c>
      <c r="L1" s="18" t="s">
        <v>57</v>
      </c>
      <c r="M1" s="18" t="s">
        <v>58</v>
      </c>
    </row>
    <row r="2" spans="1:13" ht="25.5" x14ac:dyDescent="0.25">
      <c r="A2" s="19" t="s">
        <v>231</v>
      </c>
      <c r="B2" s="20" t="s">
        <v>45</v>
      </c>
      <c r="C2" s="20" t="s">
        <v>778</v>
      </c>
      <c r="D2" s="20" t="s">
        <v>22</v>
      </c>
      <c r="E2" s="20" t="s">
        <v>3370</v>
      </c>
      <c r="F2" s="20" t="s">
        <v>3371</v>
      </c>
      <c r="G2" s="20" t="s">
        <v>476</v>
      </c>
      <c r="H2" s="20" t="s">
        <v>3372</v>
      </c>
      <c r="I2" s="19"/>
      <c r="J2" s="20"/>
      <c r="K2" s="20"/>
      <c r="L2" s="25" t="s">
        <v>95</v>
      </c>
      <c r="M2" s="19"/>
    </row>
    <row r="3" spans="1:13" ht="25.5" x14ac:dyDescent="0.25">
      <c r="A3" s="23" t="s">
        <v>236</v>
      </c>
      <c r="B3" s="24" t="s">
        <v>45</v>
      </c>
      <c r="C3" s="24" t="s">
        <v>778</v>
      </c>
      <c r="D3" s="24" t="s">
        <v>3373</v>
      </c>
      <c r="E3" s="24" t="s">
        <v>3374</v>
      </c>
      <c r="F3" s="24" t="s">
        <v>3375</v>
      </c>
      <c r="G3" s="24" t="s">
        <v>476</v>
      </c>
      <c r="H3" s="24" t="s">
        <v>3376</v>
      </c>
      <c r="I3" s="23"/>
      <c r="J3" s="24"/>
      <c r="K3" s="24"/>
      <c r="L3" s="22" t="s">
        <v>67</v>
      </c>
      <c r="M3" s="23"/>
    </row>
    <row r="4" spans="1:13" ht="25.5" x14ac:dyDescent="0.25">
      <c r="A4" s="19" t="s">
        <v>243</v>
      </c>
      <c r="B4" s="20" t="s">
        <v>45</v>
      </c>
      <c r="C4" s="20" t="s">
        <v>778</v>
      </c>
      <c r="D4" s="20" t="s">
        <v>3377</v>
      </c>
      <c r="E4" s="20" t="s">
        <v>2030</v>
      </c>
      <c r="F4" s="20" t="s">
        <v>3378</v>
      </c>
      <c r="G4" s="20" t="s">
        <v>476</v>
      </c>
      <c r="H4" s="20" t="s">
        <v>3379</v>
      </c>
      <c r="I4" s="19"/>
      <c r="J4" s="20"/>
      <c r="K4" s="20"/>
      <c r="L4" s="27" t="s">
        <v>131</v>
      </c>
      <c r="M4" s="19"/>
    </row>
    <row r="5" spans="1:13" ht="38.25" x14ac:dyDescent="0.25">
      <c r="A5" s="23" t="s">
        <v>248</v>
      </c>
      <c r="B5" s="24" t="s">
        <v>45</v>
      </c>
      <c r="C5" s="24" t="s">
        <v>3380</v>
      </c>
      <c r="D5" s="24" t="s">
        <v>3381</v>
      </c>
      <c r="E5" s="24" t="s">
        <v>3382</v>
      </c>
      <c r="F5" s="24" t="s">
        <v>3383</v>
      </c>
      <c r="G5" s="24" t="s">
        <v>476</v>
      </c>
      <c r="H5" s="24" t="s">
        <v>3384</v>
      </c>
      <c r="I5" s="23"/>
      <c r="J5" s="24"/>
      <c r="K5" s="24"/>
      <c r="L5" s="26" t="s">
        <v>103</v>
      </c>
      <c r="M5" s="23"/>
    </row>
    <row r="6" spans="1:13" ht="25.5" x14ac:dyDescent="0.25">
      <c r="A6" s="19" t="s">
        <v>253</v>
      </c>
      <c r="B6" s="20" t="s">
        <v>45</v>
      </c>
      <c r="C6" s="20" t="s">
        <v>3380</v>
      </c>
      <c r="D6" s="20" t="s">
        <v>2482</v>
      </c>
      <c r="E6" s="20" t="s">
        <v>3385</v>
      </c>
      <c r="F6" s="20" t="s">
        <v>3386</v>
      </c>
      <c r="G6" s="20" t="s">
        <v>476</v>
      </c>
      <c r="H6" s="20" t="s">
        <v>3387</v>
      </c>
      <c r="I6" s="19"/>
      <c r="J6" s="20"/>
      <c r="K6" s="20"/>
      <c r="L6" s="22" t="s">
        <v>67</v>
      </c>
      <c r="M6" s="19"/>
    </row>
    <row r="7" spans="1:13" ht="25.5" x14ac:dyDescent="0.25">
      <c r="A7" s="23" t="s">
        <v>259</v>
      </c>
      <c r="B7" s="24" t="s">
        <v>45</v>
      </c>
      <c r="C7" s="24" t="s">
        <v>3388</v>
      </c>
      <c r="D7" s="24" t="s">
        <v>3389</v>
      </c>
      <c r="E7" s="24" t="s">
        <v>3390</v>
      </c>
      <c r="F7" s="24" t="s">
        <v>3391</v>
      </c>
      <c r="G7" s="24" t="s">
        <v>476</v>
      </c>
      <c r="H7" s="24" t="s">
        <v>3392</v>
      </c>
      <c r="I7" s="23"/>
      <c r="J7" s="24"/>
      <c r="K7" s="24"/>
      <c r="L7" s="26" t="s">
        <v>103</v>
      </c>
      <c r="M7" s="23"/>
    </row>
    <row r="8" spans="1:13" ht="25.5" x14ac:dyDescent="0.25">
      <c r="A8" s="19" t="s">
        <v>264</v>
      </c>
      <c r="B8" s="20" t="s">
        <v>45</v>
      </c>
      <c r="C8" s="20" t="s">
        <v>3388</v>
      </c>
      <c r="D8" s="20" t="s">
        <v>60</v>
      </c>
      <c r="E8" s="20" t="s">
        <v>3393</v>
      </c>
      <c r="F8" s="20" t="s">
        <v>3394</v>
      </c>
      <c r="G8" s="20" t="s">
        <v>476</v>
      </c>
      <c r="H8" s="20" t="s">
        <v>3395</v>
      </c>
      <c r="I8" s="19"/>
      <c r="J8" s="20"/>
      <c r="K8" s="20"/>
      <c r="L8" s="26" t="s">
        <v>103</v>
      </c>
      <c r="M8" s="19"/>
    </row>
    <row r="9" spans="1:13" ht="25.5" x14ac:dyDescent="0.25">
      <c r="A9" s="23" t="s">
        <v>269</v>
      </c>
      <c r="B9" s="24" t="s">
        <v>45</v>
      </c>
      <c r="C9" s="24" t="s">
        <v>3396</v>
      </c>
      <c r="D9" s="24" t="s">
        <v>3397</v>
      </c>
      <c r="E9" s="24" t="s">
        <v>3398</v>
      </c>
      <c r="F9" s="24" t="s">
        <v>3399</v>
      </c>
      <c r="G9" s="24" t="s">
        <v>476</v>
      </c>
      <c r="H9" s="24" t="s">
        <v>3400</v>
      </c>
      <c r="I9" s="23"/>
      <c r="J9" s="24"/>
      <c r="K9" s="24"/>
      <c r="L9" s="25" t="s">
        <v>95</v>
      </c>
      <c r="M9" s="23"/>
    </row>
    <row r="10" spans="1:13" ht="25.5" x14ac:dyDescent="0.25">
      <c r="A10" s="19" t="s">
        <v>275</v>
      </c>
      <c r="B10" s="20" t="s">
        <v>45</v>
      </c>
      <c r="C10" s="20" t="s">
        <v>2262</v>
      </c>
      <c r="D10" s="20" t="s">
        <v>3401</v>
      </c>
      <c r="E10" s="20" t="s">
        <v>3402</v>
      </c>
      <c r="F10" s="20" t="s">
        <v>3403</v>
      </c>
      <c r="G10" s="20" t="s">
        <v>476</v>
      </c>
      <c r="H10" s="20" t="s">
        <v>3404</v>
      </c>
      <c r="I10" s="19"/>
      <c r="J10" s="20"/>
      <c r="K10" s="20"/>
      <c r="L10" s="22" t="s">
        <v>67</v>
      </c>
      <c r="M10" s="19"/>
    </row>
    <row r="11" spans="1:13" ht="25.5" x14ac:dyDescent="0.25">
      <c r="A11" s="23" t="s">
        <v>281</v>
      </c>
      <c r="B11" s="24" t="s">
        <v>45</v>
      </c>
      <c r="C11" s="24" t="s">
        <v>3405</v>
      </c>
      <c r="D11" s="24" t="s">
        <v>3406</v>
      </c>
      <c r="E11" s="24" t="s">
        <v>3407</v>
      </c>
      <c r="F11" s="24" t="s">
        <v>3408</v>
      </c>
      <c r="G11" s="24" t="s">
        <v>476</v>
      </c>
      <c r="H11" s="24" t="s">
        <v>3409</v>
      </c>
      <c r="I11" s="23"/>
      <c r="J11" s="24"/>
      <c r="K11" s="24"/>
      <c r="L11" s="25" t="s">
        <v>95</v>
      </c>
      <c r="M11" s="23"/>
    </row>
    <row r="12" spans="1:13" ht="63.75" x14ac:dyDescent="0.25">
      <c r="A12" s="19" t="s">
        <v>3410</v>
      </c>
      <c r="B12" s="20" t="s">
        <v>45</v>
      </c>
      <c r="C12" s="20" t="s">
        <v>3388</v>
      </c>
      <c r="D12" s="20" t="s">
        <v>3411</v>
      </c>
      <c r="E12" s="20" t="s">
        <v>3412</v>
      </c>
      <c r="F12" s="20" t="s">
        <v>3413</v>
      </c>
      <c r="G12" s="20" t="s">
        <v>476</v>
      </c>
      <c r="H12" s="20" t="s">
        <v>3414</v>
      </c>
      <c r="I12" s="19"/>
      <c r="J12" s="20"/>
      <c r="K12" s="20"/>
      <c r="L12" s="26" t="s">
        <v>103</v>
      </c>
      <c r="M12" s="19"/>
    </row>
    <row r="13" spans="1:13" ht="51" x14ac:dyDescent="0.25">
      <c r="A13" s="23" t="s">
        <v>3415</v>
      </c>
      <c r="B13" s="24" t="s">
        <v>45</v>
      </c>
      <c r="C13" s="24" t="s">
        <v>3388</v>
      </c>
      <c r="D13" s="24" t="s">
        <v>3416</v>
      </c>
      <c r="E13" s="24" t="s">
        <v>3417</v>
      </c>
      <c r="F13" s="24" t="s">
        <v>3418</v>
      </c>
      <c r="G13" s="24" t="s">
        <v>476</v>
      </c>
      <c r="H13" s="24" t="s">
        <v>3419</v>
      </c>
      <c r="I13" s="23"/>
      <c r="J13" s="24"/>
      <c r="K13" s="24"/>
      <c r="L13" s="26" t="s">
        <v>103</v>
      </c>
      <c r="M13" s="23"/>
    </row>
    <row r="14" spans="1:13" ht="51" x14ac:dyDescent="0.25">
      <c r="A14" s="19" t="s">
        <v>711</v>
      </c>
      <c r="B14" s="20" t="s">
        <v>45</v>
      </c>
      <c r="C14" s="20" t="s">
        <v>3388</v>
      </c>
      <c r="D14" s="20" t="s">
        <v>3420</v>
      </c>
      <c r="E14" s="20" t="s">
        <v>3421</v>
      </c>
      <c r="F14" s="20" t="s">
        <v>3422</v>
      </c>
      <c r="G14" s="20" t="s">
        <v>476</v>
      </c>
      <c r="H14" s="20" t="s">
        <v>3423</v>
      </c>
      <c r="I14" s="19"/>
      <c r="J14" s="20"/>
      <c r="K14" s="20"/>
      <c r="L14" s="26" t="s">
        <v>103</v>
      </c>
      <c r="M14" s="19"/>
    </row>
    <row r="15" spans="1:13" ht="63.75" x14ac:dyDescent="0.25">
      <c r="A15" s="23" t="s">
        <v>714</v>
      </c>
      <c r="B15" s="24" t="s">
        <v>45</v>
      </c>
      <c r="C15" s="24" t="s">
        <v>3388</v>
      </c>
      <c r="D15" s="24" t="s">
        <v>1353</v>
      </c>
      <c r="E15" s="24" t="s">
        <v>3424</v>
      </c>
      <c r="F15" s="24" t="s">
        <v>3425</v>
      </c>
      <c r="G15" s="24" t="s">
        <v>476</v>
      </c>
      <c r="H15" s="24" t="s">
        <v>2795</v>
      </c>
      <c r="I15" s="23"/>
      <c r="J15" s="24"/>
      <c r="K15" s="24"/>
      <c r="L15" s="22" t="s">
        <v>67</v>
      </c>
      <c r="M15" s="23"/>
    </row>
    <row r="16" spans="1:13" ht="63.75" x14ac:dyDescent="0.25">
      <c r="A16" s="19" t="s">
        <v>717</v>
      </c>
      <c r="B16" s="20" t="s">
        <v>45</v>
      </c>
      <c r="C16" s="20" t="s">
        <v>3396</v>
      </c>
      <c r="D16" s="20" t="s">
        <v>3426</v>
      </c>
      <c r="E16" s="20" t="s">
        <v>3427</v>
      </c>
      <c r="F16" s="20" t="s">
        <v>3428</v>
      </c>
      <c r="G16" s="20" t="s">
        <v>476</v>
      </c>
      <c r="H16" s="20" t="s">
        <v>3400</v>
      </c>
      <c r="I16" s="19"/>
      <c r="J16" s="20"/>
      <c r="K16" s="20"/>
      <c r="L16" s="22" t="s">
        <v>67</v>
      </c>
      <c r="M16" s="19"/>
    </row>
    <row r="17" spans="1:13" ht="63.75" x14ac:dyDescent="0.25">
      <c r="A17" s="23" t="s">
        <v>720</v>
      </c>
      <c r="B17" s="24" t="s">
        <v>45</v>
      </c>
      <c r="C17" s="24" t="s">
        <v>3396</v>
      </c>
      <c r="D17" s="24" t="s">
        <v>3429</v>
      </c>
      <c r="E17" s="24" t="s">
        <v>3430</v>
      </c>
      <c r="F17" s="24" t="s">
        <v>3431</v>
      </c>
      <c r="G17" s="24" t="s">
        <v>476</v>
      </c>
      <c r="H17" s="24" t="s">
        <v>3432</v>
      </c>
      <c r="I17" s="23"/>
      <c r="J17" s="24"/>
      <c r="K17" s="24"/>
      <c r="L17" s="26" t="s">
        <v>103</v>
      </c>
      <c r="M17" s="23"/>
    </row>
    <row r="18" spans="1:13" ht="63.75" x14ac:dyDescent="0.25">
      <c r="A18" s="19" t="s">
        <v>723</v>
      </c>
      <c r="B18" s="20" t="s">
        <v>45</v>
      </c>
      <c r="C18" s="20" t="s">
        <v>3396</v>
      </c>
      <c r="D18" s="20" t="s">
        <v>3433</v>
      </c>
      <c r="E18" s="20" t="s">
        <v>3434</v>
      </c>
      <c r="F18" s="20" t="s">
        <v>3435</v>
      </c>
      <c r="G18" s="20" t="s">
        <v>476</v>
      </c>
      <c r="H18" s="20" t="s">
        <v>3436</v>
      </c>
      <c r="I18" s="19"/>
      <c r="J18" s="20"/>
      <c r="K18" s="20"/>
      <c r="L18" s="25" t="s">
        <v>95</v>
      </c>
      <c r="M18" s="19"/>
    </row>
    <row r="19" spans="1:13" ht="63.75" x14ac:dyDescent="0.25">
      <c r="A19" s="23" t="s">
        <v>726</v>
      </c>
      <c r="B19" s="24" t="s">
        <v>45</v>
      </c>
      <c r="C19" s="24" t="s">
        <v>3437</v>
      </c>
      <c r="D19" s="24" t="s">
        <v>3438</v>
      </c>
      <c r="E19" s="24" t="s">
        <v>3439</v>
      </c>
      <c r="F19" s="24" t="s">
        <v>3440</v>
      </c>
      <c r="G19" s="24" t="s">
        <v>476</v>
      </c>
      <c r="H19" s="24" t="s">
        <v>2260</v>
      </c>
      <c r="I19" s="23"/>
      <c r="J19" s="24"/>
      <c r="K19" s="24"/>
      <c r="L19" s="27" t="s">
        <v>131</v>
      </c>
      <c r="M19" s="23"/>
    </row>
    <row r="20" spans="1:13" ht="63.75" x14ac:dyDescent="0.25">
      <c r="A20" s="19" t="s">
        <v>729</v>
      </c>
      <c r="B20" s="20" t="s">
        <v>45</v>
      </c>
      <c r="C20" s="20" t="s">
        <v>3437</v>
      </c>
      <c r="D20" s="20" t="s">
        <v>3441</v>
      </c>
      <c r="E20" s="20" t="s">
        <v>3442</v>
      </c>
      <c r="F20" s="20" t="s">
        <v>3443</v>
      </c>
      <c r="G20" s="20" t="s">
        <v>476</v>
      </c>
      <c r="H20" s="20" t="s">
        <v>3444</v>
      </c>
      <c r="I20" s="19"/>
      <c r="J20" s="20"/>
      <c r="K20" s="20"/>
      <c r="L20" s="22" t="s">
        <v>67</v>
      </c>
      <c r="M20" s="19"/>
    </row>
    <row r="21" spans="1:13" ht="63.75" x14ac:dyDescent="0.25">
      <c r="A21" s="23" t="s">
        <v>732</v>
      </c>
      <c r="B21" s="24" t="s">
        <v>45</v>
      </c>
      <c r="C21" s="24" t="s">
        <v>3437</v>
      </c>
      <c r="D21" s="24" t="s">
        <v>3445</v>
      </c>
      <c r="E21" s="24" t="s">
        <v>3446</v>
      </c>
      <c r="F21" s="24" t="s">
        <v>3447</v>
      </c>
      <c r="G21" s="24" t="s">
        <v>476</v>
      </c>
      <c r="H21" s="24" t="s">
        <v>3448</v>
      </c>
      <c r="I21" s="23"/>
      <c r="J21" s="24"/>
      <c r="K21" s="24"/>
      <c r="L21" s="22" t="s">
        <v>67</v>
      </c>
      <c r="M21" s="23"/>
    </row>
    <row r="22" spans="1:13" ht="63.75" x14ac:dyDescent="0.25">
      <c r="A22" s="19" t="s">
        <v>735</v>
      </c>
      <c r="B22" s="20" t="s">
        <v>45</v>
      </c>
      <c r="C22" s="20" t="s">
        <v>2262</v>
      </c>
      <c r="D22" s="20" t="s">
        <v>3449</v>
      </c>
      <c r="E22" s="20" t="s">
        <v>3450</v>
      </c>
      <c r="F22" s="20" t="s">
        <v>3451</v>
      </c>
      <c r="G22" s="20" t="s">
        <v>476</v>
      </c>
      <c r="H22" s="20" t="s">
        <v>3452</v>
      </c>
      <c r="I22" s="19"/>
      <c r="J22" s="20"/>
      <c r="K22" s="20"/>
      <c r="L22" s="22" t="s">
        <v>67</v>
      </c>
      <c r="M22" s="19"/>
    </row>
    <row r="23" spans="1:13" ht="63.75" x14ac:dyDescent="0.25">
      <c r="A23" s="23" t="s">
        <v>738</v>
      </c>
      <c r="B23" s="24" t="s">
        <v>45</v>
      </c>
      <c r="C23" s="24" t="s">
        <v>2262</v>
      </c>
      <c r="D23" s="24" t="s">
        <v>3453</v>
      </c>
      <c r="E23" s="24" t="s">
        <v>3454</v>
      </c>
      <c r="F23" s="24" t="s">
        <v>3455</v>
      </c>
      <c r="G23" s="24" t="s">
        <v>476</v>
      </c>
      <c r="H23" s="24" t="s">
        <v>3456</v>
      </c>
      <c r="I23" s="23"/>
      <c r="J23" s="24"/>
      <c r="K23" s="24"/>
      <c r="L23" s="25" t="s">
        <v>95</v>
      </c>
      <c r="M23" s="23"/>
    </row>
    <row r="24" spans="1:13" ht="63.75" x14ac:dyDescent="0.25">
      <c r="A24" s="19" t="s">
        <v>741</v>
      </c>
      <c r="B24" s="20" t="s">
        <v>45</v>
      </c>
      <c r="C24" s="20" t="s">
        <v>2262</v>
      </c>
      <c r="D24" s="20" t="s">
        <v>2263</v>
      </c>
      <c r="E24" s="20" t="s">
        <v>3457</v>
      </c>
      <c r="F24" s="20" t="s">
        <v>3458</v>
      </c>
      <c r="G24" s="20" t="s">
        <v>476</v>
      </c>
      <c r="H24" s="20" t="s">
        <v>3459</v>
      </c>
      <c r="I24" s="19"/>
      <c r="J24" s="20"/>
      <c r="K24" s="20"/>
      <c r="L24" s="27" t="s">
        <v>131</v>
      </c>
      <c r="M24" s="19"/>
    </row>
    <row r="25" spans="1:13" ht="63.75" x14ac:dyDescent="0.25">
      <c r="A25" s="23" t="s">
        <v>745</v>
      </c>
      <c r="B25" s="24" t="s">
        <v>45</v>
      </c>
      <c r="C25" s="24" t="s">
        <v>1167</v>
      </c>
      <c r="D25" s="24" t="s">
        <v>2117</v>
      </c>
      <c r="E25" s="24" t="s">
        <v>3460</v>
      </c>
      <c r="F25" s="24" t="s">
        <v>3461</v>
      </c>
      <c r="G25" s="24" t="s">
        <v>476</v>
      </c>
      <c r="H25" s="24" t="s">
        <v>3462</v>
      </c>
      <c r="I25" s="23"/>
      <c r="J25" s="24"/>
      <c r="K25" s="24"/>
      <c r="L25" s="26" t="s">
        <v>103</v>
      </c>
      <c r="M25" s="23"/>
    </row>
    <row r="26" spans="1:13" ht="63.75" x14ac:dyDescent="0.25">
      <c r="A26" s="19" t="s">
        <v>748</v>
      </c>
      <c r="B26" s="20" t="s">
        <v>45</v>
      </c>
      <c r="C26" s="20" t="s">
        <v>1167</v>
      </c>
      <c r="D26" s="20" t="s">
        <v>3463</v>
      </c>
      <c r="E26" s="20" t="s">
        <v>3464</v>
      </c>
      <c r="F26" s="20" t="s">
        <v>3465</v>
      </c>
      <c r="G26" s="20" t="s">
        <v>476</v>
      </c>
      <c r="H26" s="20" t="s">
        <v>3466</v>
      </c>
      <c r="I26" s="19"/>
      <c r="J26" s="20"/>
      <c r="K26" s="20"/>
      <c r="L26" s="22" t="s">
        <v>67</v>
      </c>
      <c r="M26" s="19"/>
    </row>
    <row r="27" spans="1:13" ht="63.75" x14ac:dyDescent="0.25">
      <c r="A27" s="23" t="s">
        <v>3467</v>
      </c>
      <c r="B27" s="24" t="s">
        <v>45</v>
      </c>
      <c r="C27" s="24" t="s">
        <v>1167</v>
      </c>
      <c r="D27" s="24" t="s">
        <v>3468</v>
      </c>
      <c r="E27" s="24" t="s">
        <v>3469</v>
      </c>
      <c r="F27" s="24" t="s">
        <v>3470</v>
      </c>
      <c r="G27" s="24" t="s">
        <v>476</v>
      </c>
      <c r="H27" s="24" t="s">
        <v>3471</v>
      </c>
      <c r="I27" s="23"/>
      <c r="J27" s="24"/>
      <c r="K27" s="24"/>
      <c r="L27" s="25" t="s">
        <v>95</v>
      </c>
      <c r="M27" s="23"/>
    </row>
    <row r="28" spans="1:13" ht="63.75" x14ac:dyDescent="0.25">
      <c r="A28" s="19" t="s">
        <v>3472</v>
      </c>
      <c r="B28" s="20" t="s">
        <v>45</v>
      </c>
      <c r="C28" s="20" t="s">
        <v>1167</v>
      </c>
      <c r="D28" s="20" t="s">
        <v>3473</v>
      </c>
      <c r="E28" s="20" t="s">
        <v>3474</v>
      </c>
      <c r="F28" s="20" t="s">
        <v>3475</v>
      </c>
      <c r="G28" s="20" t="s">
        <v>476</v>
      </c>
      <c r="H28" s="20" t="s">
        <v>3476</v>
      </c>
      <c r="I28" s="19"/>
      <c r="J28" s="20"/>
      <c r="K28" s="20"/>
      <c r="L28" s="22" t="s">
        <v>67</v>
      </c>
      <c r="M28" s="19"/>
    </row>
    <row r="29" spans="1:13" ht="63.75" x14ac:dyDescent="0.25">
      <c r="A29" s="23" t="s">
        <v>3477</v>
      </c>
      <c r="B29" s="24" t="s">
        <v>45</v>
      </c>
      <c r="C29" s="24" t="s">
        <v>1167</v>
      </c>
      <c r="D29" s="24" t="s">
        <v>3478</v>
      </c>
      <c r="E29" s="24" t="s">
        <v>3479</v>
      </c>
      <c r="F29" s="24" t="s">
        <v>3480</v>
      </c>
      <c r="G29" s="24" t="s">
        <v>476</v>
      </c>
      <c r="H29" s="24" t="s">
        <v>3481</v>
      </c>
      <c r="I29" s="23"/>
      <c r="J29" s="24"/>
      <c r="K29" s="24"/>
      <c r="L29" s="25" t="s">
        <v>95</v>
      </c>
      <c r="M29" s="23"/>
    </row>
    <row r="30" spans="1:13" x14ac:dyDescent="0.25">
      <c r="A30" s="19"/>
      <c r="B30" s="20"/>
      <c r="C30" s="20"/>
      <c r="D30" s="20"/>
      <c r="E30" s="20"/>
      <c r="F30" s="20"/>
      <c r="G30" s="20" t="s">
        <v>476</v>
      </c>
      <c r="H30" s="20"/>
      <c r="I30" s="19"/>
      <c r="J30" s="20"/>
      <c r="K30" s="20"/>
      <c r="L30" s="19"/>
      <c r="M30" s="19"/>
    </row>
    <row r="31" spans="1:13" x14ac:dyDescent="0.25">
      <c r="A31" s="23" t="s">
        <v>477</v>
      </c>
      <c r="B31" s="24"/>
      <c r="C31" s="24"/>
      <c r="D31" s="24"/>
      <c r="E31" s="24"/>
      <c r="F31" s="24"/>
      <c r="G31" s="24" t="s">
        <v>476</v>
      </c>
      <c r="H31" s="24"/>
      <c r="I31" s="23"/>
      <c r="J31" s="24"/>
      <c r="K31" s="24"/>
      <c r="L31" s="23"/>
      <c r="M31" s="23"/>
    </row>
    <row r="32" spans="1:13" x14ac:dyDescent="0.25">
      <c r="A32" s="19" t="s">
        <v>478</v>
      </c>
      <c r="B32" s="20"/>
      <c r="C32" s="20"/>
      <c r="D32" s="20"/>
      <c r="E32" s="20"/>
      <c r="F32" s="20"/>
      <c r="G32" s="20" t="s">
        <v>476</v>
      </c>
      <c r="H32" s="20"/>
      <c r="I32" s="19"/>
      <c r="J32" s="20"/>
      <c r="K32" s="20"/>
      <c r="L32" s="19"/>
      <c r="M32" s="19"/>
    </row>
    <row r="33" spans="1:13" x14ac:dyDescent="0.25">
      <c r="A33" s="23" t="s">
        <v>479</v>
      </c>
      <c r="B33" s="24"/>
      <c r="C33" s="24"/>
      <c r="D33" s="24"/>
      <c r="E33" s="24"/>
      <c r="F33" s="24"/>
      <c r="G33" s="24" t="s">
        <v>476</v>
      </c>
      <c r="H33" s="24"/>
      <c r="I33" s="23"/>
      <c r="J33" s="24"/>
      <c r="K33" s="24"/>
      <c r="L33" s="23"/>
      <c r="M33" s="23"/>
    </row>
    <row r="34" spans="1:13" x14ac:dyDescent="0.25">
      <c r="A34" s="19" t="s">
        <v>480</v>
      </c>
      <c r="B34" s="20"/>
      <c r="C34" s="20"/>
      <c r="D34" s="20"/>
      <c r="E34" s="20"/>
      <c r="F34" s="20"/>
      <c r="G34" s="20" t="s">
        <v>476</v>
      </c>
      <c r="H34" s="20"/>
      <c r="I34" s="19"/>
      <c r="J34" s="20"/>
      <c r="K34" s="20"/>
      <c r="L34" s="19"/>
      <c r="M34" s="19"/>
    </row>
    <row r="35" spans="1:13" x14ac:dyDescent="0.25">
      <c r="A35" s="23" t="s">
        <v>481</v>
      </c>
      <c r="B35" s="24"/>
      <c r="C35" s="24"/>
      <c r="D35" s="24"/>
      <c r="E35" s="24"/>
      <c r="F35" s="24"/>
      <c r="G35" s="24" t="s">
        <v>476</v>
      </c>
      <c r="H35" s="24"/>
      <c r="I35" s="23"/>
      <c r="J35" s="24"/>
      <c r="K35" s="24"/>
      <c r="L35" s="23"/>
      <c r="M35" s="23"/>
    </row>
    <row r="36" spans="1:13" ht="51" x14ac:dyDescent="0.25">
      <c r="A36" s="19" t="s">
        <v>3482</v>
      </c>
      <c r="B36" s="20" t="s">
        <v>45</v>
      </c>
      <c r="C36" s="20" t="s">
        <v>3483</v>
      </c>
      <c r="D36" s="20" t="s">
        <v>3484</v>
      </c>
      <c r="E36" s="20" t="s">
        <v>3485</v>
      </c>
      <c r="F36" s="20" t="s">
        <v>3486</v>
      </c>
      <c r="G36" s="20" t="s">
        <v>3487</v>
      </c>
      <c r="H36" s="20" t="s">
        <v>3488</v>
      </c>
      <c r="I36" s="19"/>
      <c r="J36" s="20"/>
      <c r="K36" s="20"/>
      <c r="L36" s="26" t="s">
        <v>103</v>
      </c>
      <c r="M36" s="19"/>
    </row>
    <row r="37" spans="1:13" ht="51" x14ac:dyDescent="0.25">
      <c r="A37" s="23" t="s">
        <v>3489</v>
      </c>
      <c r="B37" s="24" t="s">
        <v>45</v>
      </c>
      <c r="C37" s="24" t="s">
        <v>3483</v>
      </c>
      <c r="D37" s="24" t="s">
        <v>3490</v>
      </c>
      <c r="E37" s="24" t="s">
        <v>3491</v>
      </c>
      <c r="F37" s="24" t="s">
        <v>3492</v>
      </c>
      <c r="G37" s="24" t="s">
        <v>3487</v>
      </c>
      <c r="H37" s="24" t="s">
        <v>3493</v>
      </c>
      <c r="I37" s="23"/>
      <c r="J37" s="24"/>
      <c r="K37" s="24"/>
      <c r="L37" s="26" t="s">
        <v>103</v>
      </c>
      <c r="M37" s="23"/>
    </row>
    <row r="38" spans="1:13" ht="51" x14ac:dyDescent="0.25">
      <c r="A38" s="19" t="s">
        <v>3494</v>
      </c>
      <c r="B38" s="20" t="s">
        <v>45</v>
      </c>
      <c r="C38" s="20" t="s">
        <v>483</v>
      </c>
      <c r="D38" s="20" t="s">
        <v>3495</v>
      </c>
      <c r="E38" s="20" t="s">
        <v>3496</v>
      </c>
      <c r="F38" s="20" t="s">
        <v>3497</v>
      </c>
      <c r="G38" s="20" t="s">
        <v>3487</v>
      </c>
      <c r="H38" s="20" t="s">
        <v>3498</v>
      </c>
      <c r="I38" s="19"/>
      <c r="J38" s="20"/>
      <c r="K38" s="20"/>
      <c r="L38" s="22" t="s">
        <v>67</v>
      </c>
      <c r="M38" s="19"/>
    </row>
    <row r="39" spans="1:13" ht="51" x14ac:dyDescent="0.25">
      <c r="A39" s="23" t="s">
        <v>3499</v>
      </c>
      <c r="B39" s="24" t="s">
        <v>45</v>
      </c>
      <c r="C39" s="24" t="s">
        <v>483</v>
      </c>
      <c r="D39" s="24" t="s">
        <v>3500</v>
      </c>
      <c r="E39" s="24" t="s">
        <v>3501</v>
      </c>
      <c r="F39" s="24" t="s">
        <v>3502</v>
      </c>
      <c r="G39" s="24" t="s">
        <v>3487</v>
      </c>
      <c r="H39" s="24" t="s">
        <v>3503</v>
      </c>
      <c r="I39" s="23"/>
      <c r="J39" s="24"/>
      <c r="K39" s="24"/>
      <c r="L39" s="22" t="s">
        <v>67</v>
      </c>
      <c r="M39" s="23"/>
    </row>
    <row r="40" spans="1:13" ht="51" x14ac:dyDescent="0.25">
      <c r="A40" s="19" t="s">
        <v>3504</v>
      </c>
      <c r="B40" s="20" t="s">
        <v>45</v>
      </c>
      <c r="C40" s="20" t="s">
        <v>3505</v>
      </c>
      <c r="D40" s="20" t="s">
        <v>3506</v>
      </c>
      <c r="E40" s="20" t="s">
        <v>3507</v>
      </c>
      <c r="F40" s="20" t="s">
        <v>3508</v>
      </c>
      <c r="G40" s="20" t="s">
        <v>3487</v>
      </c>
      <c r="H40" s="20" t="s">
        <v>3509</v>
      </c>
      <c r="I40" s="19"/>
      <c r="J40" s="20"/>
      <c r="K40" s="20"/>
      <c r="L40" s="26" t="s">
        <v>103</v>
      </c>
      <c r="M40" s="19"/>
    </row>
    <row r="41" spans="1:13" ht="51" x14ac:dyDescent="0.25">
      <c r="A41" s="23" t="s">
        <v>3510</v>
      </c>
      <c r="B41" s="24" t="s">
        <v>45</v>
      </c>
      <c r="C41" s="24" t="s">
        <v>3505</v>
      </c>
      <c r="D41" s="24" t="s">
        <v>3511</v>
      </c>
      <c r="E41" s="24" t="s">
        <v>3512</v>
      </c>
      <c r="F41" s="24" t="s">
        <v>3513</v>
      </c>
      <c r="G41" s="24" t="s">
        <v>3487</v>
      </c>
      <c r="H41" s="24" t="s">
        <v>3514</v>
      </c>
      <c r="I41" s="23"/>
      <c r="J41" s="24"/>
      <c r="K41" s="24"/>
      <c r="L41" s="26" t="s">
        <v>103</v>
      </c>
      <c r="M41" s="23"/>
    </row>
    <row r="42" spans="1:13" ht="51" x14ac:dyDescent="0.25">
      <c r="A42" s="19" t="s">
        <v>751</v>
      </c>
      <c r="B42" s="20" t="s">
        <v>45</v>
      </c>
      <c r="C42" s="20" t="s">
        <v>778</v>
      </c>
      <c r="D42" s="20" t="s">
        <v>2035</v>
      </c>
      <c r="E42" s="20" t="s">
        <v>3515</v>
      </c>
      <c r="F42" s="20" t="s">
        <v>3516</v>
      </c>
      <c r="G42" s="20" t="s">
        <v>2266</v>
      </c>
      <c r="H42" s="20" t="s">
        <v>3517</v>
      </c>
      <c r="I42" s="19"/>
      <c r="J42" s="20"/>
      <c r="K42" s="20"/>
      <c r="L42" s="22" t="s">
        <v>67</v>
      </c>
      <c r="M42" s="19"/>
    </row>
    <row r="43" spans="1:13" ht="51" x14ac:dyDescent="0.25">
      <c r="A43" s="23" t="s">
        <v>755</v>
      </c>
      <c r="B43" s="24" t="s">
        <v>45</v>
      </c>
      <c r="C43" s="24" t="s">
        <v>778</v>
      </c>
      <c r="D43" s="24" t="s">
        <v>2040</v>
      </c>
      <c r="E43" s="24" t="s">
        <v>3518</v>
      </c>
      <c r="F43" s="24" t="s">
        <v>3519</v>
      </c>
      <c r="G43" s="24" t="s">
        <v>2266</v>
      </c>
      <c r="H43" s="24" t="s">
        <v>3520</v>
      </c>
      <c r="I43" s="23"/>
      <c r="J43" s="24"/>
      <c r="K43" s="24"/>
      <c r="L43" s="22" t="s">
        <v>67</v>
      </c>
      <c r="M43" s="23"/>
    </row>
    <row r="44" spans="1:13" ht="38.25" x14ac:dyDescent="0.25">
      <c r="A44" s="19" t="s">
        <v>760</v>
      </c>
      <c r="B44" s="20" t="s">
        <v>45</v>
      </c>
      <c r="C44" s="20" t="s">
        <v>778</v>
      </c>
      <c r="D44" s="20" t="s">
        <v>2030</v>
      </c>
      <c r="E44" s="20" t="s">
        <v>3521</v>
      </c>
      <c r="F44" s="20" t="s">
        <v>3522</v>
      </c>
      <c r="G44" s="20" t="s">
        <v>2266</v>
      </c>
      <c r="H44" s="20" t="s">
        <v>2307</v>
      </c>
      <c r="I44" s="19"/>
      <c r="J44" s="20"/>
      <c r="K44" s="20"/>
      <c r="L44" s="25" t="s">
        <v>95</v>
      </c>
      <c r="M44" s="19"/>
    </row>
    <row r="45" spans="1:13" ht="51" x14ac:dyDescent="0.25">
      <c r="A45" s="23" t="s">
        <v>767</v>
      </c>
      <c r="B45" s="24" t="s">
        <v>45</v>
      </c>
      <c r="C45" s="24" t="s">
        <v>3380</v>
      </c>
      <c r="D45" s="24" t="s">
        <v>3523</v>
      </c>
      <c r="E45" s="24" t="s">
        <v>3460</v>
      </c>
      <c r="F45" s="24" t="s">
        <v>3524</v>
      </c>
      <c r="G45" s="24" t="s">
        <v>2266</v>
      </c>
      <c r="H45" s="24" t="s">
        <v>3525</v>
      </c>
      <c r="I45" s="23"/>
      <c r="J45" s="24"/>
      <c r="K45" s="24"/>
      <c r="L45" s="26" t="s">
        <v>103</v>
      </c>
      <c r="M45" s="23"/>
    </row>
    <row r="46" spans="1:13" ht="38.25" x14ac:dyDescent="0.25">
      <c r="A46" s="19" t="s">
        <v>772</v>
      </c>
      <c r="B46" s="20" t="s">
        <v>45</v>
      </c>
      <c r="C46" s="20" t="s">
        <v>3380</v>
      </c>
      <c r="D46" s="20" t="s">
        <v>3385</v>
      </c>
      <c r="E46" s="20" t="s">
        <v>3526</v>
      </c>
      <c r="F46" s="20" t="s">
        <v>3527</v>
      </c>
      <c r="G46" s="20" t="s">
        <v>2266</v>
      </c>
      <c r="H46" s="20" t="s">
        <v>2903</v>
      </c>
      <c r="I46" s="19"/>
      <c r="J46" s="20"/>
      <c r="K46" s="20"/>
      <c r="L46" s="22" t="s">
        <v>67</v>
      </c>
      <c r="M46" s="19"/>
    </row>
    <row r="47" spans="1:13" ht="51" x14ac:dyDescent="0.25">
      <c r="A47" s="23" t="s">
        <v>1249</v>
      </c>
      <c r="B47" s="24" t="s">
        <v>45</v>
      </c>
      <c r="C47" s="24" t="s">
        <v>3380</v>
      </c>
      <c r="D47" s="24" t="s">
        <v>3528</v>
      </c>
      <c r="E47" s="24" t="s">
        <v>3529</v>
      </c>
      <c r="F47" s="24" t="s">
        <v>3530</v>
      </c>
      <c r="G47" s="24" t="s">
        <v>2266</v>
      </c>
      <c r="H47" s="24" t="s">
        <v>3531</v>
      </c>
      <c r="I47" s="23"/>
      <c r="J47" s="24"/>
      <c r="K47" s="24"/>
      <c r="L47" s="26" t="s">
        <v>103</v>
      </c>
      <c r="M47" s="23"/>
    </row>
    <row r="48" spans="1:13" ht="38.25" x14ac:dyDescent="0.25">
      <c r="A48" s="19" t="s">
        <v>777</v>
      </c>
      <c r="B48" s="20" t="s">
        <v>45</v>
      </c>
      <c r="C48" s="20" t="s">
        <v>3388</v>
      </c>
      <c r="D48" s="20" t="s">
        <v>3532</v>
      </c>
      <c r="E48" s="20" t="s">
        <v>3533</v>
      </c>
      <c r="F48" s="20" t="s">
        <v>3534</v>
      </c>
      <c r="G48" s="20" t="s">
        <v>2266</v>
      </c>
      <c r="H48" s="20" t="s">
        <v>3535</v>
      </c>
      <c r="I48" s="19"/>
      <c r="J48" s="20"/>
      <c r="K48" s="20"/>
      <c r="L48" s="26" t="s">
        <v>103</v>
      </c>
      <c r="M48" s="19"/>
    </row>
    <row r="49" spans="1:13" ht="51" x14ac:dyDescent="0.25">
      <c r="A49" s="23" t="s">
        <v>1293</v>
      </c>
      <c r="B49" s="24" t="s">
        <v>45</v>
      </c>
      <c r="C49" s="24" t="s">
        <v>3388</v>
      </c>
      <c r="D49" s="24" t="s">
        <v>3536</v>
      </c>
      <c r="E49" s="24" t="s">
        <v>3537</v>
      </c>
      <c r="F49" s="24" t="s">
        <v>3538</v>
      </c>
      <c r="G49" s="24" t="s">
        <v>2266</v>
      </c>
      <c r="H49" s="24" t="s">
        <v>3539</v>
      </c>
      <c r="I49" s="23"/>
      <c r="J49" s="24"/>
      <c r="K49" s="24"/>
      <c r="L49" s="26" t="s">
        <v>103</v>
      </c>
      <c r="M49" s="23"/>
    </row>
    <row r="50" spans="1:13" ht="51" x14ac:dyDescent="0.25">
      <c r="A50" s="19" t="s">
        <v>1298</v>
      </c>
      <c r="B50" s="20" t="s">
        <v>45</v>
      </c>
      <c r="C50" s="20" t="s">
        <v>3388</v>
      </c>
      <c r="D50" s="20" t="s">
        <v>3411</v>
      </c>
      <c r="E50" s="20" t="s">
        <v>3412</v>
      </c>
      <c r="F50" s="20" t="s">
        <v>3540</v>
      </c>
      <c r="G50" s="20" t="s">
        <v>2266</v>
      </c>
      <c r="H50" s="20" t="s">
        <v>3541</v>
      </c>
      <c r="I50" s="19"/>
      <c r="J50" s="20"/>
      <c r="K50" s="20"/>
      <c r="L50" s="26" t="s">
        <v>103</v>
      </c>
      <c r="M50" s="19"/>
    </row>
    <row r="51" spans="1:13" ht="51" x14ac:dyDescent="0.25">
      <c r="A51" s="23" t="s">
        <v>1304</v>
      </c>
      <c r="B51" s="24" t="s">
        <v>45</v>
      </c>
      <c r="C51" s="24" t="s">
        <v>3388</v>
      </c>
      <c r="D51" s="24" t="s">
        <v>3416</v>
      </c>
      <c r="E51" s="24" t="s">
        <v>3417</v>
      </c>
      <c r="F51" s="24" t="s">
        <v>3542</v>
      </c>
      <c r="G51" s="24" t="s">
        <v>2266</v>
      </c>
      <c r="H51" s="24" t="s">
        <v>3543</v>
      </c>
      <c r="I51" s="23"/>
      <c r="J51" s="24"/>
      <c r="K51" s="24"/>
      <c r="L51" s="26" t="s">
        <v>103</v>
      </c>
      <c r="M51" s="23"/>
    </row>
    <row r="52" spans="1:13" ht="38.25" x14ac:dyDescent="0.25">
      <c r="A52" s="19" t="s">
        <v>1311</v>
      </c>
      <c r="B52" s="20" t="s">
        <v>45</v>
      </c>
      <c r="C52" s="20" t="s">
        <v>3388</v>
      </c>
      <c r="D52" s="20" t="s">
        <v>3420</v>
      </c>
      <c r="E52" s="20" t="s">
        <v>3421</v>
      </c>
      <c r="F52" s="20" t="s">
        <v>3544</v>
      </c>
      <c r="G52" s="20" t="s">
        <v>2266</v>
      </c>
      <c r="H52" s="20" t="s">
        <v>3545</v>
      </c>
      <c r="I52" s="19"/>
      <c r="J52" s="20"/>
      <c r="K52" s="20"/>
      <c r="L52" s="26" t="s">
        <v>103</v>
      </c>
      <c r="M52" s="19"/>
    </row>
    <row r="53" spans="1:13" ht="51" x14ac:dyDescent="0.25">
      <c r="A53" s="23" t="s">
        <v>1317</v>
      </c>
      <c r="B53" s="24" t="s">
        <v>45</v>
      </c>
      <c r="C53" s="24" t="s">
        <v>3388</v>
      </c>
      <c r="D53" s="24" t="s">
        <v>1353</v>
      </c>
      <c r="E53" s="24" t="s">
        <v>3424</v>
      </c>
      <c r="F53" s="24" t="s">
        <v>3546</v>
      </c>
      <c r="G53" s="24" t="s">
        <v>2266</v>
      </c>
      <c r="H53" s="24" t="s">
        <v>3547</v>
      </c>
      <c r="I53" s="23"/>
      <c r="J53" s="24"/>
      <c r="K53" s="24"/>
      <c r="L53" s="22" t="s">
        <v>67</v>
      </c>
      <c r="M53" s="23"/>
    </row>
    <row r="54" spans="1:13" ht="38.25" x14ac:dyDescent="0.25">
      <c r="A54" s="19" t="s">
        <v>783</v>
      </c>
      <c r="B54" s="20" t="s">
        <v>45</v>
      </c>
      <c r="C54" s="20" t="s">
        <v>3396</v>
      </c>
      <c r="D54" s="20" t="s">
        <v>3548</v>
      </c>
      <c r="E54" s="20" t="s">
        <v>3427</v>
      </c>
      <c r="F54" s="20" t="s">
        <v>3549</v>
      </c>
      <c r="G54" s="20" t="s">
        <v>2266</v>
      </c>
      <c r="H54" s="20" t="s">
        <v>3550</v>
      </c>
      <c r="I54" s="19"/>
      <c r="J54" s="20"/>
      <c r="K54" s="20"/>
      <c r="L54" s="22" t="s">
        <v>67</v>
      </c>
      <c r="M54" s="19"/>
    </row>
    <row r="55" spans="1:13" ht="38.25" x14ac:dyDescent="0.25">
      <c r="A55" s="23" t="s">
        <v>786</v>
      </c>
      <c r="B55" s="24" t="s">
        <v>45</v>
      </c>
      <c r="C55" s="24" t="s">
        <v>3396</v>
      </c>
      <c r="D55" s="24" t="s">
        <v>3429</v>
      </c>
      <c r="E55" s="24" t="s">
        <v>3551</v>
      </c>
      <c r="F55" s="24" t="s">
        <v>3552</v>
      </c>
      <c r="G55" s="24" t="s">
        <v>2266</v>
      </c>
      <c r="H55" s="24" t="s">
        <v>3553</v>
      </c>
      <c r="I55" s="23"/>
      <c r="J55" s="24"/>
      <c r="K55" s="24"/>
      <c r="L55" s="26" t="s">
        <v>103</v>
      </c>
      <c r="M55" s="23"/>
    </row>
    <row r="56" spans="1:13" ht="38.25" x14ac:dyDescent="0.25">
      <c r="A56" s="19" t="s">
        <v>789</v>
      </c>
      <c r="B56" s="20" t="s">
        <v>45</v>
      </c>
      <c r="C56" s="20" t="s">
        <v>3396</v>
      </c>
      <c r="D56" s="20" t="s">
        <v>3433</v>
      </c>
      <c r="E56" s="20" t="s">
        <v>3554</v>
      </c>
      <c r="F56" s="20" t="s">
        <v>3555</v>
      </c>
      <c r="G56" s="20" t="s">
        <v>2266</v>
      </c>
      <c r="H56" s="20" t="s">
        <v>3556</v>
      </c>
      <c r="I56" s="19"/>
      <c r="J56" s="20"/>
      <c r="K56" s="20"/>
      <c r="L56" s="25" t="s">
        <v>95</v>
      </c>
      <c r="M56" s="19"/>
    </row>
    <row r="57" spans="1:13" ht="38.25" x14ac:dyDescent="0.25">
      <c r="A57" s="23" t="s">
        <v>2750</v>
      </c>
      <c r="B57" s="24" t="s">
        <v>45</v>
      </c>
      <c r="C57" s="24" t="s">
        <v>3396</v>
      </c>
      <c r="D57" s="24" t="s">
        <v>3557</v>
      </c>
      <c r="E57" s="24" t="s">
        <v>3558</v>
      </c>
      <c r="F57" s="24" t="s">
        <v>3559</v>
      </c>
      <c r="G57" s="24" t="s">
        <v>2266</v>
      </c>
      <c r="H57" s="24" t="s">
        <v>3560</v>
      </c>
      <c r="I57" s="23"/>
      <c r="J57" s="24"/>
      <c r="K57" s="24"/>
      <c r="L57" s="22" t="s">
        <v>67</v>
      </c>
      <c r="M57" s="23"/>
    </row>
    <row r="58" spans="1:13" ht="38.25" x14ac:dyDescent="0.25">
      <c r="A58" s="19" t="s">
        <v>496</v>
      </c>
      <c r="B58" s="20" t="s">
        <v>45</v>
      </c>
      <c r="C58" s="20" t="s">
        <v>3437</v>
      </c>
      <c r="D58" s="20" t="s">
        <v>3438</v>
      </c>
      <c r="E58" s="20" t="s">
        <v>3561</v>
      </c>
      <c r="F58" s="20" t="s">
        <v>3562</v>
      </c>
      <c r="G58" s="20" t="s">
        <v>2266</v>
      </c>
      <c r="H58" s="20" t="s">
        <v>3563</v>
      </c>
      <c r="I58" s="19"/>
      <c r="J58" s="20"/>
      <c r="K58" s="20"/>
      <c r="L58" s="27" t="s">
        <v>131</v>
      </c>
      <c r="M58" s="19"/>
    </row>
    <row r="59" spans="1:13" ht="38.25" x14ac:dyDescent="0.25">
      <c r="A59" s="23" t="s">
        <v>503</v>
      </c>
      <c r="B59" s="24" t="s">
        <v>45</v>
      </c>
      <c r="C59" s="24" t="s">
        <v>3437</v>
      </c>
      <c r="D59" s="24" t="s">
        <v>3441</v>
      </c>
      <c r="E59" s="24" t="s">
        <v>3564</v>
      </c>
      <c r="F59" s="24" t="s">
        <v>3565</v>
      </c>
      <c r="G59" s="24" t="s">
        <v>2266</v>
      </c>
      <c r="H59" s="24" t="s">
        <v>3566</v>
      </c>
      <c r="I59" s="23"/>
      <c r="J59" s="24"/>
      <c r="K59" s="24"/>
      <c r="L59" s="22" t="s">
        <v>67</v>
      </c>
      <c r="M59" s="23"/>
    </row>
    <row r="60" spans="1:13" ht="63.75" x14ac:dyDescent="0.25">
      <c r="A60" s="19" t="s">
        <v>3482</v>
      </c>
      <c r="B60" s="20" t="s">
        <v>45</v>
      </c>
      <c r="C60" s="20" t="s">
        <v>3437</v>
      </c>
      <c r="D60" s="20" t="s">
        <v>3445</v>
      </c>
      <c r="E60" s="20" t="s">
        <v>3446</v>
      </c>
      <c r="F60" s="20" t="s">
        <v>3567</v>
      </c>
      <c r="G60" s="20" t="s">
        <v>2266</v>
      </c>
      <c r="H60" s="20" t="s">
        <v>3568</v>
      </c>
      <c r="I60" s="19"/>
      <c r="J60" s="20"/>
      <c r="K60" s="20"/>
      <c r="L60" s="22" t="s">
        <v>67</v>
      </c>
      <c r="M60" s="19"/>
    </row>
    <row r="61" spans="1:13" ht="51" x14ac:dyDescent="0.25">
      <c r="A61" s="23" t="s">
        <v>3569</v>
      </c>
      <c r="B61" s="24" t="s">
        <v>45</v>
      </c>
      <c r="C61" s="24" t="s">
        <v>2262</v>
      </c>
      <c r="D61" s="24" t="s">
        <v>3449</v>
      </c>
      <c r="E61" s="24" t="s">
        <v>3450</v>
      </c>
      <c r="F61" s="24" t="s">
        <v>3570</v>
      </c>
      <c r="G61" s="24" t="s">
        <v>2266</v>
      </c>
      <c r="H61" s="24" t="s">
        <v>3571</v>
      </c>
      <c r="I61" s="23"/>
      <c r="J61" s="24"/>
      <c r="K61" s="24"/>
      <c r="L61" s="22" t="s">
        <v>67</v>
      </c>
      <c r="M61" s="23"/>
    </row>
    <row r="62" spans="1:13" ht="51" x14ac:dyDescent="0.25">
      <c r="A62" s="19" t="s">
        <v>3572</v>
      </c>
      <c r="B62" s="20" t="s">
        <v>45</v>
      </c>
      <c r="C62" s="20" t="s">
        <v>2262</v>
      </c>
      <c r="D62" s="20" t="s">
        <v>3453</v>
      </c>
      <c r="E62" s="20" t="s">
        <v>3454</v>
      </c>
      <c r="F62" s="20" t="s">
        <v>3573</v>
      </c>
      <c r="G62" s="20" t="s">
        <v>2266</v>
      </c>
      <c r="H62" s="20" t="s">
        <v>3574</v>
      </c>
      <c r="I62" s="19"/>
      <c r="J62" s="20"/>
      <c r="K62" s="20"/>
      <c r="L62" s="25" t="s">
        <v>95</v>
      </c>
      <c r="M62" s="19"/>
    </row>
    <row r="63" spans="1:13" ht="51" x14ac:dyDescent="0.25">
      <c r="A63" s="23" t="s">
        <v>3575</v>
      </c>
      <c r="B63" s="24" t="s">
        <v>45</v>
      </c>
      <c r="C63" s="24" t="s">
        <v>2262</v>
      </c>
      <c r="D63" s="24" t="s">
        <v>2263</v>
      </c>
      <c r="E63" s="24" t="s">
        <v>3457</v>
      </c>
      <c r="F63" s="24" t="s">
        <v>3576</v>
      </c>
      <c r="G63" s="24" t="s">
        <v>2266</v>
      </c>
      <c r="H63" s="24" t="s">
        <v>3577</v>
      </c>
      <c r="I63" s="23"/>
      <c r="J63" s="24"/>
      <c r="K63" s="24"/>
      <c r="L63" s="27" t="s">
        <v>131</v>
      </c>
      <c r="M63" s="23"/>
    </row>
    <row r="64" spans="1:13" ht="51" x14ac:dyDescent="0.25">
      <c r="A64" s="19" t="s">
        <v>3578</v>
      </c>
      <c r="B64" s="20" t="s">
        <v>45</v>
      </c>
      <c r="C64" s="20" t="s">
        <v>1167</v>
      </c>
      <c r="D64" s="20" t="s">
        <v>3463</v>
      </c>
      <c r="E64" s="20" t="s">
        <v>3579</v>
      </c>
      <c r="F64" s="20" t="s">
        <v>3580</v>
      </c>
      <c r="G64" s="20" t="s">
        <v>2266</v>
      </c>
      <c r="H64" s="20" t="s">
        <v>3581</v>
      </c>
      <c r="I64" s="19"/>
      <c r="J64" s="20"/>
      <c r="K64" s="20"/>
      <c r="L64" s="22" t="s">
        <v>67</v>
      </c>
      <c r="M64" s="19"/>
    </row>
    <row r="65" spans="1:13" ht="51" x14ac:dyDescent="0.25">
      <c r="A65" s="23" t="s">
        <v>3582</v>
      </c>
      <c r="B65" s="24" t="s">
        <v>45</v>
      </c>
      <c r="C65" s="24" t="s">
        <v>1167</v>
      </c>
      <c r="D65" s="24" t="s">
        <v>3468</v>
      </c>
      <c r="E65" s="24" t="s">
        <v>3583</v>
      </c>
      <c r="F65" s="24" t="s">
        <v>3584</v>
      </c>
      <c r="G65" s="24" t="s">
        <v>2266</v>
      </c>
      <c r="H65" s="24" t="s">
        <v>3517</v>
      </c>
      <c r="I65" s="23"/>
      <c r="J65" s="24"/>
      <c r="K65" s="24"/>
      <c r="L65" s="25" t="s">
        <v>95</v>
      </c>
      <c r="M65" s="23"/>
    </row>
    <row r="66" spans="1:13" ht="51" x14ac:dyDescent="0.25">
      <c r="A66" s="19" t="s">
        <v>3585</v>
      </c>
      <c r="B66" s="20" t="s">
        <v>45</v>
      </c>
      <c r="C66" s="20" t="s">
        <v>1167</v>
      </c>
      <c r="D66" s="20" t="s">
        <v>3473</v>
      </c>
      <c r="E66" s="20" t="s">
        <v>3474</v>
      </c>
      <c r="F66" s="20" t="s">
        <v>3586</v>
      </c>
      <c r="G66" s="20" t="s">
        <v>2266</v>
      </c>
      <c r="H66" s="20" t="s">
        <v>3587</v>
      </c>
      <c r="I66" s="19"/>
      <c r="J66" s="20"/>
      <c r="K66" s="20"/>
      <c r="L66" s="22" t="s">
        <v>67</v>
      </c>
      <c r="M66" s="19"/>
    </row>
    <row r="67" spans="1:13" ht="51" x14ac:dyDescent="0.25">
      <c r="A67" s="23" t="s">
        <v>3588</v>
      </c>
      <c r="B67" s="24" t="s">
        <v>45</v>
      </c>
      <c r="C67" s="24" t="s">
        <v>1167</v>
      </c>
      <c r="D67" s="24" t="s">
        <v>3478</v>
      </c>
      <c r="E67" s="24" t="s">
        <v>3589</v>
      </c>
      <c r="F67" s="24" t="s">
        <v>3590</v>
      </c>
      <c r="G67" s="24" t="s">
        <v>2266</v>
      </c>
      <c r="H67" s="24" t="s">
        <v>3591</v>
      </c>
      <c r="I67" s="23"/>
      <c r="J67" s="24"/>
      <c r="K67" s="24"/>
      <c r="L67" s="25" t="s">
        <v>95</v>
      </c>
      <c r="M67" s="23"/>
    </row>
    <row r="68" spans="1:13" ht="51" x14ac:dyDescent="0.25">
      <c r="A68" s="19" t="s">
        <v>3592</v>
      </c>
      <c r="B68" s="20" t="s">
        <v>45</v>
      </c>
      <c r="C68" s="20" t="s">
        <v>3483</v>
      </c>
      <c r="D68" s="20" t="s">
        <v>3593</v>
      </c>
      <c r="E68" s="20" t="s">
        <v>3485</v>
      </c>
      <c r="F68" s="20" t="s">
        <v>3594</v>
      </c>
      <c r="G68" s="20" t="s">
        <v>2266</v>
      </c>
      <c r="H68" s="20" t="s">
        <v>3595</v>
      </c>
      <c r="I68" s="19"/>
      <c r="J68" s="20"/>
      <c r="K68" s="20"/>
      <c r="L68" s="26" t="s">
        <v>103</v>
      </c>
      <c r="M68" s="19"/>
    </row>
    <row r="69" spans="1:13" ht="51" x14ac:dyDescent="0.25">
      <c r="A69" s="23" t="s">
        <v>3596</v>
      </c>
      <c r="B69" s="24" t="s">
        <v>45</v>
      </c>
      <c r="C69" s="24" t="s">
        <v>3483</v>
      </c>
      <c r="D69" s="24" t="s">
        <v>3597</v>
      </c>
      <c r="E69" s="24" t="s">
        <v>3598</v>
      </c>
      <c r="F69" s="24" t="s">
        <v>3599</v>
      </c>
      <c r="G69" s="24" t="s">
        <v>2266</v>
      </c>
      <c r="H69" s="24" t="s">
        <v>3600</v>
      </c>
      <c r="I69" s="23"/>
      <c r="J69" s="24"/>
      <c r="K69" s="24"/>
      <c r="L69" s="26" t="s">
        <v>103</v>
      </c>
      <c r="M69" s="23"/>
    </row>
    <row r="70" spans="1:13" ht="51" x14ac:dyDescent="0.25">
      <c r="A70" s="19" t="s">
        <v>3601</v>
      </c>
      <c r="B70" s="20" t="s">
        <v>45</v>
      </c>
      <c r="C70" s="20" t="s">
        <v>3483</v>
      </c>
      <c r="D70" s="20" t="s">
        <v>3602</v>
      </c>
      <c r="E70" s="20" t="s">
        <v>3603</v>
      </c>
      <c r="F70" s="20" t="s">
        <v>3604</v>
      </c>
      <c r="G70" s="20" t="s">
        <v>2266</v>
      </c>
      <c r="H70" s="20" t="s">
        <v>3605</v>
      </c>
      <c r="I70" s="19"/>
      <c r="J70" s="20"/>
      <c r="K70" s="20"/>
      <c r="L70" s="26" t="s">
        <v>103</v>
      </c>
      <c r="M70" s="19"/>
    </row>
    <row r="71" spans="1:13" ht="51" x14ac:dyDescent="0.25">
      <c r="A71" s="23" t="s">
        <v>3606</v>
      </c>
      <c r="B71" s="24" t="s">
        <v>45</v>
      </c>
      <c r="C71" s="24" t="s">
        <v>3483</v>
      </c>
      <c r="D71" s="24" t="s">
        <v>3607</v>
      </c>
      <c r="E71" s="24" t="s">
        <v>3608</v>
      </c>
      <c r="F71" s="24" t="s">
        <v>3609</v>
      </c>
      <c r="G71" s="24" t="s">
        <v>2266</v>
      </c>
      <c r="H71" s="24" t="s">
        <v>3610</v>
      </c>
      <c r="I71" s="23"/>
      <c r="J71" s="24"/>
      <c r="K71" s="24"/>
      <c r="L71" s="26" t="s">
        <v>103</v>
      </c>
      <c r="M71" s="23"/>
    </row>
    <row r="72" spans="1:13" ht="51" x14ac:dyDescent="0.25">
      <c r="A72" s="19" t="s">
        <v>3611</v>
      </c>
      <c r="B72" s="20" t="s">
        <v>45</v>
      </c>
      <c r="C72" s="20" t="s">
        <v>483</v>
      </c>
      <c r="D72" s="20" t="s">
        <v>3612</v>
      </c>
      <c r="E72" s="20" t="s">
        <v>3613</v>
      </c>
      <c r="F72" s="20" t="s">
        <v>3614</v>
      </c>
      <c r="G72" s="20" t="s">
        <v>2266</v>
      </c>
      <c r="H72" s="20" t="s">
        <v>3615</v>
      </c>
      <c r="I72" s="19"/>
      <c r="J72" s="20"/>
      <c r="K72" s="20"/>
      <c r="L72" s="22" t="s">
        <v>67</v>
      </c>
      <c r="M72" s="19"/>
    </row>
    <row r="73" spans="1:13" ht="38.25" x14ac:dyDescent="0.25">
      <c r="A73" s="23" t="s">
        <v>3616</v>
      </c>
      <c r="B73" s="24" t="s">
        <v>45</v>
      </c>
      <c r="C73" s="24" t="s">
        <v>483</v>
      </c>
      <c r="D73" s="24" t="s">
        <v>3617</v>
      </c>
      <c r="E73" s="24" t="s">
        <v>3618</v>
      </c>
      <c r="F73" s="24" t="s">
        <v>3619</v>
      </c>
      <c r="G73" s="24" t="s">
        <v>2266</v>
      </c>
      <c r="H73" s="24" t="s">
        <v>3620</v>
      </c>
      <c r="I73" s="23"/>
      <c r="J73" s="24"/>
      <c r="K73" s="24"/>
      <c r="L73" s="22" t="s">
        <v>67</v>
      </c>
      <c r="M73" s="23"/>
    </row>
    <row r="74" spans="1:13" ht="51" x14ac:dyDescent="0.25">
      <c r="A74" s="19" t="s">
        <v>3621</v>
      </c>
      <c r="B74" s="20" t="s">
        <v>45</v>
      </c>
      <c r="C74" s="20" t="s">
        <v>483</v>
      </c>
      <c r="D74" s="20" t="s">
        <v>3622</v>
      </c>
      <c r="E74" s="20" t="s">
        <v>3501</v>
      </c>
      <c r="F74" s="20" t="s">
        <v>3623</v>
      </c>
      <c r="G74" s="20" t="s">
        <v>2266</v>
      </c>
      <c r="H74" s="20" t="s">
        <v>3624</v>
      </c>
      <c r="I74" s="19"/>
      <c r="J74" s="20"/>
      <c r="K74" s="20"/>
      <c r="L74" s="22" t="s">
        <v>67</v>
      </c>
      <c r="M74" s="19"/>
    </row>
    <row r="75" spans="1:13" ht="38.25" x14ac:dyDescent="0.25">
      <c r="A75" s="23" t="s">
        <v>3625</v>
      </c>
      <c r="B75" s="24" t="s">
        <v>45</v>
      </c>
      <c r="C75" s="24" t="s">
        <v>483</v>
      </c>
      <c r="D75" s="24" t="s">
        <v>3626</v>
      </c>
      <c r="E75" s="24" t="s">
        <v>3627</v>
      </c>
      <c r="F75" s="24" t="s">
        <v>3628</v>
      </c>
      <c r="G75" s="24" t="s">
        <v>2266</v>
      </c>
      <c r="H75" s="24" t="s">
        <v>3629</v>
      </c>
      <c r="I75" s="23"/>
      <c r="J75" s="24"/>
      <c r="K75" s="24"/>
      <c r="L75" s="22" t="s">
        <v>67</v>
      </c>
      <c r="M75" s="23"/>
    </row>
    <row r="76" spans="1:13" ht="38.25" x14ac:dyDescent="0.25">
      <c r="A76" s="19" t="s">
        <v>3630</v>
      </c>
      <c r="B76" s="20" t="s">
        <v>45</v>
      </c>
      <c r="C76" s="20" t="s">
        <v>3505</v>
      </c>
      <c r="D76" s="20" t="s">
        <v>3506</v>
      </c>
      <c r="E76" s="20" t="s">
        <v>3631</v>
      </c>
      <c r="F76" s="20" t="s">
        <v>3632</v>
      </c>
      <c r="G76" s="20" t="s">
        <v>2266</v>
      </c>
      <c r="H76" s="20" t="s">
        <v>3633</v>
      </c>
      <c r="I76" s="19"/>
      <c r="J76" s="20"/>
      <c r="K76" s="20"/>
      <c r="L76" s="26" t="s">
        <v>103</v>
      </c>
      <c r="M76" s="19"/>
    </row>
    <row r="77" spans="1:13" ht="38.25" x14ac:dyDescent="0.25">
      <c r="A77" s="23" t="s">
        <v>3634</v>
      </c>
      <c r="B77" s="24" t="s">
        <v>45</v>
      </c>
      <c r="C77" s="24" t="s">
        <v>3505</v>
      </c>
      <c r="D77" s="24" t="s">
        <v>3511</v>
      </c>
      <c r="E77" s="24" t="s">
        <v>3635</v>
      </c>
      <c r="F77" s="24" t="s">
        <v>3636</v>
      </c>
      <c r="G77" s="24" t="s">
        <v>2266</v>
      </c>
      <c r="H77" s="24" t="s">
        <v>3514</v>
      </c>
      <c r="I77" s="23"/>
      <c r="J77" s="24"/>
      <c r="K77" s="24"/>
      <c r="L77" s="26" t="s">
        <v>103</v>
      </c>
      <c r="M77" s="23"/>
    </row>
    <row r="78" spans="1:13" ht="63.75" x14ac:dyDescent="0.25">
      <c r="A78" s="19" t="s">
        <v>3637</v>
      </c>
      <c r="B78" s="20" t="s">
        <v>45</v>
      </c>
      <c r="C78" s="20" t="s">
        <v>3505</v>
      </c>
      <c r="D78" s="20" t="s">
        <v>3638</v>
      </c>
      <c r="E78" s="20" t="s">
        <v>3639</v>
      </c>
      <c r="F78" s="20" t="s">
        <v>3640</v>
      </c>
      <c r="G78" s="20" t="s">
        <v>2266</v>
      </c>
      <c r="H78" s="20" t="s">
        <v>3641</v>
      </c>
      <c r="I78" s="19"/>
      <c r="J78" s="20"/>
      <c r="K78" s="20"/>
      <c r="L78" s="22" t="s">
        <v>67</v>
      </c>
      <c r="M78" s="19"/>
    </row>
    <row r="79" spans="1:13" ht="38.25" x14ac:dyDescent="0.25">
      <c r="A79" s="23" t="s">
        <v>1331</v>
      </c>
      <c r="B79" s="24" t="s">
        <v>45</v>
      </c>
      <c r="C79" s="24" t="s">
        <v>3405</v>
      </c>
      <c r="D79" s="24" t="s">
        <v>3642</v>
      </c>
      <c r="E79" s="24" t="s">
        <v>3643</v>
      </c>
      <c r="F79" s="24" t="s">
        <v>3644</v>
      </c>
      <c r="G79" s="24" t="s">
        <v>2266</v>
      </c>
      <c r="H79" s="24" t="s">
        <v>3645</v>
      </c>
      <c r="I79" s="23"/>
      <c r="J79" s="24"/>
      <c r="K79" s="24"/>
      <c r="L79" s="25" t="s">
        <v>95</v>
      </c>
      <c r="M79" s="23"/>
    </row>
    <row r="80" spans="1:13" ht="51" x14ac:dyDescent="0.25">
      <c r="A80" s="19" t="s">
        <v>1336</v>
      </c>
      <c r="B80" s="20" t="s">
        <v>45</v>
      </c>
      <c r="C80" s="20" t="s">
        <v>3405</v>
      </c>
      <c r="D80" s="20" t="s">
        <v>2048</v>
      </c>
      <c r="E80" s="20" t="s">
        <v>3646</v>
      </c>
      <c r="F80" s="20" t="s">
        <v>3647</v>
      </c>
      <c r="G80" s="20" t="s">
        <v>2266</v>
      </c>
      <c r="H80" s="20" t="s">
        <v>3648</v>
      </c>
      <c r="I80" s="19"/>
      <c r="J80" s="20"/>
      <c r="K80" s="20"/>
      <c r="L80" s="27" t="s">
        <v>131</v>
      </c>
      <c r="M80" s="19"/>
    </row>
    <row r="81" spans="1:13" ht="38.25" x14ac:dyDescent="0.25">
      <c r="A81" s="23" t="s">
        <v>1383</v>
      </c>
      <c r="B81" s="24" t="s">
        <v>45</v>
      </c>
      <c r="C81" s="24" t="s">
        <v>3649</v>
      </c>
      <c r="D81" s="24" t="s">
        <v>3650</v>
      </c>
      <c r="E81" s="24" t="s">
        <v>3651</v>
      </c>
      <c r="F81" s="24" t="s">
        <v>3652</v>
      </c>
      <c r="G81" s="24" t="s">
        <v>2266</v>
      </c>
      <c r="H81" s="24" t="s">
        <v>2906</v>
      </c>
      <c r="I81" s="23"/>
      <c r="J81" s="24"/>
      <c r="K81" s="24"/>
      <c r="L81" s="22" t="s">
        <v>67</v>
      </c>
      <c r="M81" s="23"/>
    </row>
    <row r="82" spans="1:13" ht="38.25" x14ac:dyDescent="0.25">
      <c r="A82" s="19" t="s">
        <v>1388</v>
      </c>
      <c r="B82" s="20" t="s">
        <v>45</v>
      </c>
      <c r="C82" s="20" t="s">
        <v>3649</v>
      </c>
      <c r="D82" s="20" t="s">
        <v>3653</v>
      </c>
      <c r="E82" s="20" t="s">
        <v>3654</v>
      </c>
      <c r="F82" s="20" t="s">
        <v>3655</v>
      </c>
      <c r="G82" s="20" t="s">
        <v>2266</v>
      </c>
      <c r="H82" s="20" t="s">
        <v>3656</v>
      </c>
      <c r="I82" s="19"/>
      <c r="J82" s="20"/>
      <c r="K82" s="20"/>
      <c r="L82" s="25" t="s">
        <v>95</v>
      </c>
      <c r="M82" s="19"/>
    </row>
    <row r="83" spans="1:13" ht="51" x14ac:dyDescent="0.25">
      <c r="A83" s="23" t="s">
        <v>1393</v>
      </c>
      <c r="B83" s="24" t="s">
        <v>45</v>
      </c>
      <c r="C83" s="24" t="s">
        <v>3649</v>
      </c>
      <c r="D83" s="24" t="s">
        <v>3657</v>
      </c>
      <c r="E83" s="24" t="s">
        <v>3658</v>
      </c>
      <c r="F83" s="24" t="s">
        <v>3659</v>
      </c>
      <c r="G83" s="24" t="s">
        <v>2266</v>
      </c>
      <c r="H83" s="24" t="s">
        <v>3660</v>
      </c>
      <c r="I83" s="23"/>
      <c r="J83" s="24"/>
      <c r="K83" s="24"/>
      <c r="L83" s="26" t="s">
        <v>103</v>
      </c>
      <c r="M83" s="23"/>
    </row>
    <row r="84" spans="1:13" ht="51" x14ac:dyDescent="0.25">
      <c r="A84" s="19" t="s">
        <v>1398</v>
      </c>
      <c r="B84" s="20" t="s">
        <v>45</v>
      </c>
      <c r="C84" s="20" t="s">
        <v>3649</v>
      </c>
      <c r="D84" s="20" t="s">
        <v>3661</v>
      </c>
      <c r="E84" s="20" t="s">
        <v>3662</v>
      </c>
      <c r="F84" s="20" t="s">
        <v>3663</v>
      </c>
      <c r="G84" s="20" t="s">
        <v>2266</v>
      </c>
      <c r="H84" s="20" t="s">
        <v>3664</v>
      </c>
      <c r="I84" s="19"/>
      <c r="J84" s="20"/>
      <c r="K84" s="20"/>
      <c r="L84" s="25" t="s">
        <v>95</v>
      </c>
      <c r="M84" s="19"/>
    </row>
    <row r="85" spans="1:13" ht="51" x14ac:dyDescent="0.25">
      <c r="A85" s="23" t="s">
        <v>1403</v>
      </c>
      <c r="B85" s="24" t="s">
        <v>45</v>
      </c>
      <c r="C85" s="24" t="s">
        <v>3649</v>
      </c>
      <c r="D85" s="24" t="s">
        <v>3665</v>
      </c>
      <c r="E85" s="24" t="s">
        <v>3666</v>
      </c>
      <c r="F85" s="24" t="s">
        <v>3667</v>
      </c>
      <c r="G85" s="24" t="s">
        <v>2266</v>
      </c>
      <c r="H85" s="24" t="s">
        <v>3668</v>
      </c>
      <c r="I85" s="23"/>
      <c r="J85" s="24"/>
      <c r="K85" s="24"/>
      <c r="L85" s="25" t="s">
        <v>95</v>
      </c>
      <c r="M85" s="23"/>
    </row>
    <row r="86" spans="1:13" ht="38.25" x14ac:dyDescent="0.25">
      <c r="A86" s="19" t="s">
        <v>2811</v>
      </c>
      <c r="B86" s="20" t="s">
        <v>45</v>
      </c>
      <c r="C86" s="20" t="s">
        <v>3669</v>
      </c>
      <c r="D86" s="20" t="s">
        <v>3670</v>
      </c>
      <c r="E86" s="20" t="s">
        <v>3671</v>
      </c>
      <c r="F86" s="20" t="s">
        <v>3672</v>
      </c>
      <c r="G86" s="20" t="s">
        <v>2266</v>
      </c>
      <c r="H86" s="20" t="s">
        <v>3673</v>
      </c>
      <c r="I86" s="19"/>
      <c r="J86" s="20"/>
      <c r="K86" s="20"/>
      <c r="L86" s="26" t="s">
        <v>103</v>
      </c>
      <c r="M86" s="19"/>
    </row>
    <row r="87" spans="1:13" ht="38.25" x14ac:dyDescent="0.25">
      <c r="A87" s="23" t="s">
        <v>2815</v>
      </c>
      <c r="B87" s="24" t="s">
        <v>45</v>
      </c>
      <c r="C87" s="24" t="s">
        <v>3669</v>
      </c>
      <c r="D87" s="24" t="s">
        <v>3674</v>
      </c>
      <c r="E87" s="24" t="s">
        <v>3675</v>
      </c>
      <c r="F87" s="24" t="s">
        <v>3676</v>
      </c>
      <c r="G87" s="24" t="s">
        <v>2266</v>
      </c>
      <c r="H87" s="24" t="s">
        <v>3677</v>
      </c>
      <c r="I87" s="23"/>
      <c r="J87" s="24"/>
      <c r="K87" s="24"/>
      <c r="L87" s="26" t="s">
        <v>103</v>
      </c>
      <c r="M87" s="2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"/>
  <sheetViews>
    <sheetView workbookViewId="0"/>
  </sheetViews>
  <sheetFormatPr defaultRowHeight="15" x14ac:dyDescent="0.25"/>
  <cols>
    <col min="1" max="10" width="15" customWidth="1"/>
  </cols>
  <sheetData>
    <row r="1" spans="1:10" x14ac:dyDescent="0.25">
      <c r="A1" s="8" t="s">
        <v>48</v>
      </c>
      <c r="B1" s="8" t="s">
        <v>3678</v>
      </c>
      <c r="C1" s="8" t="s">
        <v>7</v>
      </c>
      <c r="D1" s="8" t="s">
        <v>8</v>
      </c>
      <c r="E1" s="8" t="s">
        <v>9</v>
      </c>
      <c r="F1" s="8" t="s">
        <v>11</v>
      </c>
      <c r="G1" s="8" t="s">
        <v>103</v>
      </c>
      <c r="H1" s="8" t="s">
        <v>67</v>
      </c>
      <c r="I1" s="8" t="s">
        <v>95</v>
      </c>
      <c r="J1" s="8" t="s">
        <v>131</v>
      </c>
    </row>
    <row r="2" spans="1:10" x14ac:dyDescent="0.25">
      <c r="A2" s="9" t="s">
        <v>39</v>
      </c>
      <c r="B2" s="9">
        <f>COUNTIF('Test Cases'!B:B,A2)</f>
        <v>75</v>
      </c>
      <c r="C2" s="9">
        <f>COUNTIFS('Test Cases'!B:B,A2,'Test Cases'!H:H,"PASS")</f>
        <v>0</v>
      </c>
      <c r="D2" s="9">
        <f>COUNTIFS('Test Cases'!B:B,A2,'Test Cases'!H:H,"FAIL")</f>
        <v>0</v>
      </c>
      <c r="E2" s="9">
        <f>COUNTIFS('Test Cases'!B:B,A2,'Test Cases'!H:H,"")</f>
        <v>0</v>
      </c>
      <c r="F2" s="10">
        <f>IF(B2&gt;0,C2/B2,0)</f>
        <v>0</v>
      </c>
      <c r="G2" s="9">
        <f>COUNTIFS('Test Cases'!B:B,A2,'Test Cases'!K:K,"Critical")</f>
        <v>0</v>
      </c>
      <c r="H2" s="9">
        <f>COUNTIFS('Test Cases'!B:B,A2,'Test Cases'!K:K,"High")</f>
        <v>0</v>
      </c>
      <c r="I2" s="9">
        <f>COUNTIFS('Test Cases'!B:B,A2,'Test Cases'!K:K,"Medium")</f>
        <v>0</v>
      </c>
      <c r="J2" s="9">
        <f>COUNTIFS('Test Cases'!B:B,A2,'Test Cases'!K:K,"Low")</f>
        <v>0</v>
      </c>
    </row>
    <row r="3" spans="1:10" x14ac:dyDescent="0.25">
      <c r="A3" s="9" t="s">
        <v>35</v>
      </c>
      <c r="B3" s="9">
        <f>COUNTIF('Test Cases'!B:B,A3)</f>
        <v>124</v>
      </c>
      <c r="C3" s="9">
        <f>COUNTIFS('Test Cases'!B:B,A3,'Test Cases'!H:H,"PASS")</f>
        <v>0</v>
      </c>
      <c r="D3" s="9">
        <f>COUNTIFS('Test Cases'!B:B,A3,'Test Cases'!H:H,"FAIL")</f>
        <v>0</v>
      </c>
      <c r="E3" s="9">
        <f>COUNTIFS('Test Cases'!B:B,A3,'Test Cases'!H:H,"")</f>
        <v>0</v>
      </c>
      <c r="F3" s="10">
        <f>IF(B3&gt;0,C3/B3,0)</f>
        <v>0</v>
      </c>
      <c r="G3" s="9">
        <f>COUNTIFS('Test Cases'!B:B,A3,'Test Cases'!K:K,"Critical")</f>
        <v>0</v>
      </c>
      <c r="H3" s="9">
        <f>COUNTIFS('Test Cases'!B:B,A3,'Test Cases'!K:K,"High")</f>
        <v>0</v>
      </c>
      <c r="I3" s="9">
        <f>COUNTIFS('Test Cases'!B:B,A3,'Test Cases'!K:K,"Medium")</f>
        <v>0</v>
      </c>
      <c r="J3" s="9">
        <f>COUNTIFS('Test Cases'!B:B,A3,'Test Cases'!K:K,"Low")</f>
        <v>0</v>
      </c>
    </row>
    <row r="4" spans="1:10" x14ac:dyDescent="0.25">
      <c r="A4" s="9" t="s">
        <v>28</v>
      </c>
      <c r="B4" s="9">
        <f>COUNTIF('Test Cases'!B:B,A4)</f>
        <v>81</v>
      </c>
      <c r="C4" s="9">
        <f>COUNTIFS('Test Cases'!B:B,A4,'Test Cases'!H:H,"PASS")</f>
        <v>0</v>
      </c>
      <c r="D4" s="9">
        <f>COUNTIFS('Test Cases'!B:B,A4,'Test Cases'!H:H,"FAIL")</f>
        <v>0</v>
      </c>
      <c r="E4" s="9">
        <f>COUNTIFS('Test Cases'!B:B,A4,'Test Cases'!H:H,"")</f>
        <v>0</v>
      </c>
      <c r="F4" s="10">
        <f>IF(B4&gt;0,C4/B4,0)</f>
        <v>0</v>
      </c>
      <c r="G4" s="9">
        <f>COUNTIFS('Test Cases'!B:B,A4,'Test Cases'!K:K,"Critical")</f>
        <v>0</v>
      </c>
      <c r="H4" s="9">
        <f>COUNTIFS('Test Cases'!B:B,A4,'Test Cases'!K:K,"High")</f>
        <v>0</v>
      </c>
      <c r="I4" s="9">
        <f>COUNTIFS('Test Cases'!B:B,A4,'Test Cases'!K:K,"Medium")</f>
        <v>0</v>
      </c>
      <c r="J4" s="9">
        <f>COUNTIFS('Test Cases'!B:B,A4,'Test Cases'!K:K,"Low")</f>
        <v>0</v>
      </c>
    </row>
    <row r="5" spans="1:10" x14ac:dyDescent="0.25">
      <c r="A5" s="9" t="s">
        <v>24</v>
      </c>
      <c r="B5" s="9">
        <f>COUNTIF('Test Cases'!B:B,A5)</f>
        <v>44</v>
      </c>
      <c r="C5" s="9">
        <f>COUNTIFS('Test Cases'!B:B,A5,'Test Cases'!H:H,"PASS")</f>
        <v>0</v>
      </c>
      <c r="D5" s="9">
        <f>COUNTIFS('Test Cases'!B:B,A5,'Test Cases'!H:H,"FAIL")</f>
        <v>0</v>
      </c>
      <c r="E5" s="9">
        <f>COUNTIFS('Test Cases'!B:B,A5,'Test Cases'!H:H,"")</f>
        <v>0</v>
      </c>
      <c r="F5" s="10">
        <f>IF(B5&gt;0,C5/B5,0)</f>
        <v>0</v>
      </c>
      <c r="G5" s="9">
        <f>COUNTIFS('Test Cases'!B:B,A5,'Test Cases'!K:K,"Critical")</f>
        <v>0</v>
      </c>
      <c r="H5" s="9">
        <f>COUNTIFS('Test Cases'!B:B,A5,'Test Cases'!K:K,"High")</f>
        <v>0</v>
      </c>
      <c r="I5" s="9">
        <f>COUNTIFS('Test Cases'!B:B,A5,'Test Cases'!K:K,"Medium")</f>
        <v>0</v>
      </c>
      <c r="J5" s="9">
        <f>COUNTIFS('Test Cases'!B:B,A5,'Test Cases'!K:K,"Low")</f>
        <v>0</v>
      </c>
    </row>
    <row r="6" spans="1:10" x14ac:dyDescent="0.25">
      <c r="A6" s="9" t="s">
        <v>45</v>
      </c>
      <c r="B6" s="9">
        <f>COUNTIF('Test Cases'!B:B,A6)</f>
        <v>28</v>
      </c>
      <c r="C6" s="9">
        <f>COUNTIFS('Test Cases'!B:B,A6,'Test Cases'!H:H,"PASS")</f>
        <v>0</v>
      </c>
      <c r="D6" s="9">
        <f>COUNTIFS('Test Cases'!B:B,A6,'Test Cases'!H:H,"FAIL")</f>
        <v>0</v>
      </c>
      <c r="E6" s="9">
        <f>COUNTIFS('Test Cases'!B:B,A6,'Test Cases'!H:H,"")</f>
        <v>0</v>
      </c>
      <c r="F6" s="10">
        <f>IF(B6&gt;0,C6/B6,0)</f>
        <v>0</v>
      </c>
      <c r="G6" s="9">
        <f>COUNTIFS('Test Cases'!B:B,A6,'Test Cases'!K:K,"Critical")</f>
        <v>0</v>
      </c>
      <c r="H6" s="9">
        <f>COUNTIFS('Test Cases'!B:B,A6,'Test Cases'!K:K,"High")</f>
        <v>0</v>
      </c>
      <c r="I6" s="9">
        <f>COUNTIFS('Test Cases'!B:B,A6,'Test Cases'!K:K,"Medium")</f>
        <v>0</v>
      </c>
      <c r="J6" s="9">
        <f>COUNTIFS('Test Cases'!B:B,A6,'Test Cases'!K:K,"Low")</f>
        <v>0</v>
      </c>
    </row>
    <row r="8" spans="1:10" x14ac:dyDescent="0.25">
      <c r="A8" s="12" t="s">
        <v>3679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353"/>
  <sheetViews>
    <sheetView workbookViewId="0"/>
  </sheetViews>
  <sheetFormatPr defaultRowHeight="15" x14ac:dyDescent="0.25"/>
  <cols>
    <col min="1" max="1" width="10" customWidth="1"/>
    <col min="2" max="3" width="12" customWidth="1"/>
    <col min="4" max="4" width="15" customWidth="1"/>
    <col min="5" max="5" width="30" customWidth="1"/>
    <col min="6" max="6" width="40" customWidth="1"/>
    <col min="7" max="7" width="35" customWidth="1"/>
    <col min="8" max="8" width="12" customWidth="1"/>
    <col min="9" max="9" width="30" customWidth="1"/>
    <col min="10" max="10" width="25" customWidth="1"/>
    <col min="11" max="11" width="10" customWidth="1"/>
    <col min="12" max="12" width="15" customWidth="1"/>
  </cols>
  <sheetData>
    <row r="1" spans="1:13" ht="30" customHeight="1" x14ac:dyDescent="0.25">
      <c r="A1" s="3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19</v>
      </c>
      <c r="L1" s="3" t="s">
        <v>57</v>
      </c>
      <c r="M1" s="3" t="s">
        <v>58</v>
      </c>
    </row>
    <row r="2" spans="1:13" ht="75" customHeight="1" x14ac:dyDescent="0.25">
      <c r="A2" s="4" t="s">
        <v>801</v>
      </c>
      <c r="B2" s="4" t="s">
        <v>39</v>
      </c>
      <c r="C2" s="4" t="s">
        <v>60</v>
      </c>
      <c r="D2" s="4" t="s">
        <v>61</v>
      </c>
      <c r="E2" s="4" t="s">
        <v>802</v>
      </c>
      <c r="F2" s="4" t="s">
        <v>3680</v>
      </c>
      <c r="G2" s="11" t="s">
        <v>804</v>
      </c>
      <c r="H2" s="4" t="s">
        <v>805</v>
      </c>
      <c r="I2" s="4" t="str">
        <f t="shared" ref="I2:I65" ca="1" si="0">IF(I2="","",IF(I2=G2,"PASS","FAIL"))</f>
        <v/>
      </c>
      <c r="J2" s="4"/>
      <c r="K2" s="4"/>
      <c r="L2" s="5" t="s">
        <v>67</v>
      </c>
      <c r="M2" s="4"/>
    </row>
    <row r="3" spans="1:13" ht="60" customHeight="1" x14ac:dyDescent="0.25">
      <c r="A3" s="4" t="s">
        <v>806</v>
      </c>
      <c r="B3" s="4" t="s">
        <v>39</v>
      </c>
      <c r="C3" s="4" t="s">
        <v>60</v>
      </c>
      <c r="D3" s="4" t="s">
        <v>61</v>
      </c>
      <c r="E3" s="4" t="s">
        <v>807</v>
      </c>
      <c r="F3" s="4" t="s">
        <v>808</v>
      </c>
      <c r="G3" s="11" t="s">
        <v>804</v>
      </c>
      <c r="H3" s="4" t="s">
        <v>809</v>
      </c>
      <c r="I3" s="4" t="str">
        <f t="shared" ca="1" si="0"/>
        <v/>
      </c>
      <c r="J3" s="4"/>
      <c r="K3" s="4"/>
      <c r="L3" s="5" t="s">
        <v>67</v>
      </c>
      <c r="M3" s="4"/>
    </row>
    <row r="4" spans="1:13" ht="90" customHeight="1" x14ac:dyDescent="0.25">
      <c r="A4" s="4" t="s">
        <v>810</v>
      </c>
      <c r="B4" s="4" t="s">
        <v>39</v>
      </c>
      <c r="C4" s="4" t="s">
        <v>60</v>
      </c>
      <c r="D4" s="4" t="s">
        <v>811</v>
      </c>
      <c r="E4" s="4" t="s">
        <v>812</v>
      </c>
      <c r="F4" s="4" t="s">
        <v>813</v>
      </c>
      <c r="G4" s="11" t="s">
        <v>804</v>
      </c>
      <c r="H4" s="4" t="s">
        <v>814</v>
      </c>
      <c r="I4" s="4" t="str">
        <f t="shared" ca="1" si="0"/>
        <v/>
      </c>
      <c r="J4" s="4"/>
      <c r="K4" s="4"/>
      <c r="L4" s="5" t="s">
        <v>67</v>
      </c>
      <c r="M4" s="4"/>
    </row>
    <row r="5" spans="1:13" ht="90" customHeight="1" x14ac:dyDescent="0.25">
      <c r="A5" s="4" t="s">
        <v>817</v>
      </c>
      <c r="B5" s="4" t="s">
        <v>39</v>
      </c>
      <c r="C5" s="4" t="s">
        <v>60</v>
      </c>
      <c r="D5" s="4" t="s">
        <v>232</v>
      </c>
      <c r="E5" s="4" t="s">
        <v>818</v>
      </c>
      <c r="F5" s="4" t="s">
        <v>819</v>
      </c>
      <c r="G5" s="11" t="s">
        <v>804</v>
      </c>
      <c r="H5" s="4" t="s">
        <v>820</v>
      </c>
      <c r="I5" s="4" t="str">
        <f t="shared" ca="1" si="0"/>
        <v/>
      </c>
      <c r="J5" s="4"/>
      <c r="K5" s="4"/>
      <c r="L5" s="6" t="s">
        <v>95</v>
      </c>
      <c r="M5" s="4"/>
    </row>
    <row r="6" spans="1:13" ht="75" customHeight="1" x14ac:dyDescent="0.25">
      <c r="A6" s="4" t="s">
        <v>821</v>
      </c>
      <c r="B6" s="4" t="s">
        <v>39</v>
      </c>
      <c r="C6" s="4" t="s">
        <v>60</v>
      </c>
      <c r="D6" s="4" t="s">
        <v>74</v>
      </c>
      <c r="E6" s="4" t="s">
        <v>822</v>
      </c>
      <c r="F6" s="4" t="s">
        <v>76</v>
      </c>
      <c r="G6" s="11" t="s">
        <v>804</v>
      </c>
      <c r="H6" s="4" t="s">
        <v>823</v>
      </c>
      <c r="I6" s="4" t="str">
        <f t="shared" ca="1" si="0"/>
        <v/>
      </c>
      <c r="J6" s="4"/>
      <c r="K6" s="4"/>
      <c r="L6" s="5" t="s">
        <v>67</v>
      </c>
      <c r="M6" s="4"/>
    </row>
    <row r="7" spans="1:13" ht="105" customHeight="1" x14ac:dyDescent="0.25">
      <c r="A7" s="4" t="s">
        <v>825</v>
      </c>
      <c r="B7" s="4" t="s">
        <v>39</v>
      </c>
      <c r="C7" s="4" t="s">
        <v>79</v>
      </c>
      <c r="D7" s="4" t="s">
        <v>80</v>
      </c>
      <c r="E7" s="4" t="s">
        <v>826</v>
      </c>
      <c r="F7" s="4" t="s">
        <v>827</v>
      </c>
      <c r="G7" s="11" t="s">
        <v>828</v>
      </c>
      <c r="H7" s="4" t="s">
        <v>829</v>
      </c>
      <c r="I7" s="4" t="str">
        <f t="shared" ca="1" si="0"/>
        <v/>
      </c>
      <c r="J7" s="4"/>
      <c r="K7" s="4"/>
      <c r="L7" s="5" t="s">
        <v>67</v>
      </c>
      <c r="M7" s="4"/>
    </row>
    <row r="8" spans="1:13" ht="60" customHeight="1" x14ac:dyDescent="0.25">
      <c r="A8" s="4" t="s">
        <v>830</v>
      </c>
      <c r="B8" s="4" t="s">
        <v>39</v>
      </c>
      <c r="C8" s="4" t="s">
        <v>79</v>
      </c>
      <c r="D8" s="4" t="s">
        <v>831</v>
      </c>
      <c r="E8" s="4" t="s">
        <v>832</v>
      </c>
      <c r="F8" s="4" t="s">
        <v>833</v>
      </c>
      <c r="G8" s="11" t="s">
        <v>828</v>
      </c>
      <c r="H8" s="4" t="s">
        <v>834</v>
      </c>
      <c r="I8" s="4" t="str">
        <f t="shared" ca="1" si="0"/>
        <v/>
      </c>
      <c r="J8" s="4"/>
      <c r="K8" s="4"/>
      <c r="L8" s="5" t="s">
        <v>67</v>
      </c>
      <c r="M8" s="4"/>
    </row>
    <row r="9" spans="1:13" ht="60" customHeight="1" x14ac:dyDescent="0.25">
      <c r="A9" s="4" t="s">
        <v>835</v>
      </c>
      <c r="B9" s="4" t="s">
        <v>39</v>
      </c>
      <c r="C9" s="4" t="s">
        <v>79</v>
      </c>
      <c r="D9" s="4" t="s">
        <v>91</v>
      </c>
      <c r="E9" s="4" t="s">
        <v>836</v>
      </c>
      <c r="F9" s="4" t="s">
        <v>837</v>
      </c>
      <c r="G9" s="11" t="s">
        <v>828</v>
      </c>
      <c r="H9" s="4" t="s">
        <v>838</v>
      </c>
      <c r="I9" s="4" t="str">
        <f t="shared" ca="1" si="0"/>
        <v/>
      </c>
      <c r="J9" s="4"/>
      <c r="K9" s="4"/>
      <c r="L9" s="6" t="s">
        <v>95</v>
      </c>
      <c r="M9" s="4"/>
    </row>
    <row r="10" spans="1:13" ht="75" customHeight="1" x14ac:dyDescent="0.25">
      <c r="A10" s="4" t="s">
        <v>839</v>
      </c>
      <c r="B10" s="4" t="s">
        <v>39</v>
      </c>
      <c r="C10" s="4" t="s">
        <v>840</v>
      </c>
      <c r="D10" s="4" t="s">
        <v>841</v>
      </c>
      <c r="E10" s="4" t="s">
        <v>842</v>
      </c>
      <c r="F10" s="4" t="s">
        <v>843</v>
      </c>
      <c r="G10" s="11" t="s">
        <v>844</v>
      </c>
      <c r="H10" s="4" t="s">
        <v>845</v>
      </c>
      <c r="I10" s="4" t="str">
        <f t="shared" ca="1" si="0"/>
        <v/>
      </c>
      <c r="J10" s="4"/>
      <c r="K10" s="4"/>
      <c r="L10" s="5" t="s">
        <v>67</v>
      </c>
      <c r="M10" s="4"/>
    </row>
    <row r="11" spans="1:13" ht="60" customHeight="1" x14ac:dyDescent="0.25">
      <c r="A11" s="4" t="s">
        <v>846</v>
      </c>
      <c r="B11" s="4" t="s">
        <v>39</v>
      </c>
      <c r="C11" s="4" t="s">
        <v>840</v>
      </c>
      <c r="D11" s="4" t="s">
        <v>847</v>
      </c>
      <c r="E11" s="4" t="s">
        <v>848</v>
      </c>
      <c r="F11" s="4" t="s">
        <v>849</v>
      </c>
      <c r="G11" s="11" t="s">
        <v>850</v>
      </c>
      <c r="H11" s="4" t="s">
        <v>851</v>
      </c>
      <c r="I11" s="4" t="str">
        <f t="shared" ca="1" si="0"/>
        <v/>
      </c>
      <c r="J11" s="4"/>
      <c r="K11" s="4"/>
      <c r="L11" s="5" t="s">
        <v>67</v>
      </c>
      <c r="M11" s="4"/>
    </row>
    <row r="12" spans="1:13" ht="60" customHeight="1" x14ac:dyDescent="0.25">
      <c r="A12" s="4" t="s">
        <v>852</v>
      </c>
      <c r="B12" s="4" t="s">
        <v>39</v>
      </c>
      <c r="C12" s="4" t="s">
        <v>840</v>
      </c>
      <c r="D12" s="4" t="s">
        <v>853</v>
      </c>
      <c r="E12" s="4" t="s">
        <v>854</v>
      </c>
      <c r="F12" s="4" t="s">
        <v>855</v>
      </c>
      <c r="G12" s="11" t="s">
        <v>850</v>
      </c>
      <c r="H12" s="4" t="s">
        <v>856</v>
      </c>
      <c r="I12" s="4" t="str">
        <f t="shared" ca="1" si="0"/>
        <v/>
      </c>
      <c r="J12" s="4"/>
      <c r="K12" s="4"/>
      <c r="L12" s="5" t="s">
        <v>67</v>
      </c>
      <c r="M12" s="4"/>
    </row>
    <row r="13" spans="1:13" ht="60" customHeight="1" x14ac:dyDescent="0.25">
      <c r="A13" s="4" t="s">
        <v>857</v>
      </c>
      <c r="B13" s="4" t="s">
        <v>39</v>
      </c>
      <c r="C13" s="4" t="s">
        <v>840</v>
      </c>
      <c r="D13" s="4" t="s">
        <v>858</v>
      </c>
      <c r="E13" s="4" t="s">
        <v>859</v>
      </c>
      <c r="F13" s="4" t="s">
        <v>860</v>
      </c>
      <c r="G13" s="11" t="s">
        <v>850</v>
      </c>
      <c r="H13" s="4" t="s">
        <v>861</v>
      </c>
      <c r="I13" s="4" t="str">
        <f t="shared" ca="1" si="0"/>
        <v/>
      </c>
      <c r="J13" s="4"/>
      <c r="K13" s="4"/>
      <c r="L13" s="5" t="s">
        <v>67</v>
      </c>
      <c r="M13" s="4"/>
    </row>
    <row r="14" spans="1:13" ht="75" customHeight="1" x14ac:dyDescent="0.25">
      <c r="A14" s="4" t="s">
        <v>862</v>
      </c>
      <c r="B14" s="4" t="s">
        <v>39</v>
      </c>
      <c r="C14" s="4" t="s">
        <v>840</v>
      </c>
      <c r="D14" s="4" t="s">
        <v>863</v>
      </c>
      <c r="E14" s="4" t="s">
        <v>864</v>
      </c>
      <c r="F14" s="4" t="s">
        <v>865</v>
      </c>
      <c r="G14" s="11" t="s">
        <v>850</v>
      </c>
      <c r="H14" s="4" t="s">
        <v>866</v>
      </c>
      <c r="I14" s="4" t="str">
        <f t="shared" ca="1" si="0"/>
        <v/>
      </c>
      <c r="J14" s="4"/>
      <c r="K14" s="4"/>
      <c r="L14" s="5" t="s">
        <v>67</v>
      </c>
      <c r="M14" s="4"/>
    </row>
    <row r="15" spans="1:13" ht="75" customHeight="1" x14ac:dyDescent="0.25">
      <c r="A15" s="4" t="s">
        <v>867</v>
      </c>
      <c r="B15" s="4" t="s">
        <v>39</v>
      </c>
      <c r="C15" s="4" t="s">
        <v>840</v>
      </c>
      <c r="D15" s="4" t="s">
        <v>868</v>
      </c>
      <c r="E15" s="4" t="s">
        <v>869</v>
      </c>
      <c r="F15" s="4" t="s">
        <v>870</v>
      </c>
      <c r="G15" s="11" t="s">
        <v>850</v>
      </c>
      <c r="H15" s="4" t="s">
        <v>871</v>
      </c>
      <c r="I15" s="4" t="str">
        <f t="shared" ca="1" si="0"/>
        <v/>
      </c>
      <c r="J15" s="4"/>
      <c r="K15" s="4"/>
      <c r="L15" s="6" t="s">
        <v>95</v>
      </c>
      <c r="M15" s="4"/>
    </row>
    <row r="16" spans="1:13" ht="75" customHeight="1" x14ac:dyDescent="0.25">
      <c r="A16" s="4" t="s">
        <v>872</v>
      </c>
      <c r="B16" s="4" t="s">
        <v>39</v>
      </c>
      <c r="C16" s="4" t="s">
        <v>840</v>
      </c>
      <c r="D16" s="4" t="s">
        <v>873</v>
      </c>
      <c r="E16" s="4" t="s">
        <v>874</v>
      </c>
      <c r="F16" s="4" t="s">
        <v>875</v>
      </c>
      <c r="G16" s="11" t="s">
        <v>850</v>
      </c>
      <c r="H16" s="4" t="s">
        <v>876</v>
      </c>
      <c r="I16" s="4" t="str">
        <f t="shared" ca="1" si="0"/>
        <v/>
      </c>
      <c r="J16" s="4"/>
      <c r="K16" s="4"/>
      <c r="L16" s="6" t="s">
        <v>95</v>
      </c>
      <c r="M16" s="4"/>
    </row>
    <row r="17" spans="1:13" ht="60" customHeight="1" x14ac:dyDescent="0.25">
      <c r="A17" s="4" t="s">
        <v>877</v>
      </c>
      <c r="B17" s="4" t="s">
        <v>39</v>
      </c>
      <c r="C17" s="4" t="s">
        <v>840</v>
      </c>
      <c r="D17" s="4" t="s">
        <v>878</v>
      </c>
      <c r="E17" s="4" t="s">
        <v>879</v>
      </c>
      <c r="F17" s="4" t="s">
        <v>880</v>
      </c>
      <c r="G17" s="11" t="s">
        <v>850</v>
      </c>
      <c r="H17" s="4" t="s">
        <v>881</v>
      </c>
      <c r="I17" s="4" t="str">
        <f t="shared" ca="1" si="0"/>
        <v/>
      </c>
      <c r="J17" s="4"/>
      <c r="K17" s="4"/>
      <c r="L17" s="6" t="s">
        <v>95</v>
      </c>
      <c r="M17" s="4"/>
    </row>
    <row r="18" spans="1:13" ht="60" customHeight="1" x14ac:dyDescent="0.25">
      <c r="A18" s="4" t="s">
        <v>882</v>
      </c>
      <c r="B18" s="4" t="s">
        <v>39</v>
      </c>
      <c r="C18" s="4" t="s">
        <v>840</v>
      </c>
      <c r="D18" s="4" t="s">
        <v>883</v>
      </c>
      <c r="E18" s="4" t="s">
        <v>884</v>
      </c>
      <c r="F18" s="4" t="s">
        <v>885</v>
      </c>
      <c r="G18" s="11" t="s">
        <v>850</v>
      </c>
      <c r="H18" s="4" t="s">
        <v>886</v>
      </c>
      <c r="I18" s="4" t="str">
        <f t="shared" ca="1" si="0"/>
        <v/>
      </c>
      <c r="J18" s="4"/>
      <c r="K18" s="4"/>
      <c r="L18" s="6" t="s">
        <v>95</v>
      </c>
      <c r="M18" s="4"/>
    </row>
    <row r="19" spans="1:13" ht="60" customHeight="1" x14ac:dyDescent="0.25">
      <c r="A19" s="4" t="s">
        <v>887</v>
      </c>
      <c r="B19" s="4" t="s">
        <v>39</v>
      </c>
      <c r="C19" s="4" t="s">
        <v>840</v>
      </c>
      <c r="D19" s="4" t="s">
        <v>888</v>
      </c>
      <c r="E19" s="4" t="s">
        <v>889</v>
      </c>
      <c r="F19" s="4" t="s">
        <v>890</v>
      </c>
      <c r="G19" s="11" t="s">
        <v>850</v>
      </c>
      <c r="H19" s="4" t="s">
        <v>891</v>
      </c>
      <c r="I19" s="4" t="str">
        <f t="shared" ca="1" si="0"/>
        <v/>
      </c>
      <c r="J19" s="4"/>
      <c r="K19" s="4"/>
      <c r="L19" s="6" t="s">
        <v>95</v>
      </c>
      <c r="M19" s="4"/>
    </row>
    <row r="20" spans="1:13" ht="75" customHeight="1" x14ac:dyDescent="0.25">
      <c r="A20" s="4" t="s">
        <v>892</v>
      </c>
      <c r="B20" s="4" t="s">
        <v>39</v>
      </c>
      <c r="C20" s="4" t="s">
        <v>840</v>
      </c>
      <c r="D20" s="4" t="s">
        <v>893</v>
      </c>
      <c r="E20" s="4" t="s">
        <v>894</v>
      </c>
      <c r="F20" s="4" t="s">
        <v>895</v>
      </c>
      <c r="G20" s="11" t="s">
        <v>850</v>
      </c>
      <c r="H20" s="4" t="s">
        <v>896</v>
      </c>
      <c r="I20" s="4" t="str">
        <f t="shared" ca="1" si="0"/>
        <v/>
      </c>
      <c r="J20" s="4"/>
      <c r="K20" s="4"/>
      <c r="L20" s="5" t="s">
        <v>67</v>
      </c>
      <c r="M20" s="4"/>
    </row>
    <row r="21" spans="1:13" ht="105" customHeight="1" x14ac:dyDescent="0.25">
      <c r="A21" s="4" t="s">
        <v>897</v>
      </c>
      <c r="B21" s="4" t="s">
        <v>39</v>
      </c>
      <c r="C21" s="4" t="s">
        <v>898</v>
      </c>
      <c r="D21" s="4" t="s">
        <v>899</v>
      </c>
      <c r="E21" s="4" t="s">
        <v>900</v>
      </c>
      <c r="F21" s="4" t="s">
        <v>901</v>
      </c>
      <c r="G21" s="11" t="s">
        <v>902</v>
      </c>
      <c r="H21" s="4" t="s">
        <v>903</v>
      </c>
      <c r="I21" s="4" t="str">
        <f t="shared" ca="1" si="0"/>
        <v/>
      </c>
      <c r="J21" s="4"/>
      <c r="K21" s="4"/>
      <c r="L21" s="5" t="s">
        <v>67</v>
      </c>
      <c r="M21" s="4"/>
    </row>
    <row r="22" spans="1:13" ht="75" customHeight="1" x14ac:dyDescent="0.25">
      <c r="A22" s="4" t="s">
        <v>904</v>
      </c>
      <c r="B22" s="4" t="s">
        <v>39</v>
      </c>
      <c r="C22" s="4" t="s">
        <v>898</v>
      </c>
      <c r="D22" s="4" t="s">
        <v>905</v>
      </c>
      <c r="E22" s="4" t="s">
        <v>906</v>
      </c>
      <c r="F22" s="4" t="s">
        <v>907</v>
      </c>
      <c r="G22" s="11" t="s">
        <v>908</v>
      </c>
      <c r="H22" s="4" t="s">
        <v>909</v>
      </c>
      <c r="I22" s="4" t="str">
        <f t="shared" ca="1" si="0"/>
        <v/>
      </c>
      <c r="J22" s="4"/>
      <c r="K22" s="4"/>
      <c r="L22" s="5" t="s">
        <v>67</v>
      </c>
      <c r="M22" s="4"/>
    </row>
    <row r="23" spans="1:13" ht="45" customHeight="1" x14ac:dyDescent="0.25">
      <c r="A23" s="4" t="s">
        <v>910</v>
      </c>
      <c r="B23" s="4" t="s">
        <v>39</v>
      </c>
      <c r="C23" s="4" t="s">
        <v>898</v>
      </c>
      <c r="D23" s="4" t="s">
        <v>911</v>
      </c>
      <c r="E23" s="4" t="s">
        <v>912</v>
      </c>
      <c r="F23" s="4" t="s">
        <v>913</v>
      </c>
      <c r="G23" s="11" t="s">
        <v>908</v>
      </c>
      <c r="H23" s="4" t="s">
        <v>914</v>
      </c>
      <c r="I23" s="4" t="str">
        <f t="shared" ca="1" si="0"/>
        <v/>
      </c>
      <c r="J23" s="4"/>
      <c r="K23" s="4"/>
      <c r="L23" s="5" t="s">
        <v>67</v>
      </c>
      <c r="M23" s="4"/>
    </row>
    <row r="24" spans="1:13" ht="75" customHeight="1" x14ac:dyDescent="0.25">
      <c r="A24" s="4" t="s">
        <v>915</v>
      </c>
      <c r="B24" s="4" t="s">
        <v>39</v>
      </c>
      <c r="C24" s="4" t="s">
        <v>898</v>
      </c>
      <c r="D24" s="4" t="s">
        <v>916</v>
      </c>
      <c r="E24" s="4" t="s">
        <v>917</v>
      </c>
      <c r="F24" s="4" t="s">
        <v>918</v>
      </c>
      <c r="G24" s="11" t="s">
        <v>908</v>
      </c>
      <c r="H24" s="4" t="s">
        <v>919</v>
      </c>
      <c r="I24" s="4" t="str">
        <f t="shared" ca="1" si="0"/>
        <v/>
      </c>
      <c r="J24" s="4"/>
      <c r="K24" s="4"/>
      <c r="L24" s="6" t="s">
        <v>95</v>
      </c>
      <c r="M24" s="4"/>
    </row>
    <row r="25" spans="1:13" ht="75" customHeight="1" x14ac:dyDescent="0.25">
      <c r="A25" s="4" t="s">
        <v>920</v>
      </c>
      <c r="B25" s="4" t="s">
        <v>39</v>
      </c>
      <c r="C25" s="4" t="s">
        <v>898</v>
      </c>
      <c r="D25" s="4" t="s">
        <v>921</v>
      </c>
      <c r="E25" s="4" t="s">
        <v>922</v>
      </c>
      <c r="F25" s="4" t="s">
        <v>923</v>
      </c>
      <c r="G25" s="11" t="s">
        <v>924</v>
      </c>
      <c r="H25" s="4" t="s">
        <v>925</v>
      </c>
      <c r="I25" s="4" t="str">
        <f t="shared" ca="1" si="0"/>
        <v/>
      </c>
      <c r="J25" s="4"/>
      <c r="K25" s="4"/>
      <c r="L25" s="5" t="s">
        <v>67</v>
      </c>
      <c r="M25" s="4"/>
    </row>
    <row r="26" spans="1:13" ht="105" customHeight="1" x14ac:dyDescent="0.25">
      <c r="A26" s="4" t="s">
        <v>926</v>
      </c>
      <c r="B26" s="4" t="s">
        <v>39</v>
      </c>
      <c r="C26" s="4" t="s">
        <v>898</v>
      </c>
      <c r="D26" s="4" t="s">
        <v>927</v>
      </c>
      <c r="E26" s="4" t="s">
        <v>928</v>
      </c>
      <c r="F26" s="4" t="s">
        <v>929</v>
      </c>
      <c r="G26" s="11" t="s">
        <v>930</v>
      </c>
      <c r="H26" s="4" t="s">
        <v>931</v>
      </c>
      <c r="I26" s="4" t="str">
        <f t="shared" ca="1" si="0"/>
        <v/>
      </c>
      <c r="J26" s="4"/>
      <c r="K26" s="4"/>
      <c r="L26" s="5" t="s">
        <v>67</v>
      </c>
      <c r="M26" s="4"/>
    </row>
    <row r="27" spans="1:13" ht="60" customHeight="1" x14ac:dyDescent="0.25">
      <c r="A27" s="4" t="s">
        <v>932</v>
      </c>
      <c r="B27" s="4" t="s">
        <v>39</v>
      </c>
      <c r="C27" s="4" t="s">
        <v>898</v>
      </c>
      <c r="D27" s="4" t="s">
        <v>933</v>
      </c>
      <c r="E27" s="4" t="s">
        <v>934</v>
      </c>
      <c r="F27" s="4" t="s">
        <v>935</v>
      </c>
      <c r="G27" s="11" t="s">
        <v>936</v>
      </c>
      <c r="H27" s="4" t="s">
        <v>937</v>
      </c>
      <c r="I27" s="4" t="str">
        <f t="shared" ca="1" si="0"/>
        <v/>
      </c>
      <c r="J27" s="4"/>
      <c r="K27" s="4"/>
      <c r="L27" s="5" t="s">
        <v>67</v>
      </c>
      <c r="M27" s="4"/>
    </row>
    <row r="28" spans="1:13" ht="90" customHeight="1" x14ac:dyDescent="0.25">
      <c r="A28" s="4" t="s">
        <v>938</v>
      </c>
      <c r="B28" s="4" t="s">
        <v>39</v>
      </c>
      <c r="C28" s="4" t="s">
        <v>898</v>
      </c>
      <c r="D28" s="4" t="s">
        <v>939</v>
      </c>
      <c r="E28" s="4" t="s">
        <v>940</v>
      </c>
      <c r="F28" s="4" t="s">
        <v>941</v>
      </c>
      <c r="G28" s="11" t="s">
        <v>902</v>
      </c>
      <c r="H28" s="4" t="s">
        <v>942</v>
      </c>
      <c r="I28" s="4" t="str">
        <f t="shared" ca="1" si="0"/>
        <v/>
      </c>
      <c r="J28" s="4"/>
      <c r="K28" s="4"/>
      <c r="L28" s="5" t="s">
        <v>67</v>
      </c>
      <c r="M28" s="4"/>
    </row>
    <row r="29" spans="1:13" ht="45" customHeight="1" x14ac:dyDescent="0.25">
      <c r="A29" s="4" t="s">
        <v>943</v>
      </c>
      <c r="B29" s="4" t="s">
        <v>39</v>
      </c>
      <c r="C29" s="4" t="s">
        <v>898</v>
      </c>
      <c r="D29" s="4" t="s">
        <v>944</v>
      </c>
      <c r="E29" s="4" t="s">
        <v>945</v>
      </c>
      <c r="F29" s="4" t="s">
        <v>946</v>
      </c>
      <c r="G29" s="11" t="s">
        <v>936</v>
      </c>
      <c r="H29" s="4" t="s">
        <v>947</v>
      </c>
      <c r="I29" s="4" t="str">
        <f t="shared" ca="1" si="0"/>
        <v/>
      </c>
      <c r="J29" s="4"/>
      <c r="K29" s="4"/>
      <c r="L29" s="4" t="s">
        <v>131</v>
      </c>
      <c r="M29" s="4"/>
    </row>
    <row r="30" spans="1:13" ht="90" customHeight="1" x14ac:dyDescent="0.25">
      <c r="A30" s="4" t="s">
        <v>948</v>
      </c>
      <c r="B30" s="4" t="s">
        <v>39</v>
      </c>
      <c r="C30" s="4" t="s">
        <v>97</v>
      </c>
      <c r="D30" s="4" t="s">
        <v>949</v>
      </c>
      <c r="E30" s="4" t="s">
        <v>950</v>
      </c>
      <c r="F30" s="4" t="s">
        <v>951</v>
      </c>
      <c r="G30" s="11" t="s">
        <v>952</v>
      </c>
      <c r="H30" s="4" t="s">
        <v>953</v>
      </c>
      <c r="I30" s="4" t="str">
        <f t="shared" ca="1" si="0"/>
        <v/>
      </c>
      <c r="J30" s="4"/>
      <c r="K30" s="4"/>
      <c r="L30" s="7" t="s">
        <v>103</v>
      </c>
      <c r="M30" s="4"/>
    </row>
    <row r="31" spans="1:13" ht="60" customHeight="1" x14ac:dyDescent="0.25">
      <c r="A31" s="4" t="s">
        <v>954</v>
      </c>
      <c r="B31" s="4" t="s">
        <v>39</v>
      </c>
      <c r="C31" s="4" t="s">
        <v>97</v>
      </c>
      <c r="D31" s="4" t="s">
        <v>955</v>
      </c>
      <c r="E31" s="4" t="s">
        <v>106</v>
      </c>
      <c r="F31" s="4" t="s">
        <v>956</v>
      </c>
      <c r="G31" s="11" t="s">
        <v>957</v>
      </c>
      <c r="H31" s="4" t="s">
        <v>958</v>
      </c>
      <c r="I31" s="4" t="str">
        <f t="shared" ca="1" si="0"/>
        <v/>
      </c>
      <c r="J31" s="4"/>
      <c r="K31" s="4"/>
      <c r="L31" s="5" t="s">
        <v>67</v>
      </c>
      <c r="M31" s="4"/>
    </row>
    <row r="32" spans="1:13" ht="75" customHeight="1" x14ac:dyDescent="0.25">
      <c r="A32" s="4" t="s">
        <v>959</v>
      </c>
      <c r="B32" s="4" t="s">
        <v>39</v>
      </c>
      <c r="C32" s="4" t="s">
        <v>97</v>
      </c>
      <c r="D32" s="4" t="s">
        <v>122</v>
      </c>
      <c r="E32" s="4" t="s">
        <v>123</v>
      </c>
      <c r="F32" s="4" t="s">
        <v>960</v>
      </c>
      <c r="G32" s="11" t="s">
        <v>957</v>
      </c>
      <c r="H32" s="4" t="s">
        <v>961</v>
      </c>
      <c r="I32" s="4" t="str">
        <f t="shared" ca="1" si="0"/>
        <v/>
      </c>
      <c r="J32" s="4"/>
      <c r="K32" s="4"/>
      <c r="L32" s="5" t="s">
        <v>67</v>
      </c>
      <c r="M32" s="4"/>
    </row>
    <row r="33" spans="1:13" ht="60" customHeight="1" x14ac:dyDescent="0.25">
      <c r="A33" s="4" t="s">
        <v>962</v>
      </c>
      <c r="B33" s="4" t="s">
        <v>39</v>
      </c>
      <c r="C33" s="4" t="s">
        <v>97</v>
      </c>
      <c r="D33" s="4" t="s">
        <v>963</v>
      </c>
      <c r="E33" s="4" t="s">
        <v>964</v>
      </c>
      <c r="F33" s="4" t="s">
        <v>965</v>
      </c>
      <c r="G33" s="11" t="s">
        <v>952</v>
      </c>
      <c r="H33" s="4" t="s">
        <v>966</v>
      </c>
      <c r="I33" s="4" t="str">
        <f t="shared" ca="1" si="0"/>
        <v/>
      </c>
      <c r="J33" s="4"/>
      <c r="K33" s="4"/>
      <c r="L33" s="5" t="s">
        <v>67</v>
      </c>
      <c r="M33" s="4"/>
    </row>
    <row r="34" spans="1:13" ht="75" customHeight="1" x14ac:dyDescent="0.25">
      <c r="A34" s="4" t="s">
        <v>967</v>
      </c>
      <c r="B34" s="4" t="s">
        <v>39</v>
      </c>
      <c r="C34" s="4" t="s">
        <v>97</v>
      </c>
      <c r="D34" s="4" t="s">
        <v>968</v>
      </c>
      <c r="E34" s="4" t="s">
        <v>969</v>
      </c>
      <c r="F34" s="4" t="s">
        <v>970</v>
      </c>
      <c r="G34" s="11" t="s">
        <v>952</v>
      </c>
      <c r="H34" s="4" t="s">
        <v>971</v>
      </c>
      <c r="I34" s="4" t="str">
        <f t="shared" ca="1" si="0"/>
        <v/>
      </c>
      <c r="J34" s="4"/>
      <c r="K34" s="4"/>
      <c r="L34" s="6" t="s">
        <v>95</v>
      </c>
      <c r="M34" s="4"/>
    </row>
    <row r="35" spans="1:13" ht="75" customHeight="1" x14ac:dyDescent="0.25">
      <c r="A35" s="4" t="s">
        <v>972</v>
      </c>
      <c r="B35" s="4" t="s">
        <v>39</v>
      </c>
      <c r="C35" s="4" t="s">
        <v>97</v>
      </c>
      <c r="D35" s="4" t="s">
        <v>973</v>
      </c>
      <c r="E35" s="4" t="s">
        <v>974</v>
      </c>
      <c r="F35" s="4" t="s">
        <v>975</v>
      </c>
      <c r="G35" s="11" t="s">
        <v>952</v>
      </c>
      <c r="H35" s="4" t="s">
        <v>976</v>
      </c>
      <c r="I35" s="4" t="str">
        <f t="shared" ca="1" si="0"/>
        <v/>
      </c>
      <c r="J35" s="4"/>
      <c r="K35" s="4"/>
      <c r="L35" s="6" t="s">
        <v>95</v>
      </c>
      <c r="M35" s="4"/>
    </row>
    <row r="36" spans="1:13" ht="75" customHeight="1" x14ac:dyDescent="0.25">
      <c r="A36" s="4" t="s">
        <v>977</v>
      </c>
      <c r="B36" s="4" t="s">
        <v>39</v>
      </c>
      <c r="C36" s="4" t="s">
        <v>97</v>
      </c>
      <c r="D36" s="4" t="s">
        <v>978</v>
      </c>
      <c r="E36" s="4" t="s">
        <v>979</v>
      </c>
      <c r="F36" s="4" t="s">
        <v>980</v>
      </c>
      <c r="G36" s="11" t="s">
        <v>952</v>
      </c>
      <c r="H36" s="4" t="s">
        <v>981</v>
      </c>
      <c r="I36" s="4" t="str">
        <f t="shared" ca="1" si="0"/>
        <v/>
      </c>
      <c r="J36" s="4"/>
      <c r="K36" s="4"/>
      <c r="L36" s="6" t="s">
        <v>95</v>
      </c>
      <c r="M36" s="4"/>
    </row>
    <row r="37" spans="1:13" ht="105" customHeight="1" x14ac:dyDescent="0.25">
      <c r="A37" s="4" t="s">
        <v>982</v>
      </c>
      <c r="B37" s="4" t="s">
        <v>39</v>
      </c>
      <c r="C37" s="4" t="s">
        <v>193</v>
      </c>
      <c r="D37" s="4" t="s">
        <v>194</v>
      </c>
      <c r="E37" s="4" t="s">
        <v>983</v>
      </c>
      <c r="F37" s="4" t="s">
        <v>984</v>
      </c>
      <c r="G37" s="11" t="s">
        <v>985</v>
      </c>
      <c r="H37" s="4" t="s">
        <v>986</v>
      </c>
      <c r="I37" s="4" t="str">
        <f t="shared" ca="1" si="0"/>
        <v/>
      </c>
      <c r="J37" s="4"/>
      <c r="K37" s="4"/>
      <c r="L37" s="5" t="s">
        <v>67</v>
      </c>
      <c r="M37" s="4"/>
    </row>
    <row r="38" spans="1:13" ht="60" customHeight="1" x14ac:dyDescent="0.25">
      <c r="A38" s="4" t="s">
        <v>987</v>
      </c>
      <c r="B38" s="4" t="s">
        <v>39</v>
      </c>
      <c r="C38" s="4" t="s">
        <v>193</v>
      </c>
      <c r="D38" s="4" t="s">
        <v>200</v>
      </c>
      <c r="E38" s="4" t="s">
        <v>988</v>
      </c>
      <c r="F38" s="4" t="s">
        <v>989</v>
      </c>
      <c r="G38" s="11" t="s">
        <v>990</v>
      </c>
      <c r="H38" s="4" t="s">
        <v>204</v>
      </c>
      <c r="I38" s="4" t="str">
        <f t="shared" ca="1" si="0"/>
        <v/>
      </c>
      <c r="J38" s="4"/>
      <c r="K38" s="4"/>
      <c r="L38" s="6" t="s">
        <v>95</v>
      </c>
      <c r="M38" s="4"/>
    </row>
    <row r="39" spans="1:13" ht="60" customHeight="1" x14ac:dyDescent="0.25">
      <c r="A39" s="4" t="s">
        <v>991</v>
      </c>
      <c r="B39" s="4" t="s">
        <v>39</v>
      </c>
      <c r="C39" s="4" t="s">
        <v>193</v>
      </c>
      <c r="D39" s="4" t="s">
        <v>403</v>
      </c>
      <c r="E39" s="4" t="s">
        <v>403</v>
      </c>
      <c r="F39" s="4" t="s">
        <v>992</v>
      </c>
      <c r="G39" s="11" t="s">
        <v>993</v>
      </c>
      <c r="H39" s="4" t="s">
        <v>994</v>
      </c>
      <c r="I39" s="4" t="str">
        <f t="shared" ca="1" si="0"/>
        <v/>
      </c>
      <c r="J39" s="4"/>
      <c r="K39" s="4"/>
      <c r="L39" s="6" t="s">
        <v>95</v>
      </c>
      <c r="M39" s="4"/>
    </row>
    <row r="40" spans="1:13" ht="60" customHeight="1" x14ac:dyDescent="0.25">
      <c r="A40" s="4" t="s">
        <v>995</v>
      </c>
      <c r="B40" s="4" t="s">
        <v>39</v>
      </c>
      <c r="C40" s="4" t="s">
        <v>193</v>
      </c>
      <c r="D40" s="4" t="s">
        <v>996</v>
      </c>
      <c r="E40" s="4" t="s">
        <v>997</v>
      </c>
      <c r="F40" s="4" t="s">
        <v>998</v>
      </c>
      <c r="G40" s="11" t="s">
        <v>990</v>
      </c>
      <c r="H40" s="4" t="s">
        <v>999</v>
      </c>
      <c r="I40" s="4" t="str">
        <f t="shared" ca="1" si="0"/>
        <v/>
      </c>
      <c r="J40" s="4"/>
      <c r="K40" s="4"/>
      <c r="L40" s="5" t="s">
        <v>67</v>
      </c>
      <c r="M40" s="4"/>
    </row>
    <row r="41" spans="1:13" ht="75" customHeight="1" x14ac:dyDescent="0.25">
      <c r="A41" s="4" t="s">
        <v>1000</v>
      </c>
      <c r="B41" s="4" t="s">
        <v>39</v>
      </c>
      <c r="C41" s="4" t="s">
        <v>193</v>
      </c>
      <c r="D41" s="4" t="s">
        <v>1001</v>
      </c>
      <c r="E41" s="4" t="s">
        <v>1002</v>
      </c>
      <c r="F41" s="4" t="s">
        <v>1003</v>
      </c>
      <c r="G41" s="11" t="s">
        <v>993</v>
      </c>
      <c r="H41" s="4" t="s">
        <v>1004</v>
      </c>
      <c r="I41" s="4" t="str">
        <f t="shared" ca="1" si="0"/>
        <v/>
      </c>
      <c r="J41" s="4"/>
      <c r="K41" s="4"/>
      <c r="L41" s="4" t="s">
        <v>131</v>
      </c>
      <c r="M41" s="4"/>
    </row>
    <row r="42" spans="1:13" ht="60" customHeight="1" x14ac:dyDescent="0.25">
      <c r="A42" s="4" t="s">
        <v>1005</v>
      </c>
      <c r="B42" s="4" t="s">
        <v>39</v>
      </c>
      <c r="C42" s="4" t="s">
        <v>193</v>
      </c>
      <c r="D42" s="4" t="s">
        <v>1006</v>
      </c>
      <c r="E42" s="4" t="s">
        <v>1007</v>
      </c>
      <c r="F42" s="4" t="s">
        <v>1008</v>
      </c>
      <c r="G42" s="11" t="s">
        <v>985</v>
      </c>
      <c r="H42" s="4" t="s">
        <v>1009</v>
      </c>
      <c r="I42" s="4" t="str">
        <f t="shared" ca="1" si="0"/>
        <v/>
      </c>
      <c r="J42" s="4"/>
      <c r="K42" s="4"/>
      <c r="L42" s="6" t="s">
        <v>95</v>
      </c>
      <c r="M42" s="4"/>
    </row>
    <row r="43" spans="1:13" ht="45" customHeight="1" x14ac:dyDescent="0.25">
      <c r="A43" s="4" t="s">
        <v>1010</v>
      </c>
      <c r="B43" s="4" t="s">
        <v>39</v>
      </c>
      <c r="C43" s="4" t="s">
        <v>193</v>
      </c>
      <c r="D43" s="4" t="s">
        <v>1011</v>
      </c>
      <c r="E43" s="4" t="s">
        <v>1012</v>
      </c>
      <c r="F43" s="4" t="s">
        <v>1013</v>
      </c>
      <c r="G43" s="11" t="s">
        <v>993</v>
      </c>
      <c r="H43" s="4" t="s">
        <v>1014</v>
      </c>
      <c r="I43" s="4" t="str">
        <f t="shared" ca="1" si="0"/>
        <v/>
      </c>
      <c r="J43" s="4"/>
      <c r="K43" s="4"/>
      <c r="L43" s="6" t="s">
        <v>95</v>
      </c>
      <c r="M43" s="4"/>
    </row>
    <row r="44" spans="1:13" ht="90" customHeight="1" x14ac:dyDescent="0.25">
      <c r="A44" s="4" t="s">
        <v>1015</v>
      </c>
      <c r="B44" s="4" t="s">
        <v>39</v>
      </c>
      <c r="C44" s="4" t="s">
        <v>1016</v>
      </c>
      <c r="D44" s="4" t="s">
        <v>1017</v>
      </c>
      <c r="E44" s="4" t="s">
        <v>1018</v>
      </c>
      <c r="F44" s="4" t="s">
        <v>1019</v>
      </c>
      <c r="G44" s="11" t="s">
        <v>1020</v>
      </c>
      <c r="H44" s="4" t="s">
        <v>1021</v>
      </c>
      <c r="I44" s="4" t="str">
        <f t="shared" ca="1" si="0"/>
        <v/>
      </c>
      <c r="J44" s="4"/>
      <c r="K44" s="4"/>
      <c r="L44" s="6" t="s">
        <v>95</v>
      </c>
      <c r="M44" s="4"/>
    </row>
    <row r="45" spans="1:13" ht="60" customHeight="1" x14ac:dyDescent="0.25">
      <c r="A45" s="4" t="s">
        <v>1022</v>
      </c>
      <c r="B45" s="4" t="s">
        <v>39</v>
      </c>
      <c r="C45" s="4" t="s">
        <v>1016</v>
      </c>
      <c r="D45" s="4" t="s">
        <v>1023</v>
      </c>
      <c r="E45" s="4" t="s">
        <v>1024</v>
      </c>
      <c r="F45" s="4" t="s">
        <v>1025</v>
      </c>
      <c r="G45" s="11" t="s">
        <v>1026</v>
      </c>
      <c r="H45" s="4" t="s">
        <v>1027</v>
      </c>
      <c r="I45" s="4" t="str">
        <f t="shared" ca="1" si="0"/>
        <v/>
      </c>
      <c r="J45" s="4"/>
      <c r="K45" s="4"/>
      <c r="L45" s="6" t="s">
        <v>95</v>
      </c>
      <c r="M45" s="4"/>
    </row>
    <row r="46" spans="1:13" ht="75" customHeight="1" x14ac:dyDescent="0.25">
      <c r="A46" s="4" t="s">
        <v>1028</v>
      </c>
      <c r="B46" s="4" t="s">
        <v>39</v>
      </c>
      <c r="C46" s="4" t="s">
        <v>1016</v>
      </c>
      <c r="D46" s="4" t="s">
        <v>1029</v>
      </c>
      <c r="E46" s="4" t="s">
        <v>1030</v>
      </c>
      <c r="F46" s="4" t="s">
        <v>1031</v>
      </c>
      <c r="G46" s="11" t="s">
        <v>1020</v>
      </c>
      <c r="H46" s="4" t="s">
        <v>1032</v>
      </c>
      <c r="I46" s="4" t="str">
        <f t="shared" ca="1" si="0"/>
        <v/>
      </c>
      <c r="J46" s="4"/>
      <c r="K46" s="4"/>
      <c r="L46" s="4" t="s">
        <v>131</v>
      </c>
      <c r="M46" s="4"/>
    </row>
    <row r="47" spans="1:13" ht="75" customHeight="1" x14ac:dyDescent="0.25">
      <c r="A47" s="4" t="s">
        <v>59</v>
      </c>
      <c r="B47" s="4" t="s">
        <v>35</v>
      </c>
      <c r="C47" s="4" t="s">
        <v>60</v>
      </c>
      <c r="D47" s="4" t="s">
        <v>61</v>
      </c>
      <c r="E47" s="4" t="s">
        <v>62</v>
      </c>
      <c r="F47" s="4" t="s">
        <v>3681</v>
      </c>
      <c r="G47" s="11" t="s">
        <v>64</v>
      </c>
      <c r="H47" s="4" t="s">
        <v>65</v>
      </c>
      <c r="I47" s="4" t="str">
        <f t="shared" ca="1" si="0"/>
        <v/>
      </c>
      <c r="J47" s="4"/>
      <c r="K47" s="4"/>
      <c r="L47" s="5" t="s">
        <v>67</v>
      </c>
      <c r="M47" s="4"/>
    </row>
    <row r="48" spans="1:13" ht="45" customHeight="1" x14ac:dyDescent="0.25">
      <c r="A48" s="4" t="s">
        <v>68</v>
      </c>
      <c r="B48" s="4" t="s">
        <v>35</v>
      </c>
      <c r="C48" s="4" t="s">
        <v>60</v>
      </c>
      <c r="D48" s="4" t="s">
        <v>69</v>
      </c>
      <c r="E48" s="4" t="s">
        <v>70</v>
      </c>
      <c r="F48" s="4" t="s">
        <v>71</v>
      </c>
      <c r="G48" s="11" t="s">
        <v>64</v>
      </c>
      <c r="H48" s="4" t="s">
        <v>72</v>
      </c>
      <c r="I48" s="4" t="str">
        <f t="shared" ca="1" si="0"/>
        <v/>
      </c>
      <c r="J48" s="4"/>
      <c r="K48" s="4"/>
      <c r="L48" s="5" t="s">
        <v>67</v>
      </c>
      <c r="M48" s="4"/>
    </row>
    <row r="49" spans="1:13" ht="60" customHeight="1" x14ac:dyDescent="0.25">
      <c r="A49" s="4" t="s">
        <v>73</v>
      </c>
      <c r="B49" s="4" t="s">
        <v>35</v>
      </c>
      <c r="C49" s="4" t="s">
        <v>60</v>
      </c>
      <c r="D49" s="4" t="s">
        <v>74</v>
      </c>
      <c r="E49" s="4" t="s">
        <v>75</v>
      </c>
      <c r="F49" s="4" t="s">
        <v>76</v>
      </c>
      <c r="G49" s="11" t="s">
        <v>64</v>
      </c>
      <c r="H49" s="4" t="s">
        <v>77</v>
      </c>
      <c r="I49" s="4" t="str">
        <f t="shared" ca="1" si="0"/>
        <v/>
      </c>
      <c r="J49" s="4"/>
      <c r="K49" s="4"/>
      <c r="L49" s="5" t="s">
        <v>67</v>
      </c>
      <c r="M49" s="4"/>
    </row>
    <row r="50" spans="1:13" ht="120" customHeight="1" x14ac:dyDescent="0.25">
      <c r="A50" s="4" t="s">
        <v>78</v>
      </c>
      <c r="B50" s="4" t="s">
        <v>35</v>
      </c>
      <c r="C50" s="4" t="s">
        <v>79</v>
      </c>
      <c r="D50" s="4" t="s">
        <v>80</v>
      </c>
      <c r="E50" s="4" t="s">
        <v>81</v>
      </c>
      <c r="F50" s="4" t="s">
        <v>82</v>
      </c>
      <c r="G50" s="11" t="s">
        <v>83</v>
      </c>
      <c r="H50" s="4" t="s">
        <v>84</v>
      </c>
      <c r="I50" s="4" t="str">
        <f t="shared" ca="1" si="0"/>
        <v/>
      </c>
      <c r="J50" s="4"/>
      <c r="K50" s="4"/>
      <c r="L50" s="5" t="s">
        <v>67</v>
      </c>
      <c r="M50" s="4"/>
    </row>
    <row r="51" spans="1:13" ht="105" customHeight="1" x14ac:dyDescent="0.25">
      <c r="A51" s="4" t="s">
        <v>85</v>
      </c>
      <c r="B51" s="4" t="s">
        <v>35</v>
      </c>
      <c r="C51" s="4" t="s">
        <v>79</v>
      </c>
      <c r="D51" s="4" t="s">
        <v>86</v>
      </c>
      <c r="E51" s="4" t="s">
        <v>87</v>
      </c>
      <c r="F51" s="4" t="s">
        <v>88</v>
      </c>
      <c r="G51" s="11" t="s">
        <v>83</v>
      </c>
      <c r="H51" s="4" t="s">
        <v>89</v>
      </c>
      <c r="I51" s="4" t="str">
        <f t="shared" ca="1" si="0"/>
        <v/>
      </c>
      <c r="J51" s="4"/>
      <c r="K51" s="4"/>
      <c r="L51" s="5" t="s">
        <v>67</v>
      </c>
      <c r="M51" s="4"/>
    </row>
    <row r="52" spans="1:13" ht="45" customHeight="1" x14ac:dyDescent="0.25">
      <c r="A52" s="4" t="s">
        <v>90</v>
      </c>
      <c r="B52" s="4" t="s">
        <v>35</v>
      </c>
      <c r="C52" s="4" t="s">
        <v>79</v>
      </c>
      <c r="D52" s="4" t="s">
        <v>91</v>
      </c>
      <c r="E52" s="4" t="s">
        <v>92</v>
      </c>
      <c r="F52" s="4" t="s">
        <v>93</v>
      </c>
      <c r="G52" s="11" t="s">
        <v>83</v>
      </c>
      <c r="H52" s="4" t="s">
        <v>94</v>
      </c>
      <c r="I52" s="4" t="str">
        <f t="shared" ca="1" si="0"/>
        <v/>
      </c>
      <c r="J52" s="4"/>
      <c r="K52" s="4"/>
      <c r="L52" s="6" t="s">
        <v>95</v>
      </c>
      <c r="M52" s="4"/>
    </row>
    <row r="53" spans="1:13" ht="90" customHeight="1" x14ac:dyDescent="0.25">
      <c r="A53" s="4" t="s">
        <v>96</v>
      </c>
      <c r="B53" s="4" t="s">
        <v>35</v>
      </c>
      <c r="C53" s="4" t="s">
        <v>97</v>
      </c>
      <c r="D53" s="4" t="s">
        <v>98</v>
      </c>
      <c r="E53" s="4" t="s">
        <v>99</v>
      </c>
      <c r="F53" s="4" t="s">
        <v>100</v>
      </c>
      <c r="G53" s="11" t="s">
        <v>101</v>
      </c>
      <c r="H53" s="4" t="s">
        <v>102</v>
      </c>
      <c r="I53" s="4" t="str">
        <f t="shared" ca="1" si="0"/>
        <v/>
      </c>
      <c r="J53" s="4"/>
      <c r="K53" s="4"/>
      <c r="L53" s="7" t="s">
        <v>103</v>
      </c>
      <c r="M53" s="4"/>
    </row>
    <row r="54" spans="1:13" ht="90" customHeight="1" x14ac:dyDescent="0.25">
      <c r="A54" s="4" t="s">
        <v>104</v>
      </c>
      <c r="B54" s="4" t="s">
        <v>35</v>
      </c>
      <c r="C54" s="4" t="s">
        <v>97</v>
      </c>
      <c r="D54" s="4" t="s">
        <v>105</v>
      </c>
      <c r="E54" s="4" t="s">
        <v>106</v>
      </c>
      <c r="F54" s="4" t="s">
        <v>107</v>
      </c>
      <c r="G54" s="11" t="s">
        <v>101</v>
      </c>
      <c r="H54" s="4" t="s">
        <v>108</v>
      </c>
      <c r="I54" s="4" t="str">
        <f t="shared" ca="1" si="0"/>
        <v/>
      </c>
      <c r="J54" s="4"/>
      <c r="K54" s="4"/>
      <c r="L54" s="5" t="s">
        <v>67</v>
      </c>
      <c r="M54" s="4"/>
    </row>
    <row r="55" spans="1:13" ht="45" customHeight="1" x14ac:dyDescent="0.25">
      <c r="A55" s="4" t="s">
        <v>109</v>
      </c>
      <c r="B55" s="4" t="s">
        <v>35</v>
      </c>
      <c r="C55" s="4" t="s">
        <v>97</v>
      </c>
      <c r="D55" s="4" t="s">
        <v>110</v>
      </c>
      <c r="E55" s="4" t="s">
        <v>111</v>
      </c>
      <c r="F55" s="4" t="s">
        <v>112</v>
      </c>
      <c r="G55" s="11" t="s">
        <v>113</v>
      </c>
      <c r="H55" s="4" t="s">
        <v>114</v>
      </c>
      <c r="I55" s="4" t="str">
        <f t="shared" ca="1" si="0"/>
        <v/>
      </c>
      <c r="J55" s="4"/>
      <c r="K55" s="4"/>
      <c r="L55" s="7" t="s">
        <v>103</v>
      </c>
      <c r="M55" s="4"/>
    </row>
    <row r="56" spans="1:13" ht="75" customHeight="1" x14ac:dyDescent="0.25">
      <c r="A56" s="4" t="s">
        <v>115</v>
      </c>
      <c r="B56" s="4" t="s">
        <v>35</v>
      </c>
      <c r="C56" s="4" t="s">
        <v>97</v>
      </c>
      <c r="D56" s="4" t="s">
        <v>116</v>
      </c>
      <c r="E56" s="4" t="s">
        <v>117</v>
      </c>
      <c r="F56" s="4" t="s">
        <v>118</v>
      </c>
      <c r="G56" s="11" t="s">
        <v>119</v>
      </c>
      <c r="H56" s="4" t="s">
        <v>120</v>
      </c>
      <c r="I56" s="4" t="str">
        <f t="shared" ca="1" si="0"/>
        <v/>
      </c>
      <c r="J56" s="4"/>
      <c r="K56" s="4"/>
      <c r="L56" s="7" t="s">
        <v>103</v>
      </c>
      <c r="M56" s="4"/>
    </row>
    <row r="57" spans="1:13" ht="135" customHeight="1" x14ac:dyDescent="0.25">
      <c r="A57" s="4" t="s">
        <v>121</v>
      </c>
      <c r="B57" s="4" t="s">
        <v>35</v>
      </c>
      <c r="C57" s="4" t="s">
        <v>97</v>
      </c>
      <c r="D57" s="4" t="s">
        <v>122</v>
      </c>
      <c r="E57" s="4" t="s">
        <v>123</v>
      </c>
      <c r="F57" s="4" t="s">
        <v>124</v>
      </c>
      <c r="G57" s="11" t="s">
        <v>101</v>
      </c>
      <c r="H57" s="4" t="s">
        <v>125</v>
      </c>
      <c r="I57" s="4" t="str">
        <f t="shared" ca="1" si="0"/>
        <v/>
      </c>
      <c r="J57" s="4"/>
      <c r="K57" s="4"/>
      <c r="L57" s="5" t="s">
        <v>67</v>
      </c>
      <c r="M57" s="4"/>
    </row>
    <row r="58" spans="1:13" ht="60" customHeight="1" x14ac:dyDescent="0.25">
      <c r="A58" s="4" t="s">
        <v>126</v>
      </c>
      <c r="B58" s="4" t="s">
        <v>35</v>
      </c>
      <c r="C58" s="4" t="s">
        <v>97</v>
      </c>
      <c r="D58" s="4" t="s">
        <v>127</v>
      </c>
      <c r="E58" s="4" t="s">
        <v>128</v>
      </c>
      <c r="F58" s="4" t="s">
        <v>129</v>
      </c>
      <c r="G58" s="11" t="s">
        <v>113</v>
      </c>
      <c r="H58" s="4" t="s">
        <v>130</v>
      </c>
      <c r="I58" s="4" t="str">
        <f t="shared" ca="1" si="0"/>
        <v/>
      </c>
      <c r="J58" s="4"/>
      <c r="K58" s="4"/>
      <c r="L58" s="4" t="s">
        <v>131</v>
      </c>
      <c r="M58" s="4"/>
    </row>
    <row r="59" spans="1:13" ht="75" customHeight="1" x14ac:dyDescent="0.25">
      <c r="A59" s="4" t="s">
        <v>132</v>
      </c>
      <c r="B59" s="4" t="s">
        <v>35</v>
      </c>
      <c r="C59" s="4" t="s">
        <v>133</v>
      </c>
      <c r="D59" s="4" t="s">
        <v>134</v>
      </c>
      <c r="E59" s="4" t="s">
        <v>135</v>
      </c>
      <c r="F59" s="4" t="s">
        <v>136</v>
      </c>
      <c r="G59" s="11" t="s">
        <v>137</v>
      </c>
      <c r="H59" s="4" t="s">
        <v>138</v>
      </c>
      <c r="I59" s="4" t="str">
        <f t="shared" ca="1" si="0"/>
        <v/>
      </c>
      <c r="J59" s="4"/>
      <c r="K59" s="4"/>
      <c r="L59" s="5" t="s">
        <v>67</v>
      </c>
      <c r="M59" s="4"/>
    </row>
    <row r="60" spans="1:13" ht="60" customHeight="1" x14ac:dyDescent="0.25">
      <c r="A60" s="4" t="s">
        <v>139</v>
      </c>
      <c r="B60" s="4" t="s">
        <v>35</v>
      </c>
      <c r="C60" s="4" t="s">
        <v>133</v>
      </c>
      <c r="D60" s="4" t="s">
        <v>140</v>
      </c>
      <c r="E60" s="4" t="s">
        <v>141</v>
      </c>
      <c r="F60" s="4" t="s">
        <v>142</v>
      </c>
      <c r="G60" s="11" t="s">
        <v>143</v>
      </c>
      <c r="H60" s="4" t="s">
        <v>144</v>
      </c>
      <c r="I60" s="4" t="str">
        <f t="shared" ca="1" si="0"/>
        <v/>
      </c>
      <c r="J60" s="4"/>
      <c r="K60" s="4"/>
      <c r="L60" s="5" t="s">
        <v>67</v>
      </c>
      <c r="M60" s="4"/>
    </row>
    <row r="61" spans="1:13" ht="60" customHeight="1" x14ac:dyDescent="0.25">
      <c r="A61" s="4" t="s">
        <v>145</v>
      </c>
      <c r="B61" s="4" t="s">
        <v>35</v>
      </c>
      <c r="C61" s="4" t="s">
        <v>133</v>
      </c>
      <c r="D61" s="4" t="s">
        <v>146</v>
      </c>
      <c r="E61" s="4" t="s">
        <v>147</v>
      </c>
      <c r="F61" s="4" t="s">
        <v>148</v>
      </c>
      <c r="G61" s="11" t="s">
        <v>149</v>
      </c>
      <c r="H61" s="4" t="s">
        <v>150</v>
      </c>
      <c r="I61" s="4" t="str">
        <f t="shared" ca="1" si="0"/>
        <v/>
      </c>
      <c r="J61" s="4"/>
      <c r="K61" s="4"/>
      <c r="L61" s="5" t="s">
        <v>67</v>
      </c>
      <c r="M61" s="4"/>
    </row>
    <row r="62" spans="1:13" ht="45" customHeight="1" x14ac:dyDescent="0.25">
      <c r="A62" s="4" t="s">
        <v>151</v>
      </c>
      <c r="B62" s="4" t="s">
        <v>35</v>
      </c>
      <c r="C62" s="4" t="s">
        <v>133</v>
      </c>
      <c r="D62" s="4" t="s">
        <v>152</v>
      </c>
      <c r="E62" s="4" t="s">
        <v>153</v>
      </c>
      <c r="F62" s="4" t="s">
        <v>154</v>
      </c>
      <c r="G62" s="11" t="s">
        <v>155</v>
      </c>
      <c r="H62" s="4" t="s">
        <v>156</v>
      </c>
      <c r="I62" s="4" t="str">
        <f t="shared" ca="1" si="0"/>
        <v/>
      </c>
      <c r="J62" s="4"/>
      <c r="K62" s="4"/>
      <c r="L62" s="6" t="s">
        <v>95</v>
      </c>
      <c r="M62" s="4"/>
    </row>
    <row r="63" spans="1:13" ht="90" customHeight="1" x14ac:dyDescent="0.25">
      <c r="A63" s="4" t="s">
        <v>157</v>
      </c>
      <c r="B63" s="4" t="s">
        <v>35</v>
      </c>
      <c r="C63" s="4" t="s">
        <v>133</v>
      </c>
      <c r="D63" s="4" t="s">
        <v>158</v>
      </c>
      <c r="E63" s="4" t="s">
        <v>159</v>
      </c>
      <c r="F63" s="4" t="s">
        <v>160</v>
      </c>
      <c r="G63" s="11" t="s">
        <v>155</v>
      </c>
      <c r="H63" s="4" t="s">
        <v>161</v>
      </c>
      <c r="I63" s="4" t="str">
        <f t="shared" ca="1" si="0"/>
        <v/>
      </c>
      <c r="J63" s="4"/>
      <c r="K63" s="4"/>
      <c r="L63" s="5" t="s">
        <v>67</v>
      </c>
      <c r="M63" s="4"/>
    </row>
    <row r="64" spans="1:13" ht="90" customHeight="1" x14ac:dyDescent="0.25">
      <c r="A64" s="4" t="s">
        <v>162</v>
      </c>
      <c r="B64" s="4" t="s">
        <v>35</v>
      </c>
      <c r="C64" s="4" t="s">
        <v>133</v>
      </c>
      <c r="D64" s="4" t="s">
        <v>163</v>
      </c>
      <c r="E64" s="4" t="s">
        <v>164</v>
      </c>
      <c r="F64" s="4" t="s">
        <v>165</v>
      </c>
      <c r="G64" s="11" t="s">
        <v>155</v>
      </c>
      <c r="H64" s="4" t="s">
        <v>166</v>
      </c>
      <c r="I64" s="4" t="str">
        <f t="shared" ca="1" si="0"/>
        <v/>
      </c>
      <c r="J64" s="4"/>
      <c r="K64" s="4"/>
      <c r="L64" s="6" t="s">
        <v>95</v>
      </c>
      <c r="M64" s="4"/>
    </row>
    <row r="65" spans="1:13" ht="75" customHeight="1" x14ac:dyDescent="0.25">
      <c r="A65" s="4" t="s">
        <v>167</v>
      </c>
      <c r="B65" s="4" t="s">
        <v>35</v>
      </c>
      <c r="C65" s="4" t="s">
        <v>133</v>
      </c>
      <c r="D65" s="4" t="s">
        <v>168</v>
      </c>
      <c r="E65" s="4" t="s">
        <v>169</v>
      </c>
      <c r="F65" s="4" t="s">
        <v>170</v>
      </c>
      <c r="G65" s="11" t="s">
        <v>143</v>
      </c>
      <c r="H65" s="4" t="s">
        <v>171</v>
      </c>
      <c r="I65" s="4" t="str">
        <f t="shared" ca="1" si="0"/>
        <v/>
      </c>
      <c r="J65" s="4"/>
      <c r="K65" s="4"/>
      <c r="L65" s="6" t="s">
        <v>95</v>
      </c>
      <c r="M65" s="4"/>
    </row>
    <row r="66" spans="1:13" ht="90" customHeight="1" x14ac:dyDescent="0.25">
      <c r="A66" s="4" t="s">
        <v>172</v>
      </c>
      <c r="B66" s="4" t="s">
        <v>35</v>
      </c>
      <c r="C66" s="4" t="s">
        <v>173</v>
      </c>
      <c r="D66" s="4" t="s">
        <v>174</v>
      </c>
      <c r="E66" s="4" t="s">
        <v>175</v>
      </c>
      <c r="F66" s="4" t="s">
        <v>176</v>
      </c>
      <c r="G66" s="11" t="s">
        <v>177</v>
      </c>
      <c r="H66" s="4" t="s">
        <v>178</v>
      </c>
      <c r="I66" s="4" t="str">
        <f t="shared" ref="I66:I129" ca="1" si="1">IF(I66="","",IF(I66=G66,"PASS","FAIL"))</f>
        <v/>
      </c>
      <c r="J66" s="4"/>
      <c r="K66" s="4"/>
      <c r="L66" s="5" t="s">
        <v>67</v>
      </c>
      <c r="M66" s="4"/>
    </row>
    <row r="67" spans="1:13" ht="75" customHeight="1" x14ac:dyDescent="0.25">
      <c r="A67" s="4" t="s">
        <v>179</v>
      </c>
      <c r="B67" s="4" t="s">
        <v>35</v>
      </c>
      <c r="C67" s="4" t="s">
        <v>173</v>
      </c>
      <c r="D67" s="4" t="s">
        <v>180</v>
      </c>
      <c r="E67" s="4" t="s">
        <v>180</v>
      </c>
      <c r="F67" s="4" t="s">
        <v>181</v>
      </c>
      <c r="G67" s="11" t="s">
        <v>177</v>
      </c>
      <c r="H67" s="4" t="s">
        <v>182</v>
      </c>
      <c r="I67" s="4" t="str">
        <f t="shared" ca="1" si="1"/>
        <v/>
      </c>
      <c r="J67" s="4"/>
      <c r="K67" s="4"/>
      <c r="L67" s="5" t="s">
        <v>67</v>
      </c>
      <c r="M67" s="4"/>
    </row>
    <row r="68" spans="1:13" ht="90" customHeight="1" x14ac:dyDescent="0.25">
      <c r="A68" s="4" t="s">
        <v>183</v>
      </c>
      <c r="B68" s="4" t="s">
        <v>35</v>
      </c>
      <c r="C68" s="4" t="s">
        <v>173</v>
      </c>
      <c r="D68" s="4" t="s">
        <v>184</v>
      </c>
      <c r="E68" s="4" t="s">
        <v>185</v>
      </c>
      <c r="F68" s="4" t="s">
        <v>186</v>
      </c>
      <c r="G68" s="11" t="s">
        <v>177</v>
      </c>
      <c r="H68" s="4" t="s">
        <v>187</v>
      </c>
      <c r="I68" s="4" t="str">
        <f t="shared" ca="1" si="1"/>
        <v/>
      </c>
      <c r="J68" s="4"/>
      <c r="K68" s="4"/>
      <c r="L68" s="6" t="s">
        <v>95</v>
      </c>
      <c r="M68" s="4"/>
    </row>
    <row r="69" spans="1:13" ht="45" customHeight="1" x14ac:dyDescent="0.25">
      <c r="A69" s="4" t="s">
        <v>188</v>
      </c>
      <c r="B69" s="4" t="s">
        <v>35</v>
      </c>
      <c r="C69" s="4" t="s">
        <v>173</v>
      </c>
      <c r="D69" s="4" t="s">
        <v>86</v>
      </c>
      <c r="E69" s="4" t="s">
        <v>189</v>
      </c>
      <c r="F69" s="4" t="s">
        <v>190</v>
      </c>
      <c r="G69" s="11" t="s">
        <v>177</v>
      </c>
      <c r="H69" s="4" t="s">
        <v>191</v>
      </c>
      <c r="I69" s="4" t="str">
        <f t="shared" ca="1" si="1"/>
        <v/>
      </c>
      <c r="J69" s="4"/>
      <c r="K69" s="4"/>
      <c r="L69" s="6" t="s">
        <v>95</v>
      </c>
      <c r="M69" s="4"/>
    </row>
    <row r="70" spans="1:13" ht="75" customHeight="1" x14ac:dyDescent="0.25">
      <c r="A70" s="4" t="s">
        <v>192</v>
      </c>
      <c r="B70" s="4" t="s">
        <v>35</v>
      </c>
      <c r="C70" s="4" t="s">
        <v>193</v>
      </c>
      <c r="D70" s="4" t="s">
        <v>194</v>
      </c>
      <c r="E70" s="4" t="s">
        <v>195</v>
      </c>
      <c r="F70" s="4" t="s">
        <v>196</v>
      </c>
      <c r="G70" s="11" t="s">
        <v>197</v>
      </c>
      <c r="H70" s="4" t="s">
        <v>198</v>
      </c>
      <c r="I70" s="4" t="str">
        <f t="shared" ca="1" si="1"/>
        <v/>
      </c>
      <c r="J70" s="4"/>
      <c r="K70" s="4"/>
      <c r="L70" s="5" t="s">
        <v>67</v>
      </c>
      <c r="M70" s="4"/>
    </row>
    <row r="71" spans="1:13" ht="45" customHeight="1" x14ac:dyDescent="0.25">
      <c r="A71" s="4" t="s">
        <v>199</v>
      </c>
      <c r="B71" s="4" t="s">
        <v>35</v>
      </c>
      <c r="C71" s="4" t="s">
        <v>193</v>
      </c>
      <c r="D71" s="4" t="s">
        <v>200</v>
      </c>
      <c r="E71" s="4" t="s">
        <v>201</v>
      </c>
      <c r="F71" s="4" t="s">
        <v>202</v>
      </c>
      <c r="G71" s="11" t="s">
        <v>203</v>
      </c>
      <c r="H71" s="4" t="s">
        <v>204</v>
      </c>
      <c r="I71" s="4" t="str">
        <f t="shared" ca="1" si="1"/>
        <v/>
      </c>
      <c r="J71" s="4"/>
      <c r="K71" s="4"/>
      <c r="L71" s="6" t="s">
        <v>95</v>
      </c>
      <c r="M71" s="4"/>
    </row>
    <row r="72" spans="1:13" ht="60" customHeight="1" x14ac:dyDescent="0.25">
      <c r="A72" s="4" t="s">
        <v>205</v>
      </c>
      <c r="B72" s="4" t="s">
        <v>35</v>
      </c>
      <c r="C72" s="4" t="s">
        <v>193</v>
      </c>
      <c r="D72" s="4" t="s">
        <v>206</v>
      </c>
      <c r="E72" s="4" t="s">
        <v>207</v>
      </c>
      <c r="F72" s="4" t="s">
        <v>208</v>
      </c>
      <c r="G72" s="11" t="s">
        <v>197</v>
      </c>
      <c r="H72" s="4" t="s">
        <v>209</v>
      </c>
      <c r="I72" s="4" t="str">
        <f t="shared" ca="1" si="1"/>
        <v/>
      </c>
      <c r="J72" s="4"/>
      <c r="K72" s="4"/>
      <c r="L72" s="5" t="s">
        <v>67</v>
      </c>
      <c r="M72" s="4"/>
    </row>
    <row r="73" spans="1:13" ht="75" customHeight="1" x14ac:dyDescent="0.25">
      <c r="A73" s="4" t="s">
        <v>210</v>
      </c>
      <c r="B73" s="4" t="s">
        <v>35</v>
      </c>
      <c r="C73" s="4" t="s">
        <v>193</v>
      </c>
      <c r="D73" s="4" t="s">
        <v>211</v>
      </c>
      <c r="E73" s="4" t="s">
        <v>212</v>
      </c>
      <c r="F73" s="4" t="s">
        <v>213</v>
      </c>
      <c r="G73" s="11" t="s">
        <v>214</v>
      </c>
      <c r="H73" s="4" t="s">
        <v>215</v>
      </c>
      <c r="I73" s="4" t="str">
        <f t="shared" ca="1" si="1"/>
        <v/>
      </c>
      <c r="J73" s="4"/>
      <c r="K73" s="4"/>
      <c r="L73" s="5" t="s">
        <v>67</v>
      </c>
      <c r="M73" s="4"/>
    </row>
    <row r="74" spans="1:13" ht="75" customHeight="1" x14ac:dyDescent="0.25">
      <c r="A74" s="4" t="s">
        <v>216</v>
      </c>
      <c r="B74" s="4" t="s">
        <v>35</v>
      </c>
      <c r="C74" s="4" t="s">
        <v>193</v>
      </c>
      <c r="D74" s="4" t="s">
        <v>217</v>
      </c>
      <c r="E74" s="4" t="s">
        <v>218</v>
      </c>
      <c r="F74" s="4" t="s">
        <v>219</v>
      </c>
      <c r="G74" s="11" t="s">
        <v>214</v>
      </c>
      <c r="H74" s="4" t="s">
        <v>220</v>
      </c>
      <c r="I74" s="4" t="str">
        <f t="shared" ca="1" si="1"/>
        <v/>
      </c>
      <c r="J74" s="4"/>
      <c r="K74" s="4"/>
      <c r="L74" s="5" t="s">
        <v>67</v>
      </c>
      <c r="M74" s="4"/>
    </row>
    <row r="75" spans="1:13" ht="60" customHeight="1" x14ac:dyDescent="0.25">
      <c r="A75" s="4" t="s">
        <v>221</v>
      </c>
      <c r="B75" s="4" t="s">
        <v>35</v>
      </c>
      <c r="C75" s="4" t="s">
        <v>193</v>
      </c>
      <c r="D75" s="4" t="s">
        <v>222</v>
      </c>
      <c r="E75" s="4" t="s">
        <v>223</v>
      </c>
      <c r="F75" s="4" t="s">
        <v>224</v>
      </c>
      <c r="G75" s="11" t="s">
        <v>203</v>
      </c>
      <c r="H75" s="4" t="s">
        <v>225</v>
      </c>
      <c r="I75" s="4" t="str">
        <f t="shared" ca="1" si="1"/>
        <v/>
      </c>
      <c r="J75" s="4"/>
      <c r="K75" s="4"/>
      <c r="L75" s="4" t="s">
        <v>131</v>
      </c>
      <c r="M75" s="4"/>
    </row>
    <row r="76" spans="1:13" ht="45" customHeight="1" x14ac:dyDescent="0.25">
      <c r="A76" s="4" t="s">
        <v>226</v>
      </c>
      <c r="B76" s="4" t="s">
        <v>35</v>
      </c>
      <c r="C76" s="4" t="s">
        <v>193</v>
      </c>
      <c r="D76" s="4" t="s">
        <v>227</v>
      </c>
      <c r="E76" s="4" t="s">
        <v>228</v>
      </c>
      <c r="F76" s="4" t="s">
        <v>229</v>
      </c>
      <c r="G76" s="11" t="s">
        <v>203</v>
      </c>
      <c r="H76" s="4" t="s">
        <v>230</v>
      </c>
      <c r="I76" s="4" t="str">
        <f t="shared" ca="1" si="1"/>
        <v/>
      </c>
      <c r="J76" s="4"/>
      <c r="K76" s="4"/>
      <c r="L76" s="4" t="s">
        <v>131</v>
      </c>
      <c r="M76" s="4"/>
    </row>
    <row r="77" spans="1:13" ht="60" customHeight="1" x14ac:dyDescent="0.25">
      <c r="A77" s="4" t="s">
        <v>2323</v>
      </c>
      <c r="B77" s="4" t="s">
        <v>28</v>
      </c>
      <c r="C77" s="4" t="s">
        <v>60</v>
      </c>
      <c r="D77" s="4" t="s">
        <v>61</v>
      </c>
      <c r="E77" s="4" t="s">
        <v>2324</v>
      </c>
      <c r="F77" s="4" t="s">
        <v>2783</v>
      </c>
      <c r="G77" s="11" t="s">
        <v>2326</v>
      </c>
      <c r="H77" s="4" t="s">
        <v>2327</v>
      </c>
      <c r="I77" s="4" t="str">
        <f t="shared" ca="1" si="1"/>
        <v/>
      </c>
      <c r="J77" s="4"/>
      <c r="K77" s="4"/>
      <c r="L77" s="5" t="s">
        <v>67</v>
      </c>
      <c r="M77" s="4"/>
    </row>
    <row r="78" spans="1:13" ht="45" customHeight="1" x14ac:dyDescent="0.25">
      <c r="A78" s="4" t="s">
        <v>2328</v>
      </c>
      <c r="B78" s="4" t="s">
        <v>28</v>
      </c>
      <c r="C78" s="4" t="s">
        <v>60</v>
      </c>
      <c r="D78" s="4" t="s">
        <v>69</v>
      </c>
      <c r="E78" s="4" t="s">
        <v>2329</v>
      </c>
      <c r="F78" s="4" t="s">
        <v>2330</v>
      </c>
      <c r="G78" s="11" t="s">
        <v>2326</v>
      </c>
      <c r="H78" s="4" t="s">
        <v>2331</v>
      </c>
      <c r="I78" s="4" t="str">
        <f t="shared" ca="1" si="1"/>
        <v/>
      </c>
      <c r="J78" s="4"/>
      <c r="K78" s="4"/>
      <c r="L78" s="5" t="s">
        <v>67</v>
      </c>
      <c r="M78" s="4"/>
    </row>
    <row r="79" spans="1:13" ht="45" customHeight="1" x14ac:dyDescent="0.25">
      <c r="A79" s="4" t="s">
        <v>2332</v>
      </c>
      <c r="B79" s="4" t="s">
        <v>28</v>
      </c>
      <c r="C79" s="4" t="s">
        <v>60</v>
      </c>
      <c r="D79" s="4" t="s">
        <v>74</v>
      </c>
      <c r="E79" s="4" t="s">
        <v>2333</v>
      </c>
      <c r="F79" s="4" t="s">
        <v>2334</v>
      </c>
      <c r="G79" s="11" t="s">
        <v>2326</v>
      </c>
      <c r="H79" s="4" t="s">
        <v>2335</v>
      </c>
      <c r="I79" s="4" t="str">
        <f t="shared" ca="1" si="1"/>
        <v/>
      </c>
      <c r="J79" s="4"/>
      <c r="K79" s="4"/>
      <c r="L79" s="5" t="s">
        <v>67</v>
      </c>
      <c r="M79" s="4"/>
    </row>
    <row r="80" spans="1:13" ht="75" customHeight="1" x14ac:dyDescent="0.25">
      <c r="A80" s="4" t="s">
        <v>2336</v>
      </c>
      <c r="B80" s="4" t="s">
        <v>28</v>
      </c>
      <c r="C80" s="4" t="s">
        <v>60</v>
      </c>
      <c r="D80" s="4" t="s">
        <v>2337</v>
      </c>
      <c r="E80" s="4" t="s">
        <v>2338</v>
      </c>
      <c r="F80" s="4" t="s">
        <v>2339</v>
      </c>
      <c r="G80" s="11" t="s">
        <v>2326</v>
      </c>
      <c r="H80" s="4" t="s">
        <v>2340</v>
      </c>
      <c r="I80" s="4" t="str">
        <f t="shared" ca="1" si="1"/>
        <v/>
      </c>
      <c r="J80" s="4"/>
      <c r="K80" s="4"/>
      <c r="L80" s="7" t="s">
        <v>103</v>
      </c>
      <c r="M80" s="4"/>
    </row>
    <row r="81" spans="1:13" ht="90" customHeight="1" x14ac:dyDescent="0.25">
      <c r="A81" s="4" t="s">
        <v>2341</v>
      </c>
      <c r="B81" s="4" t="s">
        <v>28</v>
      </c>
      <c r="C81" s="4" t="s">
        <v>79</v>
      </c>
      <c r="D81" s="4" t="s">
        <v>80</v>
      </c>
      <c r="E81" s="4" t="s">
        <v>2342</v>
      </c>
      <c r="F81" s="4" t="s">
        <v>2343</v>
      </c>
      <c r="G81" s="11" t="s">
        <v>2344</v>
      </c>
      <c r="H81" s="4" t="s">
        <v>2345</v>
      </c>
      <c r="I81" s="4" t="str">
        <f t="shared" ca="1" si="1"/>
        <v/>
      </c>
      <c r="J81" s="4"/>
      <c r="K81" s="4"/>
      <c r="L81" s="5" t="s">
        <v>67</v>
      </c>
      <c r="M81" s="4"/>
    </row>
    <row r="82" spans="1:13" ht="60" customHeight="1" x14ac:dyDescent="0.25">
      <c r="A82" s="4" t="s">
        <v>2346</v>
      </c>
      <c r="B82" s="4" t="s">
        <v>28</v>
      </c>
      <c r="C82" s="4" t="s">
        <v>79</v>
      </c>
      <c r="D82" s="4" t="s">
        <v>86</v>
      </c>
      <c r="E82" s="4" t="s">
        <v>87</v>
      </c>
      <c r="F82" s="4" t="s">
        <v>2347</v>
      </c>
      <c r="G82" s="11" t="s">
        <v>2344</v>
      </c>
      <c r="H82" s="4" t="s">
        <v>2348</v>
      </c>
      <c r="I82" s="4" t="str">
        <f t="shared" ca="1" si="1"/>
        <v/>
      </c>
      <c r="J82" s="4"/>
      <c r="K82" s="4"/>
      <c r="L82" s="5" t="s">
        <v>67</v>
      </c>
      <c r="M82" s="4"/>
    </row>
    <row r="83" spans="1:13" ht="45" customHeight="1" x14ac:dyDescent="0.25">
      <c r="A83" s="4" t="s">
        <v>2349</v>
      </c>
      <c r="B83" s="4" t="s">
        <v>28</v>
      </c>
      <c r="C83" s="4" t="s">
        <v>79</v>
      </c>
      <c r="D83" s="4" t="s">
        <v>91</v>
      </c>
      <c r="E83" s="4" t="s">
        <v>2350</v>
      </c>
      <c r="F83" s="4" t="s">
        <v>2351</v>
      </c>
      <c r="G83" s="11" t="s">
        <v>2344</v>
      </c>
      <c r="H83" s="4" t="s">
        <v>2352</v>
      </c>
      <c r="I83" s="4" t="str">
        <f t="shared" ca="1" si="1"/>
        <v/>
      </c>
      <c r="J83" s="4"/>
      <c r="K83" s="4"/>
      <c r="L83" s="6" t="s">
        <v>95</v>
      </c>
      <c r="M83" s="4"/>
    </row>
    <row r="84" spans="1:13" ht="90" customHeight="1" x14ac:dyDescent="0.25">
      <c r="A84" s="4" t="s">
        <v>2353</v>
      </c>
      <c r="B84" s="4" t="s">
        <v>28</v>
      </c>
      <c r="C84" s="4" t="s">
        <v>79</v>
      </c>
      <c r="D84" s="4" t="s">
        <v>2354</v>
      </c>
      <c r="E84" s="4" t="s">
        <v>2355</v>
      </c>
      <c r="F84" s="4" t="s">
        <v>2356</v>
      </c>
      <c r="G84" s="11" t="s">
        <v>2357</v>
      </c>
      <c r="H84" s="4" t="s">
        <v>2358</v>
      </c>
      <c r="I84" s="4" t="str">
        <f t="shared" ca="1" si="1"/>
        <v/>
      </c>
      <c r="J84" s="4"/>
      <c r="K84" s="4"/>
      <c r="L84" s="6" t="s">
        <v>95</v>
      </c>
      <c r="M84" s="4"/>
    </row>
    <row r="85" spans="1:13" ht="75" customHeight="1" x14ac:dyDescent="0.25">
      <c r="A85" s="4" t="s">
        <v>2359</v>
      </c>
      <c r="B85" s="4" t="s">
        <v>28</v>
      </c>
      <c r="C85" s="4" t="s">
        <v>2360</v>
      </c>
      <c r="D85" s="4" t="s">
        <v>2361</v>
      </c>
      <c r="E85" s="4" t="s">
        <v>2362</v>
      </c>
      <c r="F85" s="4" t="s">
        <v>2363</v>
      </c>
      <c r="G85" s="11" t="s">
        <v>2364</v>
      </c>
      <c r="H85" s="4" t="s">
        <v>2365</v>
      </c>
      <c r="I85" s="4" t="str">
        <f t="shared" ca="1" si="1"/>
        <v/>
      </c>
      <c r="J85" s="4"/>
      <c r="K85" s="4"/>
      <c r="L85" s="5" t="s">
        <v>67</v>
      </c>
      <c r="M85" s="4"/>
    </row>
    <row r="86" spans="1:13" ht="45" customHeight="1" x14ac:dyDescent="0.25">
      <c r="A86" s="4" t="s">
        <v>2366</v>
      </c>
      <c r="B86" s="4" t="s">
        <v>28</v>
      </c>
      <c r="C86" s="4" t="s">
        <v>2360</v>
      </c>
      <c r="D86" s="4" t="s">
        <v>2367</v>
      </c>
      <c r="E86" s="4" t="s">
        <v>2368</v>
      </c>
      <c r="F86" s="4" t="s">
        <v>2369</v>
      </c>
      <c r="G86" s="11" t="s">
        <v>2370</v>
      </c>
      <c r="H86" s="4" t="s">
        <v>2371</v>
      </c>
      <c r="I86" s="4" t="str">
        <f t="shared" ca="1" si="1"/>
        <v/>
      </c>
      <c r="J86" s="4"/>
      <c r="K86" s="4"/>
      <c r="L86" s="5" t="s">
        <v>67</v>
      </c>
      <c r="M86" s="4"/>
    </row>
    <row r="87" spans="1:13" ht="45" customHeight="1" x14ac:dyDescent="0.25">
      <c r="A87" s="4" t="s">
        <v>2372</v>
      </c>
      <c r="B87" s="4" t="s">
        <v>28</v>
      </c>
      <c r="C87" s="4" t="s">
        <v>2360</v>
      </c>
      <c r="D87" s="4" t="s">
        <v>2373</v>
      </c>
      <c r="E87" s="4" t="s">
        <v>2374</v>
      </c>
      <c r="F87" s="4" t="s">
        <v>2375</v>
      </c>
      <c r="G87" s="11" t="s">
        <v>2376</v>
      </c>
      <c r="H87" s="4" t="s">
        <v>2377</v>
      </c>
      <c r="I87" s="4" t="str">
        <f t="shared" ca="1" si="1"/>
        <v/>
      </c>
      <c r="J87" s="4"/>
      <c r="K87" s="4"/>
      <c r="L87" s="6" t="s">
        <v>95</v>
      </c>
      <c r="M87" s="4"/>
    </row>
    <row r="88" spans="1:13" ht="90" customHeight="1" x14ac:dyDescent="0.25">
      <c r="A88" s="4" t="s">
        <v>2378</v>
      </c>
      <c r="B88" s="4" t="s">
        <v>28</v>
      </c>
      <c r="C88" s="4" t="s">
        <v>2360</v>
      </c>
      <c r="D88" s="4" t="s">
        <v>2379</v>
      </c>
      <c r="E88" s="4" t="s">
        <v>2379</v>
      </c>
      <c r="F88" s="4" t="s">
        <v>2380</v>
      </c>
      <c r="G88" s="11" t="s">
        <v>2364</v>
      </c>
      <c r="H88" s="4" t="s">
        <v>2381</v>
      </c>
      <c r="I88" s="4" t="str">
        <f t="shared" ca="1" si="1"/>
        <v/>
      </c>
      <c r="J88" s="4"/>
      <c r="K88" s="4"/>
      <c r="L88" s="5" t="s">
        <v>67</v>
      </c>
      <c r="M88" s="4"/>
    </row>
    <row r="89" spans="1:13" ht="60" customHeight="1" x14ac:dyDescent="0.25">
      <c r="A89" s="4" t="s">
        <v>2382</v>
      </c>
      <c r="B89" s="4" t="s">
        <v>28</v>
      </c>
      <c r="C89" s="4" t="s">
        <v>2360</v>
      </c>
      <c r="D89" s="4" t="s">
        <v>2383</v>
      </c>
      <c r="E89" s="4" t="s">
        <v>2384</v>
      </c>
      <c r="F89" s="4" t="s">
        <v>2385</v>
      </c>
      <c r="G89" s="11" t="s">
        <v>2386</v>
      </c>
      <c r="H89" s="4" t="s">
        <v>2387</v>
      </c>
      <c r="I89" s="4" t="str">
        <f t="shared" ca="1" si="1"/>
        <v/>
      </c>
      <c r="J89" s="4"/>
      <c r="K89" s="4"/>
      <c r="L89" s="6" t="s">
        <v>95</v>
      </c>
      <c r="M89" s="4"/>
    </row>
    <row r="90" spans="1:13" ht="45" customHeight="1" x14ac:dyDescent="0.25">
      <c r="A90" s="4" t="s">
        <v>2388</v>
      </c>
      <c r="B90" s="4" t="s">
        <v>28</v>
      </c>
      <c r="C90" s="4" t="s">
        <v>2360</v>
      </c>
      <c r="D90" s="4" t="s">
        <v>2389</v>
      </c>
      <c r="E90" s="4" t="s">
        <v>2390</v>
      </c>
      <c r="F90" s="4" t="s">
        <v>2391</v>
      </c>
      <c r="G90" s="11" t="s">
        <v>2392</v>
      </c>
      <c r="H90" s="4" t="s">
        <v>2393</v>
      </c>
      <c r="I90" s="4" t="str">
        <f t="shared" ca="1" si="1"/>
        <v/>
      </c>
      <c r="J90" s="4"/>
      <c r="K90" s="4"/>
      <c r="L90" s="6" t="s">
        <v>95</v>
      </c>
      <c r="M90" s="4"/>
    </row>
    <row r="91" spans="1:13" ht="45" customHeight="1" x14ac:dyDescent="0.25">
      <c r="A91" s="4" t="s">
        <v>2394</v>
      </c>
      <c r="B91" s="4" t="s">
        <v>28</v>
      </c>
      <c r="C91" s="4" t="s">
        <v>2360</v>
      </c>
      <c r="D91" s="4" t="s">
        <v>2395</v>
      </c>
      <c r="E91" s="4" t="s">
        <v>2396</v>
      </c>
      <c r="F91" s="4" t="s">
        <v>2397</v>
      </c>
      <c r="G91" s="11" t="s">
        <v>2392</v>
      </c>
      <c r="H91" s="4" t="s">
        <v>2398</v>
      </c>
      <c r="I91" s="4" t="str">
        <f t="shared" ca="1" si="1"/>
        <v/>
      </c>
      <c r="J91" s="4"/>
      <c r="K91" s="4"/>
      <c r="L91" s="6" t="s">
        <v>95</v>
      </c>
      <c r="M91" s="4"/>
    </row>
    <row r="92" spans="1:13" ht="90" customHeight="1" x14ac:dyDescent="0.25">
      <c r="A92" s="4" t="s">
        <v>2399</v>
      </c>
      <c r="B92" s="4" t="s">
        <v>28</v>
      </c>
      <c r="C92" s="4" t="s">
        <v>2400</v>
      </c>
      <c r="D92" s="4" t="s">
        <v>2401</v>
      </c>
      <c r="E92" s="4" t="s">
        <v>2402</v>
      </c>
      <c r="F92" s="4" t="s">
        <v>2403</v>
      </c>
      <c r="G92" s="11" t="s">
        <v>2404</v>
      </c>
      <c r="H92" s="4" t="s">
        <v>2405</v>
      </c>
      <c r="I92" s="4" t="str">
        <f t="shared" ca="1" si="1"/>
        <v/>
      </c>
      <c r="J92" s="4"/>
      <c r="K92" s="4"/>
      <c r="L92" s="5" t="s">
        <v>67</v>
      </c>
      <c r="M92" s="4"/>
    </row>
    <row r="93" spans="1:13" ht="45" customHeight="1" x14ac:dyDescent="0.25">
      <c r="A93" s="4" t="s">
        <v>2406</v>
      </c>
      <c r="B93" s="4" t="s">
        <v>28</v>
      </c>
      <c r="C93" s="4" t="s">
        <v>2400</v>
      </c>
      <c r="D93" s="4" t="s">
        <v>2407</v>
      </c>
      <c r="E93" s="4" t="s">
        <v>2408</v>
      </c>
      <c r="F93" s="4" t="s">
        <v>2409</v>
      </c>
      <c r="G93" s="11" t="s">
        <v>2404</v>
      </c>
      <c r="H93" s="4" t="s">
        <v>2410</v>
      </c>
      <c r="I93" s="4" t="str">
        <f t="shared" ca="1" si="1"/>
        <v/>
      </c>
      <c r="J93" s="4"/>
      <c r="K93" s="4"/>
      <c r="L93" s="5" t="s">
        <v>67</v>
      </c>
      <c r="M93" s="4"/>
    </row>
    <row r="94" spans="1:13" ht="75" customHeight="1" x14ac:dyDescent="0.25">
      <c r="A94" s="4" t="s">
        <v>2411</v>
      </c>
      <c r="B94" s="4" t="s">
        <v>28</v>
      </c>
      <c r="C94" s="4" t="s">
        <v>2400</v>
      </c>
      <c r="D94" s="4" t="s">
        <v>2412</v>
      </c>
      <c r="E94" s="4" t="s">
        <v>2413</v>
      </c>
      <c r="F94" s="4" t="s">
        <v>2414</v>
      </c>
      <c r="G94" s="11" t="s">
        <v>2415</v>
      </c>
      <c r="H94" s="4" t="s">
        <v>2416</v>
      </c>
      <c r="I94" s="4" t="str">
        <f t="shared" ca="1" si="1"/>
        <v/>
      </c>
      <c r="J94" s="4"/>
      <c r="K94" s="4"/>
      <c r="L94" s="7" t="s">
        <v>103</v>
      </c>
      <c r="M94" s="4"/>
    </row>
    <row r="95" spans="1:13" ht="60" customHeight="1" x14ac:dyDescent="0.25">
      <c r="A95" s="4" t="s">
        <v>2417</v>
      </c>
      <c r="B95" s="4" t="s">
        <v>28</v>
      </c>
      <c r="C95" s="4" t="s">
        <v>2400</v>
      </c>
      <c r="D95" s="4" t="s">
        <v>2418</v>
      </c>
      <c r="E95" s="4" t="s">
        <v>2419</v>
      </c>
      <c r="F95" s="4" t="s">
        <v>2420</v>
      </c>
      <c r="G95" s="11" t="s">
        <v>2415</v>
      </c>
      <c r="H95" s="4" t="s">
        <v>2421</v>
      </c>
      <c r="I95" s="4" t="str">
        <f t="shared" ca="1" si="1"/>
        <v/>
      </c>
      <c r="J95" s="4"/>
      <c r="K95" s="4"/>
      <c r="L95" s="5" t="s">
        <v>67</v>
      </c>
      <c r="M95" s="4"/>
    </row>
    <row r="96" spans="1:13" ht="90" customHeight="1" x14ac:dyDescent="0.25">
      <c r="A96" s="4" t="s">
        <v>2422</v>
      </c>
      <c r="B96" s="4" t="s">
        <v>28</v>
      </c>
      <c r="C96" s="4" t="s">
        <v>2400</v>
      </c>
      <c r="D96" s="4" t="s">
        <v>2423</v>
      </c>
      <c r="E96" s="4" t="s">
        <v>2424</v>
      </c>
      <c r="F96" s="4" t="s">
        <v>2425</v>
      </c>
      <c r="G96" s="11" t="s">
        <v>2404</v>
      </c>
      <c r="H96" s="4" t="s">
        <v>2426</v>
      </c>
      <c r="I96" s="4" t="str">
        <f t="shared" ca="1" si="1"/>
        <v/>
      </c>
      <c r="J96" s="4"/>
      <c r="K96" s="4"/>
      <c r="L96" s="5" t="s">
        <v>67</v>
      </c>
      <c r="M96" s="4"/>
    </row>
    <row r="97" spans="1:13" ht="60" customHeight="1" x14ac:dyDescent="0.25">
      <c r="A97" s="4" t="s">
        <v>2427</v>
      </c>
      <c r="B97" s="4" t="s">
        <v>28</v>
      </c>
      <c r="C97" s="4" t="s">
        <v>2400</v>
      </c>
      <c r="D97" s="4" t="s">
        <v>2428</v>
      </c>
      <c r="E97" s="4" t="s">
        <v>2429</v>
      </c>
      <c r="F97" s="4" t="s">
        <v>2430</v>
      </c>
      <c r="G97" s="11" t="s">
        <v>2431</v>
      </c>
      <c r="H97" s="4" t="s">
        <v>2432</v>
      </c>
      <c r="I97" s="4" t="str">
        <f t="shared" ca="1" si="1"/>
        <v/>
      </c>
      <c r="J97" s="4"/>
      <c r="K97" s="4"/>
      <c r="L97" s="6" t="s">
        <v>95</v>
      </c>
      <c r="M97" s="4"/>
    </row>
    <row r="98" spans="1:13" ht="45" customHeight="1" x14ac:dyDescent="0.25">
      <c r="A98" s="4" t="s">
        <v>2433</v>
      </c>
      <c r="B98" s="4" t="s">
        <v>28</v>
      </c>
      <c r="C98" s="4" t="s">
        <v>2400</v>
      </c>
      <c r="D98" s="4" t="s">
        <v>2434</v>
      </c>
      <c r="E98" s="4" t="s">
        <v>2435</v>
      </c>
      <c r="F98" s="4" t="s">
        <v>2436</v>
      </c>
      <c r="G98" s="11" t="s">
        <v>2415</v>
      </c>
      <c r="H98" s="4" t="s">
        <v>2437</v>
      </c>
      <c r="I98" s="4" t="str">
        <f t="shared" ca="1" si="1"/>
        <v/>
      </c>
      <c r="J98" s="4"/>
      <c r="K98" s="4"/>
      <c r="L98" s="5" t="s">
        <v>67</v>
      </c>
      <c r="M98" s="4"/>
    </row>
    <row r="99" spans="1:13" ht="75" customHeight="1" x14ac:dyDescent="0.25">
      <c r="A99" s="4" t="s">
        <v>2438</v>
      </c>
      <c r="B99" s="4" t="s">
        <v>28</v>
      </c>
      <c r="C99" s="4" t="s">
        <v>2400</v>
      </c>
      <c r="D99" s="4" t="s">
        <v>2439</v>
      </c>
      <c r="E99" s="4" t="s">
        <v>2440</v>
      </c>
      <c r="F99" s="4" t="s">
        <v>2441</v>
      </c>
      <c r="G99" s="11" t="s">
        <v>2415</v>
      </c>
      <c r="H99" s="4" t="s">
        <v>2442</v>
      </c>
      <c r="I99" s="4" t="str">
        <f t="shared" ca="1" si="1"/>
        <v/>
      </c>
      <c r="J99" s="4"/>
      <c r="K99" s="4"/>
      <c r="L99" s="5" t="s">
        <v>67</v>
      </c>
      <c r="M99" s="4"/>
    </row>
    <row r="100" spans="1:13" ht="60" customHeight="1" x14ac:dyDescent="0.25">
      <c r="A100" s="4" t="s">
        <v>2443</v>
      </c>
      <c r="B100" s="4" t="s">
        <v>28</v>
      </c>
      <c r="C100" s="4" t="s">
        <v>2400</v>
      </c>
      <c r="D100" s="4" t="s">
        <v>2444</v>
      </c>
      <c r="E100" s="4" t="s">
        <v>2445</v>
      </c>
      <c r="F100" s="4" t="s">
        <v>2446</v>
      </c>
      <c r="G100" s="11" t="s">
        <v>2415</v>
      </c>
      <c r="H100" s="4" t="s">
        <v>2447</v>
      </c>
      <c r="I100" s="4" t="str">
        <f t="shared" ca="1" si="1"/>
        <v/>
      </c>
      <c r="J100" s="4"/>
      <c r="K100" s="4"/>
      <c r="L100" s="5" t="s">
        <v>67</v>
      </c>
      <c r="M100" s="4"/>
    </row>
    <row r="101" spans="1:13" ht="60" customHeight="1" x14ac:dyDescent="0.25">
      <c r="A101" s="4" t="s">
        <v>2448</v>
      </c>
      <c r="B101" s="4" t="s">
        <v>28</v>
      </c>
      <c r="C101" s="4" t="s">
        <v>2400</v>
      </c>
      <c r="D101" s="4" t="s">
        <v>2449</v>
      </c>
      <c r="E101" s="4" t="s">
        <v>2450</v>
      </c>
      <c r="F101" s="4" t="s">
        <v>2451</v>
      </c>
      <c r="G101" s="11" t="s">
        <v>2415</v>
      </c>
      <c r="H101" s="4" t="s">
        <v>2452</v>
      </c>
      <c r="I101" s="4" t="str">
        <f t="shared" ca="1" si="1"/>
        <v/>
      </c>
      <c r="J101" s="4"/>
      <c r="K101" s="4"/>
      <c r="L101" s="6" t="s">
        <v>95</v>
      </c>
      <c r="M101" s="4"/>
    </row>
    <row r="102" spans="1:13" ht="60" customHeight="1" x14ac:dyDescent="0.25">
      <c r="A102" s="4" t="s">
        <v>2453</v>
      </c>
      <c r="B102" s="4" t="s">
        <v>28</v>
      </c>
      <c r="C102" s="4" t="s">
        <v>97</v>
      </c>
      <c r="D102" s="4" t="s">
        <v>2401</v>
      </c>
      <c r="E102" s="4" t="s">
        <v>2454</v>
      </c>
      <c r="F102" s="4" t="s">
        <v>2455</v>
      </c>
      <c r="G102" s="11" t="s">
        <v>2456</v>
      </c>
      <c r="H102" s="4" t="s">
        <v>2457</v>
      </c>
      <c r="I102" s="4" t="str">
        <f t="shared" ca="1" si="1"/>
        <v/>
      </c>
      <c r="J102" s="4"/>
      <c r="K102" s="4"/>
      <c r="L102" s="5" t="s">
        <v>67</v>
      </c>
      <c r="M102" s="4"/>
    </row>
    <row r="103" spans="1:13" ht="45" customHeight="1" x14ac:dyDescent="0.25">
      <c r="A103" s="4" t="s">
        <v>2458</v>
      </c>
      <c r="B103" s="4" t="s">
        <v>28</v>
      </c>
      <c r="C103" s="4" t="s">
        <v>97</v>
      </c>
      <c r="D103" s="4" t="s">
        <v>2459</v>
      </c>
      <c r="E103" s="4" t="s">
        <v>2460</v>
      </c>
      <c r="F103" s="4" t="s">
        <v>2461</v>
      </c>
      <c r="G103" s="11" t="s">
        <v>2462</v>
      </c>
      <c r="H103" s="4" t="s">
        <v>2463</v>
      </c>
      <c r="I103" s="4" t="str">
        <f t="shared" ca="1" si="1"/>
        <v/>
      </c>
      <c r="J103" s="4"/>
      <c r="K103" s="4"/>
      <c r="L103" s="5" t="s">
        <v>67</v>
      </c>
      <c r="M103" s="4"/>
    </row>
    <row r="104" spans="1:13" ht="45" customHeight="1" x14ac:dyDescent="0.25">
      <c r="A104" s="4" t="s">
        <v>2464</v>
      </c>
      <c r="B104" s="4" t="s">
        <v>28</v>
      </c>
      <c r="C104" s="4" t="s">
        <v>97</v>
      </c>
      <c r="D104" s="4" t="s">
        <v>2465</v>
      </c>
      <c r="E104" s="4" t="s">
        <v>2466</v>
      </c>
      <c r="F104" s="4" t="s">
        <v>2467</v>
      </c>
      <c r="G104" s="11" t="s">
        <v>2468</v>
      </c>
      <c r="H104" s="4" t="s">
        <v>2469</v>
      </c>
      <c r="I104" s="4" t="str">
        <f t="shared" ca="1" si="1"/>
        <v/>
      </c>
      <c r="J104" s="4"/>
      <c r="K104" s="4"/>
      <c r="L104" s="5" t="s">
        <v>67</v>
      </c>
      <c r="M104" s="4"/>
    </row>
    <row r="105" spans="1:13" ht="90" customHeight="1" x14ac:dyDescent="0.25">
      <c r="A105" s="4" t="s">
        <v>2470</v>
      </c>
      <c r="B105" s="4" t="s">
        <v>28</v>
      </c>
      <c r="C105" s="4" t="s">
        <v>97</v>
      </c>
      <c r="D105" s="4" t="s">
        <v>2423</v>
      </c>
      <c r="E105" s="4" t="s">
        <v>123</v>
      </c>
      <c r="F105" s="4" t="s">
        <v>2471</v>
      </c>
      <c r="G105" s="11" t="s">
        <v>2456</v>
      </c>
      <c r="H105" s="4" t="s">
        <v>2472</v>
      </c>
      <c r="I105" s="4" t="str">
        <f t="shared" ca="1" si="1"/>
        <v/>
      </c>
      <c r="J105" s="4"/>
      <c r="K105" s="4"/>
      <c r="L105" s="5" t="s">
        <v>67</v>
      </c>
      <c r="M105" s="4"/>
    </row>
    <row r="106" spans="1:13" ht="45" customHeight="1" x14ac:dyDescent="0.25">
      <c r="A106" s="4" t="s">
        <v>2473</v>
      </c>
      <c r="B106" s="4" t="s">
        <v>28</v>
      </c>
      <c r="C106" s="4" t="s">
        <v>97</v>
      </c>
      <c r="D106" s="4" t="s">
        <v>116</v>
      </c>
      <c r="E106" s="4" t="s">
        <v>117</v>
      </c>
      <c r="F106" s="4" t="s">
        <v>2474</v>
      </c>
      <c r="G106" s="11" t="s">
        <v>2475</v>
      </c>
      <c r="H106" s="4" t="s">
        <v>2476</v>
      </c>
      <c r="I106" s="4" t="str">
        <f t="shared" ca="1" si="1"/>
        <v/>
      </c>
      <c r="J106" s="4"/>
      <c r="K106" s="4"/>
      <c r="L106" s="6" t="s">
        <v>95</v>
      </c>
      <c r="M106" s="4"/>
    </row>
    <row r="107" spans="1:13" ht="60" customHeight="1" x14ac:dyDescent="0.25">
      <c r="A107" s="4" t="s">
        <v>2477</v>
      </c>
      <c r="B107" s="4" t="s">
        <v>28</v>
      </c>
      <c r="C107" s="4" t="s">
        <v>97</v>
      </c>
      <c r="D107" s="4" t="s">
        <v>968</v>
      </c>
      <c r="E107" s="4" t="s">
        <v>968</v>
      </c>
      <c r="F107" s="4" t="s">
        <v>2478</v>
      </c>
      <c r="G107" s="11" t="s">
        <v>2479</v>
      </c>
      <c r="H107" s="4" t="s">
        <v>2480</v>
      </c>
      <c r="I107" s="4" t="str">
        <f t="shared" ca="1" si="1"/>
        <v/>
      </c>
      <c r="J107" s="4"/>
      <c r="K107" s="4"/>
      <c r="L107" s="6" t="s">
        <v>95</v>
      </c>
      <c r="M107" s="4"/>
    </row>
    <row r="108" spans="1:13" ht="60" customHeight="1" x14ac:dyDescent="0.25">
      <c r="A108" s="4" t="s">
        <v>2481</v>
      </c>
      <c r="B108" s="4" t="s">
        <v>28</v>
      </c>
      <c r="C108" s="4" t="s">
        <v>97</v>
      </c>
      <c r="D108" s="4" t="s">
        <v>2482</v>
      </c>
      <c r="E108" s="4" t="s">
        <v>2483</v>
      </c>
      <c r="F108" s="4" t="s">
        <v>2484</v>
      </c>
      <c r="G108" s="11" t="s">
        <v>2479</v>
      </c>
      <c r="H108" s="4" t="s">
        <v>2485</v>
      </c>
      <c r="I108" s="4" t="str">
        <f t="shared" ca="1" si="1"/>
        <v/>
      </c>
      <c r="J108" s="4"/>
      <c r="K108" s="4"/>
      <c r="L108" s="5" t="s">
        <v>67</v>
      </c>
      <c r="M108" s="4"/>
    </row>
    <row r="109" spans="1:13" ht="60" customHeight="1" x14ac:dyDescent="0.25">
      <c r="A109" s="4" t="s">
        <v>2486</v>
      </c>
      <c r="B109" s="4" t="s">
        <v>28</v>
      </c>
      <c r="C109" s="4" t="s">
        <v>97</v>
      </c>
      <c r="D109" s="4" t="s">
        <v>2487</v>
      </c>
      <c r="E109" s="4" t="s">
        <v>2488</v>
      </c>
      <c r="F109" s="4" t="s">
        <v>2489</v>
      </c>
      <c r="G109" s="11" t="s">
        <v>2479</v>
      </c>
      <c r="H109" s="4" t="s">
        <v>2490</v>
      </c>
      <c r="I109" s="4" t="str">
        <f t="shared" ca="1" si="1"/>
        <v/>
      </c>
      <c r="J109" s="4"/>
      <c r="K109" s="4"/>
      <c r="L109" s="6" t="s">
        <v>95</v>
      </c>
      <c r="M109" s="4"/>
    </row>
    <row r="110" spans="1:13" ht="45" customHeight="1" x14ac:dyDescent="0.25">
      <c r="A110" s="4" t="s">
        <v>2491</v>
      </c>
      <c r="B110" s="4" t="s">
        <v>28</v>
      </c>
      <c r="C110" s="4" t="s">
        <v>2492</v>
      </c>
      <c r="D110" s="4" t="s">
        <v>2401</v>
      </c>
      <c r="E110" s="4" t="s">
        <v>2493</v>
      </c>
      <c r="F110" s="4" t="s">
        <v>2494</v>
      </c>
      <c r="G110" s="11" t="s">
        <v>2495</v>
      </c>
      <c r="H110" s="4" t="s">
        <v>2496</v>
      </c>
      <c r="I110" s="4" t="str">
        <f t="shared" ca="1" si="1"/>
        <v/>
      </c>
      <c r="J110" s="4"/>
      <c r="K110" s="4"/>
      <c r="L110" s="5" t="s">
        <v>67</v>
      </c>
      <c r="M110" s="4"/>
    </row>
    <row r="111" spans="1:13" ht="45" customHeight="1" x14ac:dyDescent="0.25">
      <c r="A111" s="4" t="s">
        <v>2497</v>
      </c>
      <c r="B111" s="4" t="s">
        <v>28</v>
      </c>
      <c r="C111" s="4" t="s">
        <v>2492</v>
      </c>
      <c r="D111" s="4" t="s">
        <v>841</v>
      </c>
      <c r="E111" s="4" t="s">
        <v>842</v>
      </c>
      <c r="F111" s="4" t="s">
        <v>2498</v>
      </c>
      <c r="G111" s="11" t="s">
        <v>2495</v>
      </c>
      <c r="H111" s="4" t="s">
        <v>2499</v>
      </c>
      <c r="I111" s="4" t="str">
        <f t="shared" ca="1" si="1"/>
        <v/>
      </c>
      <c r="J111" s="4"/>
      <c r="K111" s="4"/>
      <c r="L111" s="5" t="s">
        <v>67</v>
      </c>
      <c r="M111" s="4"/>
    </row>
    <row r="112" spans="1:13" ht="45" customHeight="1" x14ac:dyDescent="0.25">
      <c r="A112" s="4" t="s">
        <v>2500</v>
      </c>
      <c r="B112" s="4" t="s">
        <v>28</v>
      </c>
      <c r="C112" s="4" t="s">
        <v>2492</v>
      </c>
      <c r="D112" s="4" t="s">
        <v>2501</v>
      </c>
      <c r="E112" s="4" t="s">
        <v>2502</v>
      </c>
      <c r="F112" s="4" t="s">
        <v>2503</v>
      </c>
      <c r="G112" s="11" t="s">
        <v>2504</v>
      </c>
      <c r="H112" s="4" t="s">
        <v>2505</v>
      </c>
      <c r="I112" s="4" t="str">
        <f t="shared" ca="1" si="1"/>
        <v/>
      </c>
      <c r="J112" s="4"/>
      <c r="K112" s="4"/>
      <c r="L112" s="6" t="s">
        <v>95</v>
      </c>
      <c r="M112" s="4"/>
    </row>
    <row r="113" spans="1:13" ht="45" customHeight="1" x14ac:dyDescent="0.25">
      <c r="A113" s="4" t="s">
        <v>2506</v>
      </c>
      <c r="B113" s="4" t="s">
        <v>28</v>
      </c>
      <c r="C113" s="4" t="s">
        <v>2492</v>
      </c>
      <c r="D113" s="4" t="s">
        <v>2507</v>
      </c>
      <c r="E113" s="4" t="s">
        <v>2508</v>
      </c>
      <c r="F113" s="4" t="s">
        <v>2509</v>
      </c>
      <c r="G113" s="11" t="s">
        <v>2510</v>
      </c>
      <c r="H113" s="4" t="s">
        <v>2511</v>
      </c>
      <c r="I113" s="4" t="str">
        <f t="shared" ca="1" si="1"/>
        <v/>
      </c>
      <c r="J113" s="4"/>
      <c r="K113" s="4"/>
      <c r="L113" s="4" t="s">
        <v>131</v>
      </c>
      <c r="M113" s="4"/>
    </row>
    <row r="114" spans="1:13" ht="45" customHeight="1" x14ac:dyDescent="0.25">
      <c r="A114" s="4" t="s">
        <v>2512</v>
      </c>
      <c r="B114" s="4" t="s">
        <v>28</v>
      </c>
      <c r="C114" s="4" t="s">
        <v>2492</v>
      </c>
      <c r="D114" s="4" t="s">
        <v>2513</v>
      </c>
      <c r="E114" s="4" t="s">
        <v>2514</v>
      </c>
      <c r="F114" s="4" t="s">
        <v>2515</v>
      </c>
      <c r="G114" s="11" t="s">
        <v>2516</v>
      </c>
      <c r="H114" s="4" t="s">
        <v>2517</v>
      </c>
      <c r="I114" s="4" t="str">
        <f t="shared" ca="1" si="1"/>
        <v/>
      </c>
      <c r="J114" s="4"/>
      <c r="K114" s="4"/>
      <c r="L114" s="6" t="s">
        <v>95</v>
      </c>
      <c r="M114" s="4"/>
    </row>
    <row r="115" spans="1:13" ht="45" customHeight="1" x14ac:dyDescent="0.25">
      <c r="A115" s="4" t="s">
        <v>2518</v>
      </c>
      <c r="B115" s="4" t="s">
        <v>28</v>
      </c>
      <c r="C115" s="4" t="s">
        <v>2492</v>
      </c>
      <c r="D115" s="4" t="s">
        <v>2519</v>
      </c>
      <c r="E115" s="4" t="s">
        <v>2520</v>
      </c>
      <c r="F115" s="4" t="s">
        <v>2521</v>
      </c>
      <c r="G115" s="11" t="s">
        <v>2516</v>
      </c>
      <c r="H115" s="4" t="s">
        <v>2522</v>
      </c>
      <c r="I115" s="4" t="str">
        <f t="shared" ca="1" si="1"/>
        <v/>
      </c>
      <c r="J115" s="4"/>
      <c r="K115" s="4"/>
      <c r="L115" s="4" t="s">
        <v>131</v>
      </c>
      <c r="M115" s="4"/>
    </row>
    <row r="116" spans="1:13" ht="60" customHeight="1" x14ac:dyDescent="0.25">
      <c r="A116" s="4" t="s">
        <v>2523</v>
      </c>
      <c r="B116" s="4" t="s">
        <v>28</v>
      </c>
      <c r="C116" s="4" t="s">
        <v>2524</v>
      </c>
      <c r="D116" s="4" t="s">
        <v>2525</v>
      </c>
      <c r="E116" s="4" t="s">
        <v>2526</v>
      </c>
      <c r="F116" s="4" t="s">
        <v>2527</v>
      </c>
      <c r="G116" s="11" t="s">
        <v>2528</v>
      </c>
      <c r="H116" s="4" t="s">
        <v>2529</v>
      </c>
      <c r="I116" s="4" t="str">
        <f t="shared" ca="1" si="1"/>
        <v/>
      </c>
      <c r="J116" s="4"/>
      <c r="K116" s="4"/>
      <c r="L116" s="6" t="s">
        <v>95</v>
      </c>
      <c r="M116" s="4"/>
    </row>
    <row r="117" spans="1:13" ht="60" customHeight="1" x14ac:dyDescent="0.25">
      <c r="A117" s="4" t="s">
        <v>2530</v>
      </c>
      <c r="B117" s="4" t="s">
        <v>28</v>
      </c>
      <c r="C117" s="4" t="s">
        <v>2524</v>
      </c>
      <c r="D117" s="4" t="s">
        <v>2531</v>
      </c>
      <c r="E117" s="4" t="s">
        <v>2532</v>
      </c>
      <c r="F117" s="4" t="s">
        <v>2533</v>
      </c>
      <c r="G117" s="11" t="s">
        <v>2534</v>
      </c>
      <c r="H117" s="4" t="s">
        <v>2535</v>
      </c>
      <c r="I117" s="4" t="str">
        <f t="shared" ca="1" si="1"/>
        <v/>
      </c>
      <c r="J117" s="4"/>
      <c r="K117" s="4"/>
      <c r="L117" s="6" t="s">
        <v>95</v>
      </c>
      <c r="M117" s="4"/>
    </row>
    <row r="118" spans="1:13" ht="45" customHeight="1" x14ac:dyDescent="0.25">
      <c r="A118" s="4" t="s">
        <v>2536</v>
      </c>
      <c r="B118" s="4" t="s">
        <v>28</v>
      </c>
      <c r="C118" s="4" t="s">
        <v>2524</v>
      </c>
      <c r="D118" s="4" t="s">
        <v>2537</v>
      </c>
      <c r="E118" s="4" t="s">
        <v>2537</v>
      </c>
      <c r="F118" s="4" t="s">
        <v>2538</v>
      </c>
      <c r="G118" s="11" t="s">
        <v>2539</v>
      </c>
      <c r="H118" s="4" t="s">
        <v>2540</v>
      </c>
      <c r="I118" s="4" t="str">
        <f t="shared" ca="1" si="1"/>
        <v/>
      </c>
      <c r="J118" s="4"/>
      <c r="K118" s="4"/>
      <c r="L118" s="6" t="s">
        <v>95</v>
      </c>
      <c r="M118" s="4"/>
    </row>
    <row r="119" spans="1:13" ht="60" customHeight="1" x14ac:dyDescent="0.25">
      <c r="A119" s="4" t="s">
        <v>2541</v>
      </c>
      <c r="B119" s="4" t="s">
        <v>28</v>
      </c>
      <c r="C119" s="4" t="s">
        <v>2524</v>
      </c>
      <c r="D119" s="4" t="s">
        <v>2542</v>
      </c>
      <c r="E119" s="4" t="s">
        <v>2543</v>
      </c>
      <c r="F119" s="4" t="s">
        <v>2544</v>
      </c>
      <c r="G119" s="11" t="s">
        <v>2539</v>
      </c>
      <c r="H119" s="4" t="s">
        <v>2545</v>
      </c>
      <c r="I119" s="4" t="str">
        <f t="shared" ca="1" si="1"/>
        <v/>
      </c>
      <c r="J119" s="4"/>
      <c r="K119" s="4"/>
      <c r="L119" s="4" t="s">
        <v>131</v>
      </c>
      <c r="M119" s="4"/>
    </row>
    <row r="120" spans="1:13" ht="45" customHeight="1" x14ac:dyDescent="0.25">
      <c r="A120" s="4" t="s">
        <v>2546</v>
      </c>
      <c r="B120" s="4" t="s">
        <v>28</v>
      </c>
      <c r="C120" s="4" t="s">
        <v>2524</v>
      </c>
      <c r="D120" s="4" t="s">
        <v>2547</v>
      </c>
      <c r="E120" s="4" t="s">
        <v>2548</v>
      </c>
      <c r="F120" s="4" t="s">
        <v>2549</v>
      </c>
      <c r="G120" s="11" t="s">
        <v>2550</v>
      </c>
      <c r="H120" s="4" t="s">
        <v>2551</v>
      </c>
      <c r="I120" s="4" t="str">
        <f t="shared" ca="1" si="1"/>
        <v/>
      </c>
      <c r="J120" s="4"/>
      <c r="K120" s="4"/>
      <c r="L120" s="4" t="s">
        <v>131</v>
      </c>
      <c r="M120" s="4"/>
    </row>
    <row r="121" spans="1:13" ht="90" customHeight="1" x14ac:dyDescent="0.25">
      <c r="A121" s="4" t="s">
        <v>2552</v>
      </c>
      <c r="B121" s="4" t="s">
        <v>28</v>
      </c>
      <c r="C121" s="4" t="s">
        <v>2553</v>
      </c>
      <c r="D121" s="4" t="s">
        <v>2554</v>
      </c>
      <c r="E121" s="4" t="s">
        <v>2555</v>
      </c>
      <c r="F121" s="4" t="s">
        <v>2556</v>
      </c>
      <c r="G121" s="11" t="s">
        <v>476</v>
      </c>
      <c r="H121" s="4" t="s">
        <v>2557</v>
      </c>
      <c r="I121" s="4" t="str">
        <f t="shared" ca="1" si="1"/>
        <v/>
      </c>
      <c r="J121" s="4"/>
      <c r="K121" s="4"/>
      <c r="L121" s="6" t="s">
        <v>95</v>
      </c>
      <c r="M121" s="4"/>
    </row>
    <row r="122" spans="1:13" ht="45" customHeight="1" x14ac:dyDescent="0.25">
      <c r="A122" s="4" t="s">
        <v>2558</v>
      </c>
      <c r="B122" s="4" t="s">
        <v>28</v>
      </c>
      <c r="C122" s="4" t="s">
        <v>2553</v>
      </c>
      <c r="D122" s="4" t="s">
        <v>2559</v>
      </c>
      <c r="E122" s="4" t="s">
        <v>2560</v>
      </c>
      <c r="F122" s="4" t="s">
        <v>2561</v>
      </c>
      <c r="G122" s="11" t="s">
        <v>476</v>
      </c>
      <c r="H122" s="4" t="s">
        <v>2562</v>
      </c>
      <c r="I122" s="4" t="str">
        <f t="shared" ca="1" si="1"/>
        <v/>
      </c>
      <c r="J122" s="4"/>
      <c r="K122" s="4"/>
      <c r="L122" s="6" t="s">
        <v>95</v>
      </c>
      <c r="M122" s="4"/>
    </row>
    <row r="123" spans="1:13" ht="60" customHeight="1" x14ac:dyDescent="0.25">
      <c r="A123" s="4" t="s">
        <v>2563</v>
      </c>
      <c r="B123" s="4" t="s">
        <v>28</v>
      </c>
      <c r="C123" s="4" t="s">
        <v>2553</v>
      </c>
      <c r="D123" s="4" t="s">
        <v>2564</v>
      </c>
      <c r="E123" s="4" t="s">
        <v>2565</v>
      </c>
      <c r="F123" s="4" t="s">
        <v>2566</v>
      </c>
      <c r="G123" s="11" t="s">
        <v>476</v>
      </c>
      <c r="H123" s="4" t="s">
        <v>2567</v>
      </c>
      <c r="I123" s="4" t="str">
        <f t="shared" ca="1" si="1"/>
        <v/>
      </c>
      <c r="J123" s="4"/>
      <c r="K123" s="4"/>
      <c r="L123" s="4" t="s">
        <v>131</v>
      </c>
      <c r="M123" s="4"/>
    </row>
    <row r="124" spans="1:13" ht="60" customHeight="1" x14ac:dyDescent="0.25">
      <c r="A124" s="4" t="s">
        <v>2568</v>
      </c>
      <c r="B124" s="4" t="s">
        <v>28</v>
      </c>
      <c r="C124" s="4" t="s">
        <v>2553</v>
      </c>
      <c r="D124" s="4" t="s">
        <v>2569</v>
      </c>
      <c r="E124" s="4" t="s">
        <v>2570</v>
      </c>
      <c r="F124" s="4" t="s">
        <v>2571</v>
      </c>
      <c r="G124" s="11" t="s">
        <v>476</v>
      </c>
      <c r="H124" s="4" t="s">
        <v>2572</v>
      </c>
      <c r="I124" s="4" t="str">
        <f t="shared" ca="1" si="1"/>
        <v/>
      </c>
      <c r="J124" s="4"/>
      <c r="K124" s="4"/>
      <c r="L124" s="6" t="s">
        <v>95</v>
      </c>
      <c r="M124" s="4"/>
    </row>
    <row r="125" spans="1:13" ht="45" customHeight="1" x14ac:dyDescent="0.25">
      <c r="A125" s="4" t="s">
        <v>2573</v>
      </c>
      <c r="B125" s="4" t="s">
        <v>28</v>
      </c>
      <c r="C125" s="4" t="s">
        <v>2574</v>
      </c>
      <c r="D125" s="4" t="s">
        <v>2407</v>
      </c>
      <c r="E125" s="4" t="s">
        <v>2575</v>
      </c>
      <c r="F125" s="4" t="s">
        <v>2576</v>
      </c>
      <c r="G125" s="11" t="s">
        <v>2577</v>
      </c>
      <c r="H125" s="4" t="s">
        <v>2578</v>
      </c>
      <c r="I125" s="4" t="str">
        <f t="shared" ca="1" si="1"/>
        <v/>
      </c>
      <c r="J125" s="4"/>
      <c r="K125" s="4"/>
      <c r="L125" s="5" t="s">
        <v>67</v>
      </c>
      <c r="M125" s="4"/>
    </row>
    <row r="126" spans="1:13" ht="60" customHeight="1" x14ac:dyDescent="0.25">
      <c r="A126" s="4" t="s">
        <v>2579</v>
      </c>
      <c r="B126" s="4" t="s">
        <v>28</v>
      </c>
      <c r="C126" s="4" t="s">
        <v>2574</v>
      </c>
      <c r="D126" s="4" t="s">
        <v>2580</v>
      </c>
      <c r="E126" s="4" t="s">
        <v>2581</v>
      </c>
      <c r="F126" s="4" t="s">
        <v>2582</v>
      </c>
      <c r="G126" s="11" t="s">
        <v>2583</v>
      </c>
      <c r="H126" s="4" t="s">
        <v>2584</v>
      </c>
      <c r="I126" s="4" t="str">
        <f t="shared" ca="1" si="1"/>
        <v/>
      </c>
      <c r="J126" s="4"/>
      <c r="K126" s="4"/>
      <c r="L126" s="7" t="s">
        <v>103</v>
      </c>
      <c r="M126" s="4"/>
    </row>
    <row r="127" spans="1:13" ht="60" customHeight="1" x14ac:dyDescent="0.25">
      <c r="A127" s="4" t="s">
        <v>2585</v>
      </c>
      <c r="B127" s="4" t="s">
        <v>28</v>
      </c>
      <c r="C127" s="4" t="s">
        <v>2574</v>
      </c>
      <c r="D127" s="4" t="s">
        <v>105</v>
      </c>
      <c r="E127" s="4" t="s">
        <v>180</v>
      </c>
      <c r="F127" s="4" t="s">
        <v>2586</v>
      </c>
      <c r="G127" s="11" t="s">
        <v>2577</v>
      </c>
      <c r="H127" s="4" t="s">
        <v>2587</v>
      </c>
      <c r="I127" s="4" t="str">
        <f t="shared" ca="1" si="1"/>
        <v/>
      </c>
      <c r="J127" s="4"/>
      <c r="K127" s="4"/>
      <c r="L127" s="6" t="s">
        <v>95</v>
      </c>
      <c r="M127" s="4"/>
    </row>
    <row r="128" spans="1:13" ht="60" customHeight="1" x14ac:dyDescent="0.25">
      <c r="A128" s="4" t="s">
        <v>2588</v>
      </c>
      <c r="B128" s="4" t="s">
        <v>28</v>
      </c>
      <c r="C128" s="4" t="s">
        <v>2574</v>
      </c>
      <c r="D128" s="4" t="s">
        <v>2589</v>
      </c>
      <c r="E128" s="4" t="s">
        <v>2590</v>
      </c>
      <c r="F128" s="4" t="s">
        <v>2591</v>
      </c>
      <c r="G128" s="11" t="s">
        <v>2583</v>
      </c>
      <c r="H128" s="4" t="s">
        <v>2592</v>
      </c>
      <c r="I128" s="4" t="str">
        <f t="shared" ca="1" si="1"/>
        <v/>
      </c>
      <c r="J128" s="4"/>
      <c r="K128" s="4"/>
      <c r="L128" s="6" t="s">
        <v>95</v>
      </c>
      <c r="M128" s="4"/>
    </row>
    <row r="129" spans="1:13" ht="45" customHeight="1" x14ac:dyDescent="0.25">
      <c r="A129" s="4" t="s">
        <v>2593</v>
      </c>
      <c r="B129" s="4" t="s">
        <v>28</v>
      </c>
      <c r="C129" s="4" t="s">
        <v>792</v>
      </c>
      <c r="D129" s="4" t="s">
        <v>2594</v>
      </c>
      <c r="E129" s="4" t="s">
        <v>2595</v>
      </c>
      <c r="F129" s="4" t="s">
        <v>2596</v>
      </c>
      <c r="G129" s="11" t="s">
        <v>2597</v>
      </c>
      <c r="H129" s="4" t="s">
        <v>800</v>
      </c>
      <c r="I129" s="4" t="str">
        <f t="shared" ca="1" si="1"/>
        <v/>
      </c>
      <c r="J129" s="4"/>
      <c r="K129" s="4"/>
      <c r="L129" s="6" t="s">
        <v>95</v>
      </c>
      <c r="M129" s="4"/>
    </row>
    <row r="130" spans="1:13" ht="45" customHeight="1" x14ac:dyDescent="0.25">
      <c r="A130" s="4" t="s">
        <v>2598</v>
      </c>
      <c r="B130" s="4" t="s">
        <v>28</v>
      </c>
      <c r="C130" s="4" t="s">
        <v>792</v>
      </c>
      <c r="D130" s="4" t="s">
        <v>2599</v>
      </c>
      <c r="E130" s="4" t="s">
        <v>2600</v>
      </c>
      <c r="F130" s="4" t="s">
        <v>2601</v>
      </c>
      <c r="G130" s="11" t="s">
        <v>2597</v>
      </c>
      <c r="H130" s="4" t="s">
        <v>2602</v>
      </c>
      <c r="I130" s="4" t="str">
        <f t="shared" ref="I130:I193" ca="1" si="2">IF(I130="","",IF(I130=G130,"PASS","FAIL"))</f>
        <v/>
      </c>
      <c r="J130" s="4"/>
      <c r="K130" s="4"/>
      <c r="L130" s="5" t="s">
        <v>67</v>
      </c>
      <c r="M130" s="4"/>
    </row>
    <row r="131" spans="1:13" ht="45" customHeight="1" x14ac:dyDescent="0.25">
      <c r="A131" s="4" t="s">
        <v>2603</v>
      </c>
      <c r="B131" s="4" t="s">
        <v>28</v>
      </c>
      <c r="C131" s="4" t="s">
        <v>792</v>
      </c>
      <c r="D131" s="4" t="s">
        <v>778</v>
      </c>
      <c r="E131" s="4" t="s">
        <v>1148</v>
      </c>
      <c r="F131" s="4" t="s">
        <v>2604</v>
      </c>
      <c r="G131" s="11" t="s">
        <v>2597</v>
      </c>
      <c r="H131" s="4" t="s">
        <v>2605</v>
      </c>
      <c r="I131" s="4" t="str">
        <f t="shared" ca="1" si="2"/>
        <v/>
      </c>
      <c r="J131" s="4"/>
      <c r="K131" s="4"/>
      <c r="L131" s="4" t="s">
        <v>131</v>
      </c>
      <c r="M131" s="4"/>
    </row>
    <row r="132" spans="1:13" ht="45" customHeight="1" x14ac:dyDescent="0.25">
      <c r="A132" s="4" t="s">
        <v>2606</v>
      </c>
      <c r="B132" s="4" t="s">
        <v>28</v>
      </c>
      <c r="C132" s="4" t="s">
        <v>792</v>
      </c>
      <c r="D132" s="4" t="s">
        <v>1043</v>
      </c>
      <c r="E132" s="4" t="s">
        <v>2607</v>
      </c>
      <c r="F132" s="4" t="s">
        <v>2608</v>
      </c>
      <c r="G132" s="11" t="s">
        <v>2597</v>
      </c>
      <c r="H132" s="4" t="s">
        <v>2609</v>
      </c>
      <c r="I132" s="4" t="str">
        <f t="shared" ca="1" si="2"/>
        <v/>
      </c>
      <c r="J132" s="4"/>
      <c r="K132" s="4"/>
      <c r="L132" s="4" t="s">
        <v>131</v>
      </c>
      <c r="M132" s="4"/>
    </row>
    <row r="133" spans="1:13" ht="60" customHeight="1" x14ac:dyDescent="0.25">
      <c r="A133" s="4" t="s">
        <v>3100</v>
      </c>
      <c r="B133" s="4" t="s">
        <v>24</v>
      </c>
      <c r="C133" s="4" t="s">
        <v>60</v>
      </c>
      <c r="D133" s="4" t="s">
        <v>61</v>
      </c>
      <c r="E133" s="4" t="s">
        <v>3101</v>
      </c>
      <c r="F133" s="4" t="s">
        <v>3682</v>
      </c>
      <c r="G133" s="11" t="s">
        <v>3103</v>
      </c>
      <c r="H133" s="4" t="s">
        <v>3104</v>
      </c>
      <c r="I133" s="4" t="str">
        <f t="shared" ca="1" si="2"/>
        <v/>
      </c>
      <c r="J133" s="4"/>
      <c r="K133" s="4"/>
      <c r="L133" s="5" t="s">
        <v>67</v>
      </c>
      <c r="M133" s="4"/>
    </row>
    <row r="134" spans="1:13" ht="30" customHeight="1" x14ac:dyDescent="0.25">
      <c r="A134" s="4" t="s">
        <v>3105</v>
      </c>
      <c r="B134" s="4" t="s">
        <v>24</v>
      </c>
      <c r="C134" s="4" t="s">
        <v>60</v>
      </c>
      <c r="D134" s="4" t="s">
        <v>74</v>
      </c>
      <c r="E134" s="4" t="s">
        <v>3106</v>
      </c>
      <c r="F134" s="4" t="s">
        <v>2334</v>
      </c>
      <c r="G134" s="11" t="s">
        <v>3103</v>
      </c>
      <c r="H134" s="4" t="s">
        <v>3107</v>
      </c>
      <c r="I134" s="4" t="str">
        <f t="shared" ca="1" si="2"/>
        <v/>
      </c>
      <c r="J134" s="4"/>
      <c r="K134" s="4"/>
      <c r="L134" s="5" t="s">
        <v>67</v>
      </c>
      <c r="M134" s="4"/>
    </row>
    <row r="135" spans="1:13" ht="120" customHeight="1" x14ac:dyDescent="0.25">
      <c r="A135" s="4" t="s">
        <v>3108</v>
      </c>
      <c r="B135" s="4" t="s">
        <v>24</v>
      </c>
      <c r="C135" s="4" t="s">
        <v>79</v>
      </c>
      <c r="D135" s="4" t="s">
        <v>80</v>
      </c>
      <c r="E135" s="4" t="s">
        <v>3109</v>
      </c>
      <c r="F135" s="4" t="s">
        <v>3110</v>
      </c>
      <c r="G135" s="11" t="s">
        <v>3111</v>
      </c>
      <c r="H135" s="4" t="s">
        <v>3112</v>
      </c>
      <c r="I135" s="4" t="str">
        <f t="shared" ca="1" si="2"/>
        <v/>
      </c>
      <c r="J135" s="4"/>
      <c r="K135" s="4"/>
      <c r="L135" s="5" t="s">
        <v>67</v>
      </c>
      <c r="M135" s="4"/>
    </row>
    <row r="136" spans="1:13" ht="30" customHeight="1" x14ac:dyDescent="0.25">
      <c r="A136" s="4" t="s">
        <v>3113</v>
      </c>
      <c r="B136" s="4" t="s">
        <v>24</v>
      </c>
      <c r="C136" s="4" t="s">
        <v>79</v>
      </c>
      <c r="D136" s="4" t="s">
        <v>86</v>
      </c>
      <c r="E136" s="4" t="s">
        <v>3114</v>
      </c>
      <c r="F136" s="4" t="s">
        <v>3115</v>
      </c>
      <c r="G136" s="11" t="s">
        <v>3116</v>
      </c>
      <c r="H136" s="4" t="s">
        <v>3117</v>
      </c>
      <c r="I136" s="4" t="str">
        <f t="shared" ca="1" si="2"/>
        <v/>
      </c>
      <c r="J136" s="4"/>
      <c r="K136" s="4"/>
      <c r="L136" s="6" t="s">
        <v>95</v>
      </c>
      <c r="M136" s="4"/>
    </row>
    <row r="137" spans="1:13" ht="60" customHeight="1" x14ac:dyDescent="0.25">
      <c r="A137" s="4" t="s">
        <v>3118</v>
      </c>
      <c r="B137" s="4" t="s">
        <v>24</v>
      </c>
      <c r="C137" s="4" t="s">
        <v>3073</v>
      </c>
      <c r="D137" s="4" t="s">
        <v>3119</v>
      </c>
      <c r="E137" s="4" t="s">
        <v>3120</v>
      </c>
      <c r="F137" s="4" t="s">
        <v>3121</v>
      </c>
      <c r="G137" s="11" t="s">
        <v>3122</v>
      </c>
      <c r="H137" s="4" t="s">
        <v>3123</v>
      </c>
      <c r="I137" s="4" t="str">
        <f t="shared" ca="1" si="2"/>
        <v/>
      </c>
      <c r="J137" s="4"/>
      <c r="K137" s="4"/>
      <c r="L137" s="7" t="s">
        <v>103</v>
      </c>
      <c r="M137" s="4"/>
    </row>
    <row r="138" spans="1:13" ht="45" customHeight="1" x14ac:dyDescent="0.25">
      <c r="A138" s="4" t="s">
        <v>3124</v>
      </c>
      <c r="B138" s="4" t="s">
        <v>24</v>
      </c>
      <c r="C138" s="4" t="s">
        <v>3073</v>
      </c>
      <c r="D138" s="4" t="s">
        <v>3125</v>
      </c>
      <c r="E138" s="4" t="s">
        <v>3126</v>
      </c>
      <c r="F138" s="4" t="s">
        <v>3127</v>
      </c>
      <c r="G138" s="11" t="s">
        <v>3128</v>
      </c>
      <c r="H138" s="4" t="s">
        <v>3129</v>
      </c>
      <c r="I138" s="4" t="str">
        <f t="shared" ca="1" si="2"/>
        <v/>
      </c>
      <c r="J138" s="4"/>
      <c r="K138" s="4"/>
      <c r="L138" s="7" t="s">
        <v>103</v>
      </c>
      <c r="M138" s="4"/>
    </row>
    <row r="139" spans="1:13" ht="75" customHeight="1" x14ac:dyDescent="0.25">
      <c r="A139" s="4" t="s">
        <v>3130</v>
      </c>
      <c r="B139" s="4" t="s">
        <v>24</v>
      </c>
      <c r="C139" s="4" t="s">
        <v>3073</v>
      </c>
      <c r="D139" s="4" t="s">
        <v>98</v>
      </c>
      <c r="E139" s="4" t="s">
        <v>3131</v>
      </c>
      <c r="F139" s="4" t="s">
        <v>3132</v>
      </c>
      <c r="G139" s="11" t="s">
        <v>3122</v>
      </c>
      <c r="H139" s="4" t="s">
        <v>3133</v>
      </c>
      <c r="I139" s="4" t="str">
        <f t="shared" ca="1" si="2"/>
        <v/>
      </c>
      <c r="J139" s="4"/>
      <c r="K139" s="4"/>
      <c r="L139" s="5" t="s">
        <v>67</v>
      </c>
      <c r="M139" s="4"/>
    </row>
    <row r="140" spans="1:13" ht="60" customHeight="1" x14ac:dyDescent="0.25">
      <c r="A140" s="4" t="s">
        <v>3134</v>
      </c>
      <c r="B140" s="4" t="s">
        <v>24</v>
      </c>
      <c r="C140" s="4" t="s">
        <v>3073</v>
      </c>
      <c r="D140" s="4" t="s">
        <v>3135</v>
      </c>
      <c r="E140" s="4" t="s">
        <v>3136</v>
      </c>
      <c r="F140" s="4" t="s">
        <v>3137</v>
      </c>
      <c r="G140" s="11" t="s">
        <v>3128</v>
      </c>
      <c r="H140" s="4" t="s">
        <v>3138</v>
      </c>
      <c r="I140" s="4" t="str">
        <f t="shared" ca="1" si="2"/>
        <v/>
      </c>
      <c r="J140" s="4"/>
      <c r="K140" s="4"/>
      <c r="L140" s="5" t="s">
        <v>67</v>
      </c>
      <c r="M140" s="4"/>
    </row>
    <row r="141" spans="1:13" ht="60" customHeight="1" x14ac:dyDescent="0.25">
      <c r="A141" s="4" t="s">
        <v>3139</v>
      </c>
      <c r="B141" s="4" t="s">
        <v>24</v>
      </c>
      <c r="C141" s="4" t="s">
        <v>3073</v>
      </c>
      <c r="D141" s="4" t="s">
        <v>3140</v>
      </c>
      <c r="E141" s="4" t="s">
        <v>3141</v>
      </c>
      <c r="F141" s="4" t="s">
        <v>3142</v>
      </c>
      <c r="G141" s="11" t="s">
        <v>3128</v>
      </c>
      <c r="H141" s="4" t="s">
        <v>3143</v>
      </c>
      <c r="I141" s="4" t="str">
        <f t="shared" ca="1" si="2"/>
        <v/>
      </c>
      <c r="J141" s="4"/>
      <c r="K141" s="4"/>
      <c r="L141" s="7" t="s">
        <v>103</v>
      </c>
      <c r="M141" s="4"/>
    </row>
    <row r="142" spans="1:13" ht="45" customHeight="1" x14ac:dyDescent="0.25">
      <c r="A142" s="4" t="s">
        <v>3144</v>
      </c>
      <c r="B142" s="4" t="s">
        <v>24</v>
      </c>
      <c r="C142" s="4" t="s">
        <v>3073</v>
      </c>
      <c r="D142" s="4" t="s">
        <v>3145</v>
      </c>
      <c r="E142" s="4" t="s">
        <v>3146</v>
      </c>
      <c r="F142" s="4" t="s">
        <v>3147</v>
      </c>
      <c r="G142" s="11" t="s">
        <v>3128</v>
      </c>
      <c r="H142" s="4" t="s">
        <v>3148</v>
      </c>
      <c r="I142" s="4" t="str">
        <f t="shared" ca="1" si="2"/>
        <v/>
      </c>
      <c r="J142" s="4"/>
      <c r="K142" s="4"/>
      <c r="L142" s="5" t="s">
        <v>67</v>
      </c>
      <c r="M142" s="4"/>
    </row>
    <row r="143" spans="1:13" ht="60" customHeight="1" x14ac:dyDescent="0.25">
      <c r="A143" s="4" t="s">
        <v>3149</v>
      </c>
      <c r="B143" s="4" t="s">
        <v>24</v>
      </c>
      <c r="C143" s="4" t="s">
        <v>3073</v>
      </c>
      <c r="D143" s="4" t="s">
        <v>3150</v>
      </c>
      <c r="E143" s="4" t="s">
        <v>3151</v>
      </c>
      <c r="F143" s="4" t="s">
        <v>3152</v>
      </c>
      <c r="G143" s="11" t="s">
        <v>3128</v>
      </c>
      <c r="H143" s="4" t="s">
        <v>3153</v>
      </c>
      <c r="I143" s="4" t="str">
        <f t="shared" ca="1" si="2"/>
        <v/>
      </c>
      <c r="J143" s="4"/>
      <c r="K143" s="4"/>
      <c r="L143" s="7" t="s">
        <v>103</v>
      </c>
      <c r="M143" s="4"/>
    </row>
    <row r="144" spans="1:13" ht="75" customHeight="1" x14ac:dyDescent="0.25">
      <c r="A144" s="4" t="s">
        <v>3154</v>
      </c>
      <c r="B144" s="4" t="s">
        <v>24</v>
      </c>
      <c r="C144" s="4" t="s">
        <v>3073</v>
      </c>
      <c r="D144" s="4" t="s">
        <v>105</v>
      </c>
      <c r="E144" s="4" t="s">
        <v>3155</v>
      </c>
      <c r="F144" s="4" t="s">
        <v>3156</v>
      </c>
      <c r="G144" s="11" t="s">
        <v>3122</v>
      </c>
      <c r="H144" s="4" t="s">
        <v>3157</v>
      </c>
      <c r="I144" s="4" t="str">
        <f t="shared" ca="1" si="2"/>
        <v/>
      </c>
      <c r="J144" s="4"/>
      <c r="K144" s="4"/>
      <c r="L144" s="6" t="s">
        <v>95</v>
      </c>
      <c r="M144" s="4"/>
    </row>
    <row r="145" spans="1:13" ht="90" customHeight="1" x14ac:dyDescent="0.25">
      <c r="A145" s="4" t="s">
        <v>3158</v>
      </c>
      <c r="B145" s="4" t="s">
        <v>24</v>
      </c>
      <c r="C145" s="4" t="s">
        <v>3073</v>
      </c>
      <c r="D145" s="4" t="s">
        <v>3159</v>
      </c>
      <c r="E145" s="4" t="s">
        <v>3160</v>
      </c>
      <c r="F145" s="4" t="s">
        <v>3161</v>
      </c>
      <c r="G145" s="11" t="s">
        <v>3122</v>
      </c>
      <c r="H145" s="4" t="s">
        <v>3162</v>
      </c>
      <c r="I145" s="4" t="str">
        <f t="shared" ca="1" si="2"/>
        <v/>
      </c>
      <c r="J145" s="4"/>
      <c r="K145" s="4"/>
      <c r="L145" s="6" t="s">
        <v>95</v>
      </c>
      <c r="M145" s="4"/>
    </row>
    <row r="146" spans="1:13" ht="75" customHeight="1" x14ac:dyDescent="0.25">
      <c r="A146" s="4" t="s">
        <v>3163</v>
      </c>
      <c r="B146" s="4" t="s">
        <v>24</v>
      </c>
      <c r="C146" s="4" t="s">
        <v>173</v>
      </c>
      <c r="D146" s="4" t="s">
        <v>80</v>
      </c>
      <c r="E146" s="4" t="s">
        <v>174</v>
      </c>
      <c r="F146" s="4" t="s">
        <v>176</v>
      </c>
      <c r="G146" s="11" t="s">
        <v>3164</v>
      </c>
      <c r="H146" s="4" t="s">
        <v>3165</v>
      </c>
      <c r="I146" s="4" t="str">
        <f t="shared" ca="1" si="2"/>
        <v/>
      </c>
      <c r="J146" s="4"/>
      <c r="K146" s="4"/>
      <c r="L146" s="5" t="s">
        <v>67</v>
      </c>
      <c r="M146" s="4"/>
    </row>
    <row r="147" spans="1:13" ht="45" customHeight="1" x14ac:dyDescent="0.25">
      <c r="A147" s="4" t="s">
        <v>3166</v>
      </c>
      <c r="B147" s="4" t="s">
        <v>24</v>
      </c>
      <c r="C147" s="4" t="s">
        <v>173</v>
      </c>
      <c r="D147" s="4" t="s">
        <v>3167</v>
      </c>
      <c r="E147" s="4" t="s">
        <v>3168</v>
      </c>
      <c r="F147" s="4" t="s">
        <v>3169</v>
      </c>
      <c r="G147" s="11" t="s">
        <v>3164</v>
      </c>
      <c r="H147" s="4" t="s">
        <v>3170</v>
      </c>
      <c r="I147" s="4" t="str">
        <f t="shared" ca="1" si="2"/>
        <v/>
      </c>
      <c r="J147" s="4"/>
      <c r="K147" s="4"/>
      <c r="L147" s="6" t="s">
        <v>95</v>
      </c>
      <c r="M147" s="4"/>
    </row>
    <row r="148" spans="1:13" ht="45" customHeight="1" x14ac:dyDescent="0.25">
      <c r="A148" s="4" t="s">
        <v>3171</v>
      </c>
      <c r="B148" s="4" t="s">
        <v>24</v>
      </c>
      <c r="C148" s="4" t="s">
        <v>173</v>
      </c>
      <c r="D148" s="4" t="s">
        <v>3172</v>
      </c>
      <c r="E148" s="4" t="s">
        <v>3173</v>
      </c>
      <c r="F148" s="4" t="s">
        <v>3174</v>
      </c>
      <c r="G148" s="11" t="s">
        <v>3164</v>
      </c>
      <c r="H148" s="4" t="s">
        <v>3175</v>
      </c>
      <c r="I148" s="4" t="str">
        <f t="shared" ca="1" si="2"/>
        <v/>
      </c>
      <c r="J148" s="4"/>
      <c r="K148" s="4"/>
      <c r="L148" s="6" t="s">
        <v>95</v>
      </c>
      <c r="M148" s="4"/>
    </row>
    <row r="149" spans="1:13" ht="75" customHeight="1" x14ac:dyDescent="0.25">
      <c r="A149" s="4" t="s">
        <v>3176</v>
      </c>
      <c r="B149" s="4" t="s">
        <v>24</v>
      </c>
      <c r="C149" s="4" t="s">
        <v>193</v>
      </c>
      <c r="D149" s="4" t="s">
        <v>80</v>
      </c>
      <c r="E149" s="4" t="s">
        <v>3177</v>
      </c>
      <c r="F149" s="4" t="s">
        <v>3178</v>
      </c>
      <c r="G149" s="11" t="s">
        <v>3179</v>
      </c>
      <c r="H149" s="4" t="s">
        <v>3180</v>
      </c>
      <c r="I149" s="4" t="str">
        <f t="shared" ca="1" si="2"/>
        <v/>
      </c>
      <c r="J149" s="4"/>
      <c r="K149" s="4"/>
      <c r="L149" s="6" t="s">
        <v>95</v>
      </c>
      <c r="M149" s="4"/>
    </row>
    <row r="150" spans="1:13" ht="45" customHeight="1" x14ac:dyDescent="0.25">
      <c r="A150" s="4" t="s">
        <v>3181</v>
      </c>
      <c r="B150" s="4" t="s">
        <v>24</v>
      </c>
      <c r="C150" s="4" t="s">
        <v>193</v>
      </c>
      <c r="D150" s="4" t="s">
        <v>3182</v>
      </c>
      <c r="E150" s="4" t="s">
        <v>200</v>
      </c>
      <c r="F150" s="4" t="s">
        <v>3183</v>
      </c>
      <c r="G150" s="11" t="s">
        <v>3184</v>
      </c>
      <c r="H150" s="4" t="s">
        <v>716</v>
      </c>
      <c r="I150" s="4" t="str">
        <f t="shared" ca="1" si="2"/>
        <v/>
      </c>
      <c r="J150" s="4"/>
      <c r="K150" s="4"/>
      <c r="L150" s="6" t="s">
        <v>95</v>
      </c>
      <c r="M150" s="4"/>
    </row>
    <row r="151" spans="1:13" ht="30" customHeight="1" x14ac:dyDescent="0.25">
      <c r="A151" s="4" t="s">
        <v>3185</v>
      </c>
      <c r="B151" s="4" t="s">
        <v>24</v>
      </c>
      <c r="C151" s="4" t="s">
        <v>193</v>
      </c>
      <c r="D151" s="4" t="s">
        <v>3186</v>
      </c>
      <c r="E151" s="4" t="s">
        <v>3187</v>
      </c>
      <c r="F151" s="4" t="s">
        <v>3188</v>
      </c>
      <c r="G151" s="11" t="s">
        <v>3184</v>
      </c>
      <c r="H151" s="4" t="s">
        <v>3189</v>
      </c>
      <c r="I151" s="4" t="str">
        <f t="shared" ca="1" si="2"/>
        <v/>
      </c>
      <c r="J151" s="4"/>
      <c r="K151" s="4"/>
      <c r="L151" s="4" t="s">
        <v>131</v>
      </c>
      <c r="M151" s="4"/>
    </row>
    <row r="152" spans="1:13" ht="75" customHeight="1" x14ac:dyDescent="0.25">
      <c r="A152" s="4" t="s">
        <v>3190</v>
      </c>
      <c r="B152" s="4" t="s">
        <v>24</v>
      </c>
      <c r="C152" s="4" t="s">
        <v>193</v>
      </c>
      <c r="D152" s="4" t="s">
        <v>3191</v>
      </c>
      <c r="E152" s="4" t="s">
        <v>3192</v>
      </c>
      <c r="F152" s="4" t="s">
        <v>3193</v>
      </c>
      <c r="G152" s="11" t="s">
        <v>3194</v>
      </c>
      <c r="H152" s="4" t="s">
        <v>3195</v>
      </c>
      <c r="I152" s="4" t="str">
        <f t="shared" ca="1" si="2"/>
        <v/>
      </c>
      <c r="J152" s="4"/>
      <c r="K152" s="4"/>
      <c r="L152" s="5" t="s">
        <v>67</v>
      </c>
      <c r="M152" s="4"/>
    </row>
    <row r="153" spans="1:13" ht="45" customHeight="1" x14ac:dyDescent="0.25">
      <c r="A153" s="4" t="s">
        <v>3196</v>
      </c>
      <c r="B153" s="4" t="s">
        <v>24</v>
      </c>
      <c r="C153" s="4" t="s">
        <v>193</v>
      </c>
      <c r="D153" s="4" t="s">
        <v>3197</v>
      </c>
      <c r="E153" s="4" t="s">
        <v>207</v>
      </c>
      <c r="F153" s="4" t="s">
        <v>3198</v>
      </c>
      <c r="G153" s="11" t="s">
        <v>3179</v>
      </c>
      <c r="H153" s="4" t="s">
        <v>3199</v>
      </c>
      <c r="I153" s="4" t="str">
        <f t="shared" ca="1" si="2"/>
        <v/>
      </c>
      <c r="J153" s="4"/>
      <c r="K153" s="4"/>
      <c r="L153" s="5" t="s">
        <v>67</v>
      </c>
      <c r="M153" s="4"/>
    </row>
    <row r="154" spans="1:13" ht="45" customHeight="1" x14ac:dyDescent="0.25">
      <c r="A154" s="4" t="s">
        <v>231</v>
      </c>
      <c r="B154" s="4" t="s">
        <v>45</v>
      </c>
      <c r="C154" s="4" t="s">
        <v>778</v>
      </c>
      <c r="D154" s="4" t="s">
        <v>22</v>
      </c>
      <c r="E154" s="4" t="s">
        <v>3370</v>
      </c>
      <c r="F154" s="4" t="s">
        <v>3371</v>
      </c>
      <c r="G154" s="11" t="s">
        <v>476</v>
      </c>
      <c r="H154" s="4" t="s">
        <v>3372</v>
      </c>
      <c r="I154" s="4" t="str">
        <f t="shared" ca="1" si="2"/>
        <v/>
      </c>
      <c r="J154" s="4"/>
      <c r="K154" s="4"/>
      <c r="L154" s="6" t="s">
        <v>95</v>
      </c>
      <c r="M154" s="4"/>
    </row>
    <row r="155" spans="1:13" ht="45" customHeight="1" x14ac:dyDescent="0.25">
      <c r="A155" s="4" t="s">
        <v>236</v>
      </c>
      <c r="B155" s="4" t="s">
        <v>45</v>
      </c>
      <c r="C155" s="4" t="s">
        <v>778</v>
      </c>
      <c r="D155" s="4" t="s">
        <v>3373</v>
      </c>
      <c r="E155" s="4" t="s">
        <v>3374</v>
      </c>
      <c r="F155" s="4" t="s">
        <v>3375</v>
      </c>
      <c r="G155" s="11" t="s">
        <v>476</v>
      </c>
      <c r="H155" s="4" t="s">
        <v>3376</v>
      </c>
      <c r="I155" s="4" t="str">
        <f t="shared" ca="1" si="2"/>
        <v/>
      </c>
      <c r="J155" s="4"/>
      <c r="K155" s="4"/>
      <c r="L155" s="5" t="s">
        <v>67</v>
      </c>
      <c r="M155" s="4"/>
    </row>
    <row r="156" spans="1:13" ht="45" customHeight="1" x14ac:dyDescent="0.25">
      <c r="A156" s="4" t="s">
        <v>243</v>
      </c>
      <c r="B156" s="4" t="s">
        <v>45</v>
      </c>
      <c r="C156" s="4" t="s">
        <v>778</v>
      </c>
      <c r="D156" s="4" t="s">
        <v>3377</v>
      </c>
      <c r="E156" s="4" t="s">
        <v>2030</v>
      </c>
      <c r="F156" s="4" t="s">
        <v>3378</v>
      </c>
      <c r="G156" s="11" t="s">
        <v>476</v>
      </c>
      <c r="H156" s="4" t="s">
        <v>3379</v>
      </c>
      <c r="I156" s="4" t="str">
        <f t="shared" ca="1" si="2"/>
        <v/>
      </c>
      <c r="J156" s="4"/>
      <c r="K156" s="4"/>
      <c r="L156" s="4" t="s">
        <v>131</v>
      </c>
      <c r="M156" s="4"/>
    </row>
    <row r="157" spans="1:13" ht="60" customHeight="1" x14ac:dyDescent="0.25">
      <c r="A157" s="4" t="s">
        <v>248</v>
      </c>
      <c r="B157" s="4" t="s">
        <v>45</v>
      </c>
      <c r="C157" s="4" t="s">
        <v>3380</v>
      </c>
      <c r="D157" s="4" t="s">
        <v>3381</v>
      </c>
      <c r="E157" s="4" t="s">
        <v>3382</v>
      </c>
      <c r="F157" s="4" t="s">
        <v>3383</v>
      </c>
      <c r="G157" s="11" t="s">
        <v>476</v>
      </c>
      <c r="H157" s="4" t="s">
        <v>3384</v>
      </c>
      <c r="I157" s="4" t="str">
        <f t="shared" ca="1" si="2"/>
        <v/>
      </c>
      <c r="J157" s="4"/>
      <c r="K157" s="4"/>
      <c r="L157" s="7" t="s">
        <v>103</v>
      </c>
      <c r="M157" s="4"/>
    </row>
    <row r="158" spans="1:13" ht="45" customHeight="1" x14ac:dyDescent="0.25">
      <c r="A158" s="4" t="s">
        <v>253</v>
      </c>
      <c r="B158" s="4" t="s">
        <v>45</v>
      </c>
      <c r="C158" s="4" t="s">
        <v>3380</v>
      </c>
      <c r="D158" s="4" t="s">
        <v>2482</v>
      </c>
      <c r="E158" s="4" t="s">
        <v>3385</v>
      </c>
      <c r="F158" s="4" t="s">
        <v>3386</v>
      </c>
      <c r="G158" s="11" t="s">
        <v>476</v>
      </c>
      <c r="H158" s="4" t="s">
        <v>3387</v>
      </c>
      <c r="I158" s="4" t="str">
        <f t="shared" ca="1" si="2"/>
        <v/>
      </c>
      <c r="J158" s="4"/>
      <c r="K158" s="4"/>
      <c r="L158" s="5" t="s">
        <v>67</v>
      </c>
      <c r="M158" s="4"/>
    </row>
    <row r="159" spans="1:13" ht="60" customHeight="1" x14ac:dyDescent="0.25">
      <c r="A159" s="4" t="s">
        <v>259</v>
      </c>
      <c r="B159" s="4" t="s">
        <v>45</v>
      </c>
      <c r="C159" s="4" t="s">
        <v>3388</v>
      </c>
      <c r="D159" s="4" t="s">
        <v>3389</v>
      </c>
      <c r="E159" s="4" t="s">
        <v>3390</v>
      </c>
      <c r="F159" s="4" t="s">
        <v>3391</v>
      </c>
      <c r="G159" s="11" t="s">
        <v>476</v>
      </c>
      <c r="H159" s="4" t="s">
        <v>3392</v>
      </c>
      <c r="I159" s="4" t="str">
        <f t="shared" ca="1" si="2"/>
        <v/>
      </c>
      <c r="J159" s="4"/>
      <c r="K159" s="4"/>
      <c r="L159" s="7" t="s">
        <v>103</v>
      </c>
      <c r="M159" s="4"/>
    </row>
    <row r="160" spans="1:13" ht="45" customHeight="1" x14ac:dyDescent="0.25">
      <c r="A160" s="4" t="s">
        <v>264</v>
      </c>
      <c r="B160" s="4" t="s">
        <v>45</v>
      </c>
      <c r="C160" s="4" t="s">
        <v>3388</v>
      </c>
      <c r="D160" s="4" t="s">
        <v>60</v>
      </c>
      <c r="E160" s="4" t="s">
        <v>3393</v>
      </c>
      <c r="F160" s="4" t="s">
        <v>3394</v>
      </c>
      <c r="G160" s="11" t="s">
        <v>476</v>
      </c>
      <c r="H160" s="4" t="s">
        <v>3395</v>
      </c>
      <c r="I160" s="4" t="str">
        <f t="shared" ca="1" si="2"/>
        <v/>
      </c>
      <c r="J160" s="4"/>
      <c r="K160" s="4"/>
      <c r="L160" s="7" t="s">
        <v>103</v>
      </c>
      <c r="M160" s="4"/>
    </row>
    <row r="161" spans="1:13" ht="60" customHeight="1" x14ac:dyDescent="0.25">
      <c r="A161" s="4" t="s">
        <v>269</v>
      </c>
      <c r="B161" s="4" t="s">
        <v>45</v>
      </c>
      <c r="C161" s="4" t="s">
        <v>3396</v>
      </c>
      <c r="D161" s="4" t="s">
        <v>3397</v>
      </c>
      <c r="E161" s="4" t="s">
        <v>3398</v>
      </c>
      <c r="F161" s="4" t="s">
        <v>3399</v>
      </c>
      <c r="G161" s="11" t="s">
        <v>476</v>
      </c>
      <c r="H161" s="4" t="s">
        <v>3400</v>
      </c>
      <c r="I161" s="4" t="str">
        <f t="shared" ca="1" si="2"/>
        <v/>
      </c>
      <c r="J161" s="4"/>
      <c r="K161" s="4"/>
      <c r="L161" s="6" t="s">
        <v>95</v>
      </c>
      <c r="M161" s="4"/>
    </row>
    <row r="162" spans="1:13" ht="45" customHeight="1" x14ac:dyDescent="0.25">
      <c r="A162" s="4" t="s">
        <v>275</v>
      </c>
      <c r="B162" s="4" t="s">
        <v>45</v>
      </c>
      <c r="C162" s="4" t="s">
        <v>2262</v>
      </c>
      <c r="D162" s="4" t="s">
        <v>3401</v>
      </c>
      <c r="E162" s="4" t="s">
        <v>3402</v>
      </c>
      <c r="F162" s="4" t="s">
        <v>3403</v>
      </c>
      <c r="G162" s="11" t="s">
        <v>476</v>
      </c>
      <c r="H162" s="4" t="s">
        <v>3404</v>
      </c>
      <c r="I162" s="4" t="str">
        <f t="shared" ca="1" si="2"/>
        <v/>
      </c>
      <c r="J162" s="4"/>
      <c r="K162" s="4"/>
      <c r="L162" s="5" t="s">
        <v>67</v>
      </c>
      <c r="M162" s="4"/>
    </row>
    <row r="163" spans="1:13" ht="45" customHeight="1" x14ac:dyDescent="0.25">
      <c r="A163" s="4" t="s">
        <v>281</v>
      </c>
      <c r="B163" s="4" t="s">
        <v>45</v>
      </c>
      <c r="C163" s="4" t="s">
        <v>3405</v>
      </c>
      <c r="D163" s="4" t="s">
        <v>3406</v>
      </c>
      <c r="E163" s="4" t="s">
        <v>3407</v>
      </c>
      <c r="F163" s="4" t="s">
        <v>3408</v>
      </c>
      <c r="G163" s="11" t="s">
        <v>476</v>
      </c>
      <c r="H163" s="4" t="s">
        <v>3409</v>
      </c>
      <c r="I163" s="4" t="str">
        <f t="shared" ca="1" si="2"/>
        <v/>
      </c>
      <c r="J163" s="4"/>
      <c r="K163" s="4"/>
      <c r="L163" s="6" t="s">
        <v>95</v>
      </c>
      <c r="M163" s="4"/>
    </row>
    <row r="164" spans="1:13" ht="90" customHeight="1" x14ac:dyDescent="0.25">
      <c r="A164" s="4" t="s">
        <v>231</v>
      </c>
      <c r="B164" s="4" t="s">
        <v>35</v>
      </c>
      <c r="C164" s="4" t="s">
        <v>60</v>
      </c>
      <c r="D164" s="4" t="s">
        <v>232</v>
      </c>
      <c r="E164" s="4" t="s">
        <v>233</v>
      </c>
      <c r="F164" s="4" t="s">
        <v>234</v>
      </c>
      <c r="G164" s="11" t="s">
        <v>64</v>
      </c>
      <c r="H164" s="4" t="s">
        <v>235</v>
      </c>
      <c r="I164" s="4" t="str">
        <f t="shared" ca="1" si="2"/>
        <v/>
      </c>
      <c r="J164" s="4"/>
      <c r="K164" s="4"/>
      <c r="L164" s="5" t="s">
        <v>67</v>
      </c>
      <c r="M164" s="4"/>
    </row>
    <row r="165" spans="1:13" ht="75" customHeight="1" x14ac:dyDescent="0.25">
      <c r="A165" s="4" t="s">
        <v>236</v>
      </c>
      <c r="B165" s="4" t="s">
        <v>35</v>
      </c>
      <c r="C165" s="4" t="s">
        <v>237</v>
      </c>
      <c r="D165" s="4" t="s">
        <v>238</v>
      </c>
      <c r="E165" s="4" t="s">
        <v>239</v>
      </c>
      <c r="F165" s="4" t="s">
        <v>240</v>
      </c>
      <c r="G165" s="11" t="s">
        <v>241</v>
      </c>
      <c r="H165" s="4" t="s">
        <v>242</v>
      </c>
      <c r="I165" s="4" t="str">
        <f t="shared" ca="1" si="2"/>
        <v/>
      </c>
      <c r="J165" s="4"/>
      <c r="K165" s="4"/>
      <c r="L165" s="5" t="s">
        <v>67</v>
      </c>
      <c r="M165" s="4"/>
    </row>
    <row r="166" spans="1:13" ht="75" customHeight="1" x14ac:dyDescent="0.25">
      <c r="A166" s="4" t="s">
        <v>243</v>
      </c>
      <c r="B166" s="4" t="s">
        <v>35</v>
      </c>
      <c r="C166" s="4" t="s">
        <v>237</v>
      </c>
      <c r="D166" s="4" t="s">
        <v>244</v>
      </c>
      <c r="E166" s="4" t="s">
        <v>245</v>
      </c>
      <c r="F166" s="4" t="s">
        <v>246</v>
      </c>
      <c r="G166" s="11" t="s">
        <v>241</v>
      </c>
      <c r="H166" s="4" t="s">
        <v>247</v>
      </c>
      <c r="I166" s="4" t="str">
        <f t="shared" ca="1" si="2"/>
        <v/>
      </c>
      <c r="J166" s="4"/>
      <c r="K166" s="4"/>
      <c r="L166" s="5" t="s">
        <v>67</v>
      </c>
      <c r="M166" s="4"/>
    </row>
    <row r="167" spans="1:13" ht="60" customHeight="1" x14ac:dyDescent="0.25">
      <c r="A167" s="4" t="s">
        <v>248</v>
      </c>
      <c r="B167" s="4" t="s">
        <v>35</v>
      </c>
      <c r="C167" s="4" t="s">
        <v>237</v>
      </c>
      <c r="D167" s="4" t="s">
        <v>249</v>
      </c>
      <c r="E167" s="4" t="s">
        <v>250</v>
      </c>
      <c r="F167" s="4" t="s">
        <v>251</v>
      </c>
      <c r="G167" s="11" t="s">
        <v>241</v>
      </c>
      <c r="H167" s="4" t="s">
        <v>252</v>
      </c>
      <c r="I167" s="4" t="str">
        <f t="shared" ca="1" si="2"/>
        <v/>
      </c>
      <c r="J167" s="4"/>
      <c r="K167" s="4"/>
      <c r="L167" s="5" t="s">
        <v>67</v>
      </c>
      <c r="M167" s="4"/>
    </row>
    <row r="168" spans="1:13" ht="75" customHeight="1" x14ac:dyDescent="0.25">
      <c r="A168" s="4" t="s">
        <v>253</v>
      </c>
      <c r="B168" s="4" t="s">
        <v>35</v>
      </c>
      <c r="C168" s="4" t="s">
        <v>237</v>
      </c>
      <c r="D168" s="4" t="s">
        <v>254</v>
      </c>
      <c r="E168" s="4" t="s">
        <v>255</v>
      </c>
      <c r="F168" s="4" t="s">
        <v>256</v>
      </c>
      <c r="G168" s="11" t="s">
        <v>257</v>
      </c>
      <c r="H168" s="4" t="s">
        <v>258</v>
      </c>
      <c r="I168" s="4" t="str">
        <f t="shared" ca="1" si="2"/>
        <v/>
      </c>
      <c r="J168" s="4"/>
      <c r="K168" s="4"/>
      <c r="L168" s="7" t="s">
        <v>103</v>
      </c>
      <c r="M168" s="4"/>
    </row>
    <row r="169" spans="1:13" ht="90" customHeight="1" x14ac:dyDescent="0.25">
      <c r="A169" s="4" t="s">
        <v>259</v>
      </c>
      <c r="B169" s="4" t="s">
        <v>35</v>
      </c>
      <c r="C169" s="4" t="s">
        <v>237</v>
      </c>
      <c r="D169" s="4" t="s">
        <v>260</v>
      </c>
      <c r="E169" s="4" t="s">
        <v>261</v>
      </c>
      <c r="F169" s="4" t="s">
        <v>262</v>
      </c>
      <c r="G169" s="11" t="s">
        <v>257</v>
      </c>
      <c r="H169" s="4" t="s">
        <v>263</v>
      </c>
      <c r="I169" s="4" t="str">
        <f t="shared" ca="1" si="2"/>
        <v/>
      </c>
      <c r="J169" s="4"/>
      <c r="K169" s="4"/>
      <c r="L169" s="7" t="s">
        <v>103</v>
      </c>
      <c r="M169" s="4"/>
    </row>
    <row r="170" spans="1:13" ht="75" customHeight="1" x14ac:dyDescent="0.25">
      <c r="A170" s="4" t="s">
        <v>264</v>
      </c>
      <c r="B170" s="4" t="s">
        <v>35</v>
      </c>
      <c r="C170" s="4" t="s">
        <v>237</v>
      </c>
      <c r="D170" s="4" t="s">
        <v>265</v>
      </c>
      <c r="E170" s="4" t="s">
        <v>266</v>
      </c>
      <c r="F170" s="4" t="s">
        <v>267</v>
      </c>
      <c r="G170" s="11" t="s">
        <v>241</v>
      </c>
      <c r="H170" s="4" t="s">
        <v>268</v>
      </c>
      <c r="I170" s="4" t="str">
        <f t="shared" ca="1" si="2"/>
        <v/>
      </c>
      <c r="J170" s="4"/>
      <c r="K170" s="4"/>
      <c r="L170" s="6" t="s">
        <v>95</v>
      </c>
      <c r="M170" s="4"/>
    </row>
    <row r="171" spans="1:13" ht="75" customHeight="1" x14ac:dyDescent="0.25">
      <c r="A171" s="4" t="s">
        <v>269</v>
      </c>
      <c r="B171" s="4" t="s">
        <v>35</v>
      </c>
      <c r="C171" s="4" t="s">
        <v>79</v>
      </c>
      <c r="D171" s="4" t="s">
        <v>270</v>
      </c>
      <c r="E171" s="4" t="s">
        <v>271</v>
      </c>
      <c r="F171" s="4" t="s">
        <v>272</v>
      </c>
      <c r="G171" s="11" t="s">
        <v>273</v>
      </c>
      <c r="H171" s="4" t="s">
        <v>274</v>
      </c>
      <c r="I171" s="4" t="str">
        <f t="shared" ca="1" si="2"/>
        <v/>
      </c>
      <c r="J171" s="4"/>
      <c r="K171" s="4"/>
      <c r="L171" s="5" t="s">
        <v>67</v>
      </c>
      <c r="M171" s="4"/>
    </row>
    <row r="172" spans="1:13" ht="90" customHeight="1" x14ac:dyDescent="0.25">
      <c r="A172" s="4" t="s">
        <v>275</v>
      </c>
      <c r="B172" s="4" t="s">
        <v>35</v>
      </c>
      <c r="C172" s="4" t="s">
        <v>79</v>
      </c>
      <c r="D172" s="4" t="s">
        <v>276</v>
      </c>
      <c r="E172" s="4" t="s">
        <v>277</v>
      </c>
      <c r="F172" s="4" t="s">
        <v>278</v>
      </c>
      <c r="G172" s="11" t="s">
        <v>279</v>
      </c>
      <c r="H172" s="4" t="s">
        <v>280</v>
      </c>
      <c r="I172" s="4" t="str">
        <f t="shared" ca="1" si="2"/>
        <v/>
      </c>
      <c r="J172" s="4"/>
      <c r="K172" s="4"/>
      <c r="L172" s="4" t="s">
        <v>131</v>
      </c>
      <c r="M172" s="4"/>
    </row>
    <row r="173" spans="1:13" ht="105" customHeight="1" x14ac:dyDescent="0.25">
      <c r="A173" s="4" t="s">
        <v>281</v>
      </c>
      <c r="B173" s="4" t="s">
        <v>35</v>
      </c>
      <c r="C173" s="4" t="s">
        <v>79</v>
      </c>
      <c r="D173" s="4" t="s">
        <v>282</v>
      </c>
      <c r="E173" s="4" t="s">
        <v>283</v>
      </c>
      <c r="F173" s="4" t="s">
        <v>284</v>
      </c>
      <c r="G173" s="11" t="s">
        <v>279</v>
      </c>
      <c r="H173" s="4" t="s">
        <v>285</v>
      </c>
      <c r="I173" s="4" t="str">
        <f t="shared" ca="1" si="2"/>
        <v/>
      </c>
      <c r="J173" s="4"/>
      <c r="K173" s="4"/>
      <c r="L173" s="6" t="s">
        <v>95</v>
      </c>
      <c r="M173" s="4"/>
    </row>
    <row r="174" spans="1:13" ht="75" customHeight="1" x14ac:dyDescent="0.25">
      <c r="A174" s="4" t="s">
        <v>286</v>
      </c>
      <c r="B174" s="4" t="s">
        <v>35</v>
      </c>
      <c r="C174" s="4" t="s">
        <v>79</v>
      </c>
      <c r="D174" s="4" t="s">
        <v>287</v>
      </c>
      <c r="E174" s="4" t="s">
        <v>288</v>
      </c>
      <c r="F174" s="4" t="s">
        <v>289</v>
      </c>
      <c r="G174" s="11" t="s">
        <v>83</v>
      </c>
      <c r="H174" s="4" t="s">
        <v>290</v>
      </c>
      <c r="I174" s="4" t="str">
        <f t="shared" ca="1" si="2"/>
        <v/>
      </c>
      <c r="J174" s="4"/>
      <c r="K174" s="4"/>
      <c r="L174" s="5" t="s">
        <v>67</v>
      </c>
      <c r="M174" s="4"/>
    </row>
    <row r="175" spans="1:13" ht="60" customHeight="1" x14ac:dyDescent="0.25">
      <c r="A175" s="4" t="s">
        <v>291</v>
      </c>
      <c r="B175" s="4" t="s">
        <v>35</v>
      </c>
      <c r="C175" s="4" t="s">
        <v>97</v>
      </c>
      <c r="D175" s="4" t="s">
        <v>292</v>
      </c>
      <c r="E175" s="4" t="s">
        <v>293</v>
      </c>
      <c r="F175" s="4" t="s">
        <v>294</v>
      </c>
      <c r="G175" s="11" t="s">
        <v>113</v>
      </c>
      <c r="H175" s="4" t="s">
        <v>295</v>
      </c>
      <c r="I175" s="4" t="str">
        <f t="shared" ca="1" si="2"/>
        <v/>
      </c>
      <c r="J175" s="4"/>
      <c r="K175" s="4"/>
      <c r="L175" s="4" t="s">
        <v>131</v>
      </c>
      <c r="M175" s="4"/>
    </row>
    <row r="176" spans="1:13" ht="60" customHeight="1" x14ac:dyDescent="0.25">
      <c r="A176" s="4" t="s">
        <v>296</v>
      </c>
      <c r="B176" s="4" t="s">
        <v>35</v>
      </c>
      <c r="C176" s="4" t="s">
        <v>97</v>
      </c>
      <c r="D176" s="4" t="s">
        <v>297</v>
      </c>
      <c r="E176" s="4" t="s">
        <v>298</v>
      </c>
      <c r="F176" s="4" t="s">
        <v>299</v>
      </c>
      <c r="G176" s="11" t="s">
        <v>300</v>
      </c>
      <c r="H176" s="4" t="s">
        <v>301</v>
      </c>
      <c r="I176" s="4" t="str">
        <f t="shared" ca="1" si="2"/>
        <v/>
      </c>
      <c r="J176" s="4"/>
      <c r="K176" s="4"/>
      <c r="L176" s="6" t="s">
        <v>95</v>
      </c>
      <c r="M176" s="4"/>
    </row>
    <row r="177" spans="1:13" ht="45" customHeight="1" x14ac:dyDescent="0.25">
      <c r="A177" s="4" t="s">
        <v>302</v>
      </c>
      <c r="B177" s="4" t="s">
        <v>35</v>
      </c>
      <c r="C177" s="4" t="s">
        <v>97</v>
      </c>
      <c r="D177" s="4" t="s">
        <v>303</v>
      </c>
      <c r="E177" s="4" t="s">
        <v>304</v>
      </c>
      <c r="F177" s="4" t="s">
        <v>305</v>
      </c>
      <c r="G177" s="11" t="s">
        <v>300</v>
      </c>
      <c r="H177" s="4" t="s">
        <v>306</v>
      </c>
      <c r="I177" s="4" t="str">
        <f t="shared" ca="1" si="2"/>
        <v/>
      </c>
      <c r="J177" s="4"/>
      <c r="K177" s="4"/>
      <c r="L177" s="6" t="s">
        <v>95</v>
      </c>
      <c r="M177" s="4"/>
    </row>
    <row r="178" spans="1:13" ht="75" customHeight="1" x14ac:dyDescent="0.25">
      <c r="A178" s="4" t="s">
        <v>307</v>
      </c>
      <c r="B178" s="4" t="s">
        <v>35</v>
      </c>
      <c r="C178" s="4" t="s">
        <v>97</v>
      </c>
      <c r="D178" s="4" t="s">
        <v>308</v>
      </c>
      <c r="E178" s="4" t="s">
        <v>309</v>
      </c>
      <c r="F178" s="4" t="s">
        <v>310</v>
      </c>
      <c r="G178" s="11" t="s">
        <v>311</v>
      </c>
      <c r="H178" s="4" t="s">
        <v>312</v>
      </c>
      <c r="I178" s="4" t="str">
        <f t="shared" ca="1" si="2"/>
        <v/>
      </c>
      <c r="J178" s="4"/>
      <c r="K178" s="4"/>
      <c r="L178" s="6" t="s">
        <v>95</v>
      </c>
      <c r="M178" s="4"/>
    </row>
    <row r="179" spans="1:13" ht="75" customHeight="1" x14ac:dyDescent="0.25">
      <c r="A179" s="4" t="s">
        <v>313</v>
      </c>
      <c r="B179" s="4" t="s">
        <v>35</v>
      </c>
      <c r="C179" s="4" t="s">
        <v>97</v>
      </c>
      <c r="D179" s="4" t="s">
        <v>314</v>
      </c>
      <c r="E179" s="4" t="s">
        <v>315</v>
      </c>
      <c r="F179" s="4" t="s">
        <v>316</v>
      </c>
      <c r="G179" s="11" t="s">
        <v>101</v>
      </c>
      <c r="H179" s="4" t="s">
        <v>317</v>
      </c>
      <c r="I179" s="4" t="str">
        <f t="shared" ca="1" si="2"/>
        <v/>
      </c>
      <c r="J179" s="4"/>
      <c r="K179" s="4"/>
      <c r="L179" s="6" t="s">
        <v>95</v>
      </c>
      <c r="M179" s="4"/>
    </row>
    <row r="180" spans="1:13" ht="75" customHeight="1" x14ac:dyDescent="0.25">
      <c r="A180" s="4" t="s">
        <v>318</v>
      </c>
      <c r="B180" s="4" t="s">
        <v>35</v>
      </c>
      <c r="C180" s="4" t="s">
        <v>97</v>
      </c>
      <c r="D180" s="4" t="s">
        <v>319</v>
      </c>
      <c r="E180" s="4" t="s">
        <v>320</v>
      </c>
      <c r="F180" s="4" t="s">
        <v>321</v>
      </c>
      <c r="G180" s="11" t="s">
        <v>101</v>
      </c>
      <c r="H180" s="4" t="s">
        <v>322</v>
      </c>
      <c r="I180" s="4" t="str">
        <f t="shared" ca="1" si="2"/>
        <v/>
      </c>
      <c r="J180" s="4"/>
      <c r="K180" s="4"/>
      <c r="L180" s="5" t="s">
        <v>67</v>
      </c>
      <c r="M180" s="4"/>
    </row>
    <row r="181" spans="1:13" ht="75" customHeight="1" x14ac:dyDescent="0.25">
      <c r="A181" s="4" t="s">
        <v>323</v>
      </c>
      <c r="B181" s="4" t="s">
        <v>35</v>
      </c>
      <c r="C181" s="4" t="s">
        <v>97</v>
      </c>
      <c r="D181" s="4" t="s">
        <v>127</v>
      </c>
      <c r="E181" s="4" t="s">
        <v>128</v>
      </c>
      <c r="F181" s="4" t="s">
        <v>324</v>
      </c>
      <c r="G181" s="11" t="s">
        <v>113</v>
      </c>
      <c r="H181" s="4" t="s">
        <v>325</v>
      </c>
      <c r="I181" s="4" t="str">
        <f t="shared" ca="1" si="2"/>
        <v/>
      </c>
      <c r="J181" s="4"/>
      <c r="K181" s="4"/>
      <c r="L181" s="4" t="s">
        <v>131</v>
      </c>
      <c r="M181" s="4"/>
    </row>
    <row r="182" spans="1:13" ht="60" customHeight="1" x14ac:dyDescent="0.25">
      <c r="A182" s="4" t="s">
        <v>326</v>
      </c>
      <c r="B182" s="4" t="s">
        <v>35</v>
      </c>
      <c r="C182" s="4" t="s">
        <v>97</v>
      </c>
      <c r="D182" s="4" t="s">
        <v>327</v>
      </c>
      <c r="E182" s="4" t="s">
        <v>328</v>
      </c>
      <c r="F182" s="4" t="s">
        <v>329</v>
      </c>
      <c r="G182" s="11" t="s">
        <v>113</v>
      </c>
      <c r="H182" s="4" t="s">
        <v>330</v>
      </c>
      <c r="I182" s="4" t="str">
        <f t="shared" ca="1" si="2"/>
        <v/>
      </c>
      <c r="J182" s="4"/>
      <c r="K182" s="4"/>
      <c r="L182" s="4" t="s">
        <v>131</v>
      </c>
      <c r="M182" s="4"/>
    </row>
    <row r="183" spans="1:13" ht="60" customHeight="1" x14ac:dyDescent="0.25">
      <c r="A183" s="4" t="s">
        <v>331</v>
      </c>
      <c r="B183" s="4" t="s">
        <v>35</v>
      </c>
      <c r="C183" s="4" t="s">
        <v>133</v>
      </c>
      <c r="D183" s="4" t="s">
        <v>332</v>
      </c>
      <c r="E183" s="4" t="s">
        <v>333</v>
      </c>
      <c r="F183" s="4" t="s">
        <v>334</v>
      </c>
      <c r="G183" s="11" t="s">
        <v>155</v>
      </c>
      <c r="H183" s="4" t="s">
        <v>335</v>
      </c>
      <c r="I183" s="4" t="str">
        <f t="shared" ca="1" si="2"/>
        <v/>
      </c>
      <c r="J183" s="4"/>
      <c r="K183" s="4"/>
      <c r="L183" s="4" t="s">
        <v>131</v>
      </c>
      <c r="M183" s="4"/>
    </row>
    <row r="184" spans="1:13" ht="75" customHeight="1" x14ac:dyDescent="0.25">
      <c r="A184" s="4" t="s">
        <v>336</v>
      </c>
      <c r="B184" s="4" t="s">
        <v>35</v>
      </c>
      <c r="C184" s="4" t="s">
        <v>133</v>
      </c>
      <c r="D184" s="4" t="s">
        <v>337</v>
      </c>
      <c r="E184" s="4" t="s">
        <v>338</v>
      </c>
      <c r="F184" s="4" t="s">
        <v>339</v>
      </c>
      <c r="G184" s="11" t="s">
        <v>155</v>
      </c>
      <c r="H184" s="4" t="s">
        <v>340</v>
      </c>
      <c r="I184" s="4" t="str">
        <f t="shared" ca="1" si="2"/>
        <v/>
      </c>
      <c r="J184" s="4"/>
      <c r="K184" s="4"/>
      <c r="L184" s="4" t="s">
        <v>131</v>
      </c>
      <c r="M184" s="4"/>
    </row>
    <row r="185" spans="1:13" ht="60" customHeight="1" x14ac:dyDescent="0.25">
      <c r="A185" s="4" t="s">
        <v>341</v>
      </c>
      <c r="B185" s="4" t="s">
        <v>35</v>
      </c>
      <c r="C185" s="4" t="s">
        <v>133</v>
      </c>
      <c r="D185" s="4" t="s">
        <v>342</v>
      </c>
      <c r="E185" s="4" t="s">
        <v>343</v>
      </c>
      <c r="F185" s="4" t="s">
        <v>344</v>
      </c>
      <c r="G185" s="11" t="s">
        <v>155</v>
      </c>
      <c r="H185" s="4" t="s">
        <v>345</v>
      </c>
      <c r="I185" s="4" t="str">
        <f t="shared" ca="1" si="2"/>
        <v/>
      </c>
      <c r="J185" s="4"/>
      <c r="K185" s="4"/>
      <c r="L185" s="4" t="s">
        <v>131</v>
      </c>
      <c r="M185" s="4"/>
    </row>
    <row r="186" spans="1:13" ht="75" customHeight="1" x14ac:dyDescent="0.25">
      <c r="A186" s="4" t="s">
        <v>346</v>
      </c>
      <c r="B186" s="4" t="s">
        <v>35</v>
      </c>
      <c r="C186" s="4" t="s">
        <v>133</v>
      </c>
      <c r="D186" s="4" t="s">
        <v>347</v>
      </c>
      <c r="E186" s="4" t="s">
        <v>348</v>
      </c>
      <c r="F186" s="4" t="s">
        <v>349</v>
      </c>
      <c r="G186" s="11" t="s">
        <v>155</v>
      </c>
      <c r="H186" s="4" t="s">
        <v>350</v>
      </c>
      <c r="I186" s="4" t="str">
        <f t="shared" ca="1" si="2"/>
        <v/>
      </c>
      <c r="J186" s="4"/>
      <c r="K186" s="4"/>
      <c r="L186" s="4" t="s">
        <v>131</v>
      </c>
      <c r="M186" s="4"/>
    </row>
    <row r="187" spans="1:13" ht="60" customHeight="1" x14ac:dyDescent="0.25">
      <c r="A187" s="4" t="s">
        <v>351</v>
      </c>
      <c r="B187" s="4" t="s">
        <v>35</v>
      </c>
      <c r="C187" s="4" t="s">
        <v>133</v>
      </c>
      <c r="D187" s="4" t="s">
        <v>352</v>
      </c>
      <c r="E187" s="4" t="s">
        <v>353</v>
      </c>
      <c r="F187" s="4" t="s">
        <v>354</v>
      </c>
      <c r="G187" s="11" t="s">
        <v>155</v>
      </c>
      <c r="H187" s="4" t="s">
        <v>355</v>
      </c>
      <c r="I187" s="4" t="str">
        <f t="shared" ca="1" si="2"/>
        <v/>
      </c>
      <c r="J187" s="4"/>
      <c r="K187" s="4"/>
      <c r="L187" s="4" t="s">
        <v>131</v>
      </c>
      <c r="M187" s="4"/>
    </row>
    <row r="188" spans="1:13" ht="75" customHeight="1" x14ac:dyDescent="0.25">
      <c r="A188" s="4" t="s">
        <v>356</v>
      </c>
      <c r="B188" s="4" t="s">
        <v>35</v>
      </c>
      <c r="C188" s="4" t="s">
        <v>133</v>
      </c>
      <c r="D188" s="4" t="s">
        <v>357</v>
      </c>
      <c r="E188" s="4" t="s">
        <v>358</v>
      </c>
      <c r="F188" s="4" t="s">
        <v>359</v>
      </c>
      <c r="G188" s="11" t="s">
        <v>137</v>
      </c>
      <c r="H188" s="4" t="s">
        <v>360</v>
      </c>
      <c r="I188" s="4" t="str">
        <f t="shared" ca="1" si="2"/>
        <v/>
      </c>
      <c r="J188" s="4"/>
      <c r="K188" s="4"/>
      <c r="L188" s="6" t="s">
        <v>95</v>
      </c>
      <c r="M188" s="4"/>
    </row>
    <row r="189" spans="1:13" ht="60" customHeight="1" x14ac:dyDescent="0.25">
      <c r="A189" s="4" t="s">
        <v>361</v>
      </c>
      <c r="B189" s="4" t="s">
        <v>35</v>
      </c>
      <c r="C189" s="4" t="s">
        <v>133</v>
      </c>
      <c r="D189" s="4" t="s">
        <v>362</v>
      </c>
      <c r="E189" s="4" t="s">
        <v>363</v>
      </c>
      <c r="F189" s="4" t="s">
        <v>364</v>
      </c>
      <c r="G189" s="11" t="s">
        <v>155</v>
      </c>
      <c r="H189" s="4" t="s">
        <v>365</v>
      </c>
      <c r="I189" s="4" t="str">
        <f t="shared" ca="1" si="2"/>
        <v/>
      </c>
      <c r="J189" s="4"/>
      <c r="K189" s="4"/>
      <c r="L189" s="4" t="s">
        <v>131</v>
      </c>
      <c r="M189" s="4"/>
    </row>
    <row r="190" spans="1:13" ht="75" customHeight="1" x14ac:dyDescent="0.25">
      <c r="A190" s="4" t="s">
        <v>366</v>
      </c>
      <c r="B190" s="4" t="s">
        <v>35</v>
      </c>
      <c r="C190" s="4" t="s">
        <v>133</v>
      </c>
      <c r="D190" s="4" t="s">
        <v>367</v>
      </c>
      <c r="E190" s="4" t="s">
        <v>368</v>
      </c>
      <c r="F190" s="4" t="s">
        <v>369</v>
      </c>
      <c r="G190" s="11" t="s">
        <v>155</v>
      </c>
      <c r="H190" s="4" t="s">
        <v>370</v>
      </c>
      <c r="I190" s="4" t="str">
        <f t="shared" ca="1" si="2"/>
        <v/>
      </c>
      <c r="J190" s="4"/>
      <c r="K190" s="4"/>
      <c r="L190" s="4" t="s">
        <v>131</v>
      </c>
      <c r="M190" s="4"/>
    </row>
    <row r="191" spans="1:13" ht="75" customHeight="1" x14ac:dyDescent="0.25">
      <c r="A191" s="4" t="s">
        <v>371</v>
      </c>
      <c r="B191" s="4" t="s">
        <v>35</v>
      </c>
      <c r="C191" s="4" t="s">
        <v>173</v>
      </c>
      <c r="D191" s="4" t="s">
        <v>372</v>
      </c>
      <c r="E191" s="4" t="s">
        <v>373</v>
      </c>
      <c r="F191" s="4" t="s">
        <v>374</v>
      </c>
      <c r="G191" s="11" t="s">
        <v>177</v>
      </c>
      <c r="H191" s="4" t="s">
        <v>375</v>
      </c>
      <c r="I191" s="4" t="str">
        <f t="shared" ca="1" si="2"/>
        <v/>
      </c>
      <c r="J191" s="4"/>
      <c r="K191" s="4"/>
      <c r="L191" s="4" t="s">
        <v>131</v>
      </c>
      <c r="M191" s="4"/>
    </row>
    <row r="192" spans="1:13" ht="75" customHeight="1" x14ac:dyDescent="0.25">
      <c r="A192" s="4" t="s">
        <v>376</v>
      </c>
      <c r="B192" s="4" t="s">
        <v>35</v>
      </c>
      <c r="C192" s="4" t="s">
        <v>173</v>
      </c>
      <c r="D192" s="4" t="s">
        <v>377</v>
      </c>
      <c r="E192" s="4" t="s">
        <v>378</v>
      </c>
      <c r="F192" s="4" t="s">
        <v>379</v>
      </c>
      <c r="G192" s="11" t="s">
        <v>177</v>
      </c>
      <c r="H192" s="4" t="s">
        <v>380</v>
      </c>
      <c r="I192" s="4" t="str">
        <f t="shared" ca="1" si="2"/>
        <v/>
      </c>
      <c r="J192" s="4"/>
      <c r="K192" s="4"/>
      <c r="L192" s="6" t="s">
        <v>95</v>
      </c>
      <c r="M192" s="4"/>
    </row>
    <row r="193" spans="1:13" ht="75" customHeight="1" x14ac:dyDescent="0.25">
      <c r="A193" s="4" t="s">
        <v>381</v>
      </c>
      <c r="B193" s="4" t="s">
        <v>35</v>
      </c>
      <c r="C193" s="4" t="s">
        <v>173</v>
      </c>
      <c r="D193" s="4" t="s">
        <v>382</v>
      </c>
      <c r="E193" s="4" t="s">
        <v>383</v>
      </c>
      <c r="F193" s="4" t="s">
        <v>384</v>
      </c>
      <c r="G193" s="11" t="s">
        <v>385</v>
      </c>
      <c r="H193" s="4" t="s">
        <v>386</v>
      </c>
      <c r="I193" s="4" t="str">
        <f t="shared" ca="1" si="2"/>
        <v/>
      </c>
      <c r="J193" s="4"/>
      <c r="K193" s="4"/>
      <c r="L193" s="6" t="s">
        <v>95</v>
      </c>
      <c r="M193" s="4"/>
    </row>
    <row r="194" spans="1:13" ht="90" customHeight="1" x14ac:dyDescent="0.25">
      <c r="A194" s="4" t="s">
        <v>387</v>
      </c>
      <c r="B194" s="4" t="s">
        <v>35</v>
      </c>
      <c r="C194" s="4" t="s">
        <v>173</v>
      </c>
      <c r="D194" s="4" t="s">
        <v>388</v>
      </c>
      <c r="E194" s="4" t="s">
        <v>389</v>
      </c>
      <c r="F194" s="4" t="s">
        <v>390</v>
      </c>
      <c r="G194" s="11" t="s">
        <v>385</v>
      </c>
      <c r="H194" s="4" t="s">
        <v>391</v>
      </c>
      <c r="I194" s="4" t="str">
        <f t="shared" ref="I194:I257" ca="1" si="3">IF(I194="","",IF(I194=G194,"PASS","FAIL"))</f>
        <v/>
      </c>
      <c r="J194" s="4"/>
      <c r="K194" s="4"/>
      <c r="L194" s="6" t="s">
        <v>95</v>
      </c>
      <c r="M194" s="4"/>
    </row>
    <row r="195" spans="1:13" ht="75" customHeight="1" x14ac:dyDescent="0.25">
      <c r="A195" s="4" t="s">
        <v>392</v>
      </c>
      <c r="B195" s="4" t="s">
        <v>35</v>
      </c>
      <c r="C195" s="4" t="s">
        <v>173</v>
      </c>
      <c r="D195" s="4" t="s">
        <v>393</v>
      </c>
      <c r="E195" s="4" t="s">
        <v>394</v>
      </c>
      <c r="F195" s="4" t="s">
        <v>395</v>
      </c>
      <c r="G195" s="11" t="s">
        <v>385</v>
      </c>
      <c r="H195" s="4" t="s">
        <v>396</v>
      </c>
      <c r="I195" s="4" t="str">
        <f t="shared" ca="1" si="3"/>
        <v/>
      </c>
      <c r="J195" s="4"/>
      <c r="K195" s="4"/>
      <c r="L195" s="4" t="s">
        <v>131</v>
      </c>
      <c r="M195" s="4"/>
    </row>
    <row r="196" spans="1:13" ht="90" customHeight="1" x14ac:dyDescent="0.25">
      <c r="A196" s="4" t="s">
        <v>397</v>
      </c>
      <c r="B196" s="4" t="s">
        <v>35</v>
      </c>
      <c r="C196" s="4" t="s">
        <v>173</v>
      </c>
      <c r="D196" s="4" t="s">
        <v>398</v>
      </c>
      <c r="E196" s="4" t="s">
        <v>399</v>
      </c>
      <c r="F196" s="4" t="s">
        <v>400</v>
      </c>
      <c r="G196" s="11" t="s">
        <v>385</v>
      </c>
      <c r="H196" s="4" t="s">
        <v>401</v>
      </c>
      <c r="I196" s="4" t="str">
        <f t="shared" ca="1" si="3"/>
        <v/>
      </c>
      <c r="J196" s="4"/>
      <c r="K196" s="4"/>
      <c r="L196" s="4" t="s">
        <v>131</v>
      </c>
      <c r="M196" s="4"/>
    </row>
    <row r="197" spans="1:13" ht="90" customHeight="1" x14ac:dyDescent="0.25">
      <c r="A197" s="4" t="s">
        <v>402</v>
      </c>
      <c r="B197" s="4" t="s">
        <v>35</v>
      </c>
      <c r="C197" s="4" t="s">
        <v>193</v>
      </c>
      <c r="D197" s="4" t="s">
        <v>403</v>
      </c>
      <c r="E197" s="4" t="s">
        <v>404</v>
      </c>
      <c r="F197" s="4" t="s">
        <v>405</v>
      </c>
      <c r="G197" s="11" t="s">
        <v>214</v>
      </c>
      <c r="H197" s="4" t="s">
        <v>406</v>
      </c>
      <c r="I197" s="4" t="str">
        <f t="shared" ca="1" si="3"/>
        <v/>
      </c>
      <c r="J197" s="4"/>
      <c r="K197" s="4"/>
      <c r="L197" s="5" t="s">
        <v>67</v>
      </c>
      <c r="M197" s="4"/>
    </row>
    <row r="198" spans="1:13" ht="75" customHeight="1" x14ac:dyDescent="0.25">
      <c r="A198" s="4" t="s">
        <v>407</v>
      </c>
      <c r="B198" s="4" t="s">
        <v>35</v>
      </c>
      <c r="C198" s="4" t="s">
        <v>193</v>
      </c>
      <c r="D198" s="4" t="s">
        <v>408</v>
      </c>
      <c r="E198" s="4" t="s">
        <v>409</v>
      </c>
      <c r="F198" s="4" t="s">
        <v>410</v>
      </c>
      <c r="G198" s="11" t="s">
        <v>214</v>
      </c>
      <c r="H198" s="4" t="s">
        <v>411</v>
      </c>
      <c r="I198" s="4" t="str">
        <f t="shared" ca="1" si="3"/>
        <v/>
      </c>
      <c r="J198" s="4"/>
      <c r="K198" s="4"/>
      <c r="L198" s="4" t="s">
        <v>131</v>
      </c>
      <c r="M198" s="4"/>
    </row>
    <row r="199" spans="1:13" ht="75" customHeight="1" x14ac:dyDescent="0.25">
      <c r="A199" s="4" t="s">
        <v>412</v>
      </c>
      <c r="B199" s="4" t="s">
        <v>35</v>
      </c>
      <c r="C199" s="4" t="s">
        <v>193</v>
      </c>
      <c r="D199" s="4" t="s">
        <v>413</v>
      </c>
      <c r="E199" s="4" t="s">
        <v>414</v>
      </c>
      <c r="F199" s="4" t="s">
        <v>415</v>
      </c>
      <c r="G199" s="11" t="s">
        <v>214</v>
      </c>
      <c r="H199" s="4" t="s">
        <v>416</v>
      </c>
      <c r="I199" s="4" t="str">
        <f t="shared" ca="1" si="3"/>
        <v/>
      </c>
      <c r="J199" s="4"/>
      <c r="K199" s="4"/>
      <c r="L199" s="4" t="s">
        <v>131</v>
      </c>
      <c r="M199" s="4"/>
    </row>
    <row r="200" spans="1:13" ht="75" customHeight="1" x14ac:dyDescent="0.25">
      <c r="A200" s="4" t="s">
        <v>417</v>
      </c>
      <c r="B200" s="4" t="s">
        <v>35</v>
      </c>
      <c r="C200" s="4" t="s">
        <v>193</v>
      </c>
      <c r="D200" s="4" t="s">
        <v>418</v>
      </c>
      <c r="E200" s="4" t="s">
        <v>419</v>
      </c>
      <c r="F200" s="4" t="s">
        <v>420</v>
      </c>
      <c r="G200" s="11" t="s">
        <v>214</v>
      </c>
      <c r="H200" s="4" t="s">
        <v>421</v>
      </c>
      <c r="I200" s="4" t="str">
        <f t="shared" ca="1" si="3"/>
        <v/>
      </c>
      <c r="J200" s="4"/>
      <c r="K200" s="4"/>
      <c r="L200" s="4" t="s">
        <v>131</v>
      </c>
      <c r="M200" s="4"/>
    </row>
    <row r="201" spans="1:13" ht="75" customHeight="1" x14ac:dyDescent="0.25">
      <c r="A201" s="4" t="s">
        <v>422</v>
      </c>
      <c r="B201" s="4" t="s">
        <v>35</v>
      </c>
      <c r="C201" s="4" t="s">
        <v>193</v>
      </c>
      <c r="D201" s="4" t="s">
        <v>423</v>
      </c>
      <c r="E201" s="4" t="s">
        <v>424</v>
      </c>
      <c r="F201" s="4" t="s">
        <v>425</v>
      </c>
      <c r="G201" s="11" t="s">
        <v>214</v>
      </c>
      <c r="H201" s="4" t="s">
        <v>426</v>
      </c>
      <c r="I201" s="4" t="str">
        <f t="shared" ca="1" si="3"/>
        <v/>
      </c>
      <c r="J201" s="4"/>
      <c r="K201" s="4"/>
      <c r="L201" s="6" t="s">
        <v>95</v>
      </c>
      <c r="M201" s="4"/>
    </row>
    <row r="202" spans="1:13" ht="90" customHeight="1" x14ac:dyDescent="0.25">
      <c r="A202" s="4" t="s">
        <v>427</v>
      </c>
      <c r="B202" s="4" t="s">
        <v>35</v>
      </c>
      <c r="C202" s="4" t="s">
        <v>193</v>
      </c>
      <c r="D202" s="4" t="s">
        <v>428</v>
      </c>
      <c r="E202" s="4" t="s">
        <v>429</v>
      </c>
      <c r="F202" s="4" t="s">
        <v>430</v>
      </c>
      <c r="G202" s="11" t="s">
        <v>214</v>
      </c>
      <c r="H202" s="4" t="s">
        <v>431</v>
      </c>
      <c r="I202" s="4" t="str">
        <f t="shared" ca="1" si="3"/>
        <v/>
      </c>
      <c r="J202" s="4"/>
      <c r="K202" s="4"/>
      <c r="L202" s="4" t="s">
        <v>131</v>
      </c>
      <c r="M202" s="4"/>
    </row>
    <row r="203" spans="1:13" ht="90" customHeight="1" x14ac:dyDescent="0.25">
      <c r="A203" s="4" t="s">
        <v>432</v>
      </c>
      <c r="B203" s="4" t="s">
        <v>35</v>
      </c>
      <c r="C203" s="4" t="s">
        <v>193</v>
      </c>
      <c r="D203" s="4" t="s">
        <v>433</v>
      </c>
      <c r="E203" s="4" t="s">
        <v>434</v>
      </c>
      <c r="F203" s="4" t="s">
        <v>435</v>
      </c>
      <c r="G203" s="11" t="s">
        <v>436</v>
      </c>
      <c r="H203" s="4" t="s">
        <v>437</v>
      </c>
      <c r="I203" s="4" t="str">
        <f t="shared" ca="1" si="3"/>
        <v/>
      </c>
      <c r="J203" s="4"/>
      <c r="K203" s="4"/>
      <c r="L203" s="4" t="s">
        <v>131</v>
      </c>
      <c r="M203" s="4"/>
    </row>
    <row r="204" spans="1:13" ht="60" customHeight="1" x14ac:dyDescent="0.25">
      <c r="A204" s="4" t="s">
        <v>438</v>
      </c>
      <c r="B204" s="4" t="s">
        <v>35</v>
      </c>
      <c r="C204" s="4" t="s">
        <v>193</v>
      </c>
      <c r="D204" s="4" t="s">
        <v>439</v>
      </c>
      <c r="E204" s="4" t="s">
        <v>439</v>
      </c>
      <c r="F204" s="4" t="s">
        <v>440</v>
      </c>
      <c r="G204" s="11" t="s">
        <v>214</v>
      </c>
      <c r="H204" s="4" t="s">
        <v>441</v>
      </c>
      <c r="I204" s="4" t="str">
        <f t="shared" ca="1" si="3"/>
        <v/>
      </c>
      <c r="J204" s="4"/>
      <c r="K204" s="4"/>
      <c r="L204" s="4" t="s">
        <v>131</v>
      </c>
      <c r="M204" s="4"/>
    </row>
    <row r="205" spans="1:13" ht="75" customHeight="1" x14ac:dyDescent="0.25">
      <c r="A205" s="4" t="s">
        <v>442</v>
      </c>
      <c r="B205" s="4" t="s">
        <v>35</v>
      </c>
      <c r="C205" s="4" t="s">
        <v>443</v>
      </c>
      <c r="D205" s="4" t="s">
        <v>444</v>
      </c>
      <c r="E205" s="4" t="s">
        <v>445</v>
      </c>
      <c r="F205" s="4" t="s">
        <v>446</v>
      </c>
      <c r="G205" s="11" t="s">
        <v>447</v>
      </c>
      <c r="H205" s="4" t="s">
        <v>448</v>
      </c>
      <c r="I205" s="4" t="str">
        <f t="shared" ca="1" si="3"/>
        <v/>
      </c>
      <c r="J205" s="4"/>
      <c r="K205" s="4"/>
      <c r="L205" s="6" t="s">
        <v>95</v>
      </c>
      <c r="M205" s="4"/>
    </row>
    <row r="206" spans="1:13" ht="75" customHeight="1" x14ac:dyDescent="0.25">
      <c r="A206" s="4" t="s">
        <v>449</v>
      </c>
      <c r="B206" s="4" t="s">
        <v>35</v>
      </c>
      <c r="C206" s="4" t="s">
        <v>443</v>
      </c>
      <c r="D206" s="4" t="s">
        <v>450</v>
      </c>
      <c r="E206" s="4" t="s">
        <v>451</v>
      </c>
      <c r="F206" s="4" t="s">
        <v>452</v>
      </c>
      <c r="G206" s="11" t="s">
        <v>447</v>
      </c>
      <c r="H206" s="4" t="s">
        <v>453</v>
      </c>
      <c r="I206" s="4" t="str">
        <f t="shared" ca="1" si="3"/>
        <v/>
      </c>
      <c r="J206" s="4"/>
      <c r="K206" s="4"/>
      <c r="L206" s="6" t="s">
        <v>95</v>
      </c>
      <c r="M206" s="4"/>
    </row>
    <row r="207" spans="1:13" ht="60" customHeight="1" x14ac:dyDescent="0.25">
      <c r="A207" s="4" t="s">
        <v>454</v>
      </c>
      <c r="B207" s="4" t="s">
        <v>35</v>
      </c>
      <c r="C207" s="4" t="s">
        <v>443</v>
      </c>
      <c r="D207" s="4" t="s">
        <v>455</v>
      </c>
      <c r="E207" s="4" t="s">
        <v>456</v>
      </c>
      <c r="F207" s="4" t="s">
        <v>457</v>
      </c>
      <c r="G207" s="11" t="s">
        <v>447</v>
      </c>
      <c r="H207" s="4" t="s">
        <v>458</v>
      </c>
      <c r="I207" s="4" t="str">
        <f t="shared" ca="1" si="3"/>
        <v/>
      </c>
      <c r="J207" s="4"/>
      <c r="K207" s="4"/>
      <c r="L207" s="6" t="s">
        <v>95</v>
      </c>
      <c r="M207" s="4"/>
    </row>
    <row r="208" spans="1:13" ht="75" customHeight="1" x14ac:dyDescent="0.25">
      <c r="A208" s="4" t="s">
        <v>459</v>
      </c>
      <c r="B208" s="4" t="s">
        <v>35</v>
      </c>
      <c r="C208" s="4" t="s">
        <v>460</v>
      </c>
      <c r="D208" s="4" t="s">
        <v>461</v>
      </c>
      <c r="E208" s="4" t="s">
        <v>462</v>
      </c>
      <c r="F208" s="4" t="s">
        <v>463</v>
      </c>
      <c r="G208" s="11" t="s">
        <v>464</v>
      </c>
      <c r="H208" s="4" t="s">
        <v>465</v>
      </c>
      <c r="I208" s="4" t="str">
        <f t="shared" ca="1" si="3"/>
        <v/>
      </c>
      <c r="J208" s="4"/>
      <c r="K208" s="4"/>
      <c r="L208" s="5" t="s">
        <v>67</v>
      </c>
      <c r="M208" s="4"/>
    </row>
    <row r="209" spans="1:13" ht="60" customHeight="1" x14ac:dyDescent="0.25">
      <c r="A209" s="4" t="s">
        <v>466</v>
      </c>
      <c r="B209" s="4" t="s">
        <v>35</v>
      </c>
      <c r="C209" s="4" t="s">
        <v>460</v>
      </c>
      <c r="D209" s="4" t="s">
        <v>467</v>
      </c>
      <c r="E209" s="4" t="s">
        <v>468</v>
      </c>
      <c r="F209" s="4" t="s">
        <v>469</v>
      </c>
      <c r="G209" s="11" t="s">
        <v>464</v>
      </c>
      <c r="H209" s="4" t="s">
        <v>470</v>
      </c>
      <c r="I209" s="4" t="str">
        <f t="shared" ca="1" si="3"/>
        <v/>
      </c>
      <c r="J209" s="4"/>
      <c r="K209" s="4"/>
      <c r="L209" s="4" t="s">
        <v>131</v>
      </c>
      <c r="M209" s="4"/>
    </row>
    <row r="210" spans="1:13" ht="60" customHeight="1" x14ac:dyDescent="0.25">
      <c r="A210" s="4" t="s">
        <v>471</v>
      </c>
      <c r="B210" s="4" t="s">
        <v>35</v>
      </c>
      <c r="C210" s="4" t="s">
        <v>460</v>
      </c>
      <c r="D210" s="4" t="s">
        <v>472</v>
      </c>
      <c r="E210" s="4" t="s">
        <v>473</v>
      </c>
      <c r="F210" s="4" t="s">
        <v>474</v>
      </c>
      <c r="G210" s="11" t="s">
        <v>464</v>
      </c>
      <c r="H210" s="4" t="s">
        <v>475</v>
      </c>
      <c r="I210" s="4" t="str">
        <f t="shared" ca="1" si="3"/>
        <v/>
      </c>
      <c r="J210" s="4"/>
      <c r="K210" s="4"/>
      <c r="L210" s="6" t="s">
        <v>95</v>
      </c>
      <c r="M210" s="4"/>
    </row>
    <row r="211" spans="1:13" ht="90" customHeight="1" x14ac:dyDescent="0.25">
      <c r="A211" s="4" t="s">
        <v>231</v>
      </c>
      <c r="B211" s="4" t="s">
        <v>35</v>
      </c>
      <c r="C211" s="4" t="s">
        <v>60</v>
      </c>
      <c r="D211" s="4" t="s">
        <v>232</v>
      </c>
      <c r="E211" s="4" t="s">
        <v>233</v>
      </c>
      <c r="F211" s="4" t="s">
        <v>234</v>
      </c>
      <c r="G211" s="11" t="s">
        <v>64</v>
      </c>
      <c r="H211" s="4" t="s">
        <v>235</v>
      </c>
      <c r="I211" s="4" t="str">
        <f t="shared" ca="1" si="3"/>
        <v/>
      </c>
      <c r="J211" s="4"/>
      <c r="K211" s="4"/>
      <c r="L211" s="5" t="s">
        <v>67</v>
      </c>
      <c r="M211" s="4"/>
    </row>
    <row r="212" spans="1:13" ht="75" customHeight="1" x14ac:dyDescent="0.25">
      <c r="A212" s="4" t="s">
        <v>236</v>
      </c>
      <c r="B212" s="4" t="s">
        <v>35</v>
      </c>
      <c r="C212" s="4" t="s">
        <v>237</v>
      </c>
      <c r="D212" s="4" t="s">
        <v>238</v>
      </c>
      <c r="E212" s="4" t="s">
        <v>239</v>
      </c>
      <c r="F212" s="4" t="s">
        <v>240</v>
      </c>
      <c r="G212" s="11" t="s">
        <v>241</v>
      </c>
      <c r="H212" s="4" t="s">
        <v>242</v>
      </c>
      <c r="I212" s="4" t="str">
        <f t="shared" ca="1" si="3"/>
        <v/>
      </c>
      <c r="J212" s="4"/>
      <c r="K212" s="4"/>
      <c r="L212" s="5" t="s">
        <v>67</v>
      </c>
      <c r="M212" s="4"/>
    </row>
    <row r="213" spans="1:13" ht="75" customHeight="1" x14ac:dyDescent="0.25">
      <c r="A213" s="4" t="s">
        <v>243</v>
      </c>
      <c r="B213" s="4" t="s">
        <v>35</v>
      </c>
      <c r="C213" s="4" t="s">
        <v>237</v>
      </c>
      <c r="D213" s="4" t="s">
        <v>244</v>
      </c>
      <c r="E213" s="4" t="s">
        <v>245</v>
      </c>
      <c r="F213" s="4" t="s">
        <v>246</v>
      </c>
      <c r="G213" s="11" t="s">
        <v>241</v>
      </c>
      <c r="H213" s="4" t="s">
        <v>247</v>
      </c>
      <c r="I213" s="4" t="str">
        <f t="shared" ca="1" si="3"/>
        <v/>
      </c>
      <c r="J213" s="4"/>
      <c r="K213" s="4"/>
      <c r="L213" s="5" t="s">
        <v>67</v>
      </c>
      <c r="M213" s="4"/>
    </row>
    <row r="214" spans="1:13" ht="60" customHeight="1" x14ac:dyDescent="0.25">
      <c r="A214" s="4" t="s">
        <v>248</v>
      </c>
      <c r="B214" s="4" t="s">
        <v>35</v>
      </c>
      <c r="C214" s="4" t="s">
        <v>237</v>
      </c>
      <c r="D214" s="4" t="s">
        <v>249</v>
      </c>
      <c r="E214" s="4" t="s">
        <v>250</v>
      </c>
      <c r="F214" s="4" t="s">
        <v>251</v>
      </c>
      <c r="G214" s="11" t="s">
        <v>241</v>
      </c>
      <c r="H214" s="4" t="s">
        <v>252</v>
      </c>
      <c r="I214" s="4" t="str">
        <f t="shared" ca="1" si="3"/>
        <v/>
      </c>
      <c r="J214" s="4"/>
      <c r="K214" s="4"/>
      <c r="L214" s="5" t="s">
        <v>67</v>
      </c>
      <c r="M214" s="4"/>
    </row>
    <row r="215" spans="1:13" ht="75" customHeight="1" x14ac:dyDescent="0.25">
      <c r="A215" s="4" t="s">
        <v>253</v>
      </c>
      <c r="B215" s="4" t="s">
        <v>35</v>
      </c>
      <c r="C215" s="4" t="s">
        <v>237</v>
      </c>
      <c r="D215" s="4" t="s">
        <v>254</v>
      </c>
      <c r="E215" s="4" t="s">
        <v>255</v>
      </c>
      <c r="F215" s="4" t="s">
        <v>256</v>
      </c>
      <c r="G215" s="11" t="s">
        <v>257</v>
      </c>
      <c r="H215" s="4" t="s">
        <v>258</v>
      </c>
      <c r="I215" s="4" t="str">
        <f t="shared" ca="1" si="3"/>
        <v/>
      </c>
      <c r="J215" s="4"/>
      <c r="K215" s="4"/>
      <c r="L215" s="7" t="s">
        <v>103</v>
      </c>
      <c r="M215" s="4"/>
    </row>
    <row r="216" spans="1:13" ht="90" customHeight="1" x14ac:dyDescent="0.25">
      <c r="A216" s="4" t="s">
        <v>259</v>
      </c>
      <c r="B216" s="4" t="s">
        <v>35</v>
      </c>
      <c r="C216" s="4" t="s">
        <v>237</v>
      </c>
      <c r="D216" s="4" t="s">
        <v>260</v>
      </c>
      <c r="E216" s="4" t="s">
        <v>261</v>
      </c>
      <c r="F216" s="4" t="s">
        <v>262</v>
      </c>
      <c r="G216" s="11" t="s">
        <v>257</v>
      </c>
      <c r="H216" s="4" t="s">
        <v>263</v>
      </c>
      <c r="I216" s="4" t="str">
        <f t="shared" ca="1" si="3"/>
        <v/>
      </c>
      <c r="J216" s="4"/>
      <c r="K216" s="4"/>
      <c r="L216" s="7" t="s">
        <v>103</v>
      </c>
      <c r="M216" s="4"/>
    </row>
    <row r="217" spans="1:13" ht="75" customHeight="1" x14ac:dyDescent="0.25">
      <c r="A217" s="4" t="s">
        <v>264</v>
      </c>
      <c r="B217" s="4" t="s">
        <v>35</v>
      </c>
      <c r="C217" s="4" t="s">
        <v>237</v>
      </c>
      <c r="D217" s="4" t="s">
        <v>265</v>
      </c>
      <c r="E217" s="4" t="s">
        <v>266</v>
      </c>
      <c r="F217" s="4" t="s">
        <v>267</v>
      </c>
      <c r="G217" s="11" t="s">
        <v>241</v>
      </c>
      <c r="H217" s="4" t="s">
        <v>268</v>
      </c>
      <c r="I217" s="4" t="str">
        <f t="shared" ca="1" si="3"/>
        <v/>
      </c>
      <c r="J217" s="4"/>
      <c r="K217" s="4"/>
      <c r="L217" s="6" t="s">
        <v>95</v>
      </c>
      <c r="M217" s="4"/>
    </row>
    <row r="218" spans="1:13" ht="75" customHeight="1" x14ac:dyDescent="0.25">
      <c r="A218" s="4" t="s">
        <v>269</v>
      </c>
      <c r="B218" s="4" t="s">
        <v>35</v>
      </c>
      <c r="C218" s="4" t="s">
        <v>79</v>
      </c>
      <c r="D218" s="4" t="s">
        <v>270</v>
      </c>
      <c r="E218" s="4" t="s">
        <v>271</v>
      </c>
      <c r="F218" s="4" t="s">
        <v>272</v>
      </c>
      <c r="G218" s="11" t="s">
        <v>273</v>
      </c>
      <c r="H218" s="4" t="s">
        <v>274</v>
      </c>
      <c r="I218" s="4" t="str">
        <f t="shared" ca="1" si="3"/>
        <v/>
      </c>
      <c r="J218" s="4"/>
      <c r="K218" s="4"/>
      <c r="L218" s="5" t="s">
        <v>67</v>
      </c>
      <c r="M218" s="4"/>
    </row>
    <row r="219" spans="1:13" ht="90" customHeight="1" x14ac:dyDescent="0.25">
      <c r="A219" s="4" t="s">
        <v>275</v>
      </c>
      <c r="B219" s="4" t="s">
        <v>35</v>
      </c>
      <c r="C219" s="4" t="s">
        <v>79</v>
      </c>
      <c r="D219" s="4" t="s">
        <v>276</v>
      </c>
      <c r="E219" s="4" t="s">
        <v>277</v>
      </c>
      <c r="F219" s="4" t="s">
        <v>278</v>
      </c>
      <c r="G219" s="11" t="s">
        <v>279</v>
      </c>
      <c r="H219" s="4" t="s">
        <v>280</v>
      </c>
      <c r="I219" s="4" t="str">
        <f t="shared" ca="1" si="3"/>
        <v/>
      </c>
      <c r="J219" s="4"/>
      <c r="K219" s="4"/>
      <c r="L219" s="4" t="s">
        <v>131</v>
      </c>
      <c r="M219" s="4"/>
    </row>
    <row r="220" spans="1:13" ht="105" customHeight="1" x14ac:dyDescent="0.25">
      <c r="A220" s="4" t="s">
        <v>281</v>
      </c>
      <c r="B220" s="4" t="s">
        <v>35</v>
      </c>
      <c r="C220" s="4" t="s">
        <v>79</v>
      </c>
      <c r="D220" s="4" t="s">
        <v>282</v>
      </c>
      <c r="E220" s="4" t="s">
        <v>283</v>
      </c>
      <c r="F220" s="4" t="s">
        <v>284</v>
      </c>
      <c r="G220" s="11" t="s">
        <v>279</v>
      </c>
      <c r="H220" s="4" t="s">
        <v>285</v>
      </c>
      <c r="I220" s="4" t="str">
        <f t="shared" ca="1" si="3"/>
        <v/>
      </c>
      <c r="J220" s="4"/>
      <c r="K220" s="4"/>
      <c r="L220" s="6" t="s">
        <v>95</v>
      </c>
      <c r="M220" s="4"/>
    </row>
    <row r="221" spans="1:13" ht="75" customHeight="1" x14ac:dyDescent="0.25">
      <c r="A221" s="4" t="s">
        <v>286</v>
      </c>
      <c r="B221" s="4" t="s">
        <v>35</v>
      </c>
      <c r="C221" s="4" t="s">
        <v>79</v>
      </c>
      <c r="D221" s="4" t="s">
        <v>287</v>
      </c>
      <c r="E221" s="4" t="s">
        <v>288</v>
      </c>
      <c r="F221" s="4" t="s">
        <v>289</v>
      </c>
      <c r="G221" s="11" t="s">
        <v>83</v>
      </c>
      <c r="H221" s="4" t="s">
        <v>290</v>
      </c>
      <c r="I221" s="4" t="str">
        <f t="shared" ca="1" si="3"/>
        <v/>
      </c>
      <c r="J221" s="4"/>
      <c r="K221" s="4"/>
      <c r="L221" s="5" t="s">
        <v>67</v>
      </c>
      <c r="M221" s="4"/>
    </row>
    <row r="222" spans="1:13" ht="60" customHeight="1" x14ac:dyDescent="0.25">
      <c r="A222" s="4" t="s">
        <v>291</v>
      </c>
      <c r="B222" s="4" t="s">
        <v>35</v>
      </c>
      <c r="C222" s="4" t="s">
        <v>97</v>
      </c>
      <c r="D222" s="4" t="s">
        <v>292</v>
      </c>
      <c r="E222" s="4" t="s">
        <v>293</v>
      </c>
      <c r="F222" s="4" t="s">
        <v>294</v>
      </c>
      <c r="G222" s="11" t="s">
        <v>113</v>
      </c>
      <c r="H222" s="4" t="s">
        <v>295</v>
      </c>
      <c r="I222" s="4" t="str">
        <f t="shared" ca="1" si="3"/>
        <v/>
      </c>
      <c r="J222" s="4"/>
      <c r="K222" s="4"/>
      <c r="L222" s="4" t="s">
        <v>131</v>
      </c>
      <c r="M222" s="4"/>
    </row>
    <row r="223" spans="1:13" ht="60" customHeight="1" x14ac:dyDescent="0.25">
      <c r="A223" s="4" t="s">
        <v>296</v>
      </c>
      <c r="B223" s="4" t="s">
        <v>35</v>
      </c>
      <c r="C223" s="4" t="s">
        <v>97</v>
      </c>
      <c r="D223" s="4" t="s">
        <v>297</v>
      </c>
      <c r="E223" s="4" t="s">
        <v>298</v>
      </c>
      <c r="F223" s="4" t="s">
        <v>299</v>
      </c>
      <c r="G223" s="11" t="s">
        <v>300</v>
      </c>
      <c r="H223" s="4" t="s">
        <v>301</v>
      </c>
      <c r="I223" s="4" t="str">
        <f t="shared" ca="1" si="3"/>
        <v/>
      </c>
      <c r="J223" s="4"/>
      <c r="K223" s="4"/>
      <c r="L223" s="6" t="s">
        <v>95</v>
      </c>
      <c r="M223" s="4"/>
    </row>
    <row r="224" spans="1:13" ht="45" customHeight="1" x14ac:dyDescent="0.25">
      <c r="A224" s="4" t="s">
        <v>302</v>
      </c>
      <c r="B224" s="4" t="s">
        <v>35</v>
      </c>
      <c r="C224" s="4" t="s">
        <v>97</v>
      </c>
      <c r="D224" s="4" t="s">
        <v>303</v>
      </c>
      <c r="E224" s="4" t="s">
        <v>304</v>
      </c>
      <c r="F224" s="4" t="s">
        <v>305</v>
      </c>
      <c r="G224" s="11" t="s">
        <v>300</v>
      </c>
      <c r="H224" s="4" t="s">
        <v>306</v>
      </c>
      <c r="I224" s="4" t="str">
        <f t="shared" ca="1" si="3"/>
        <v/>
      </c>
      <c r="J224" s="4"/>
      <c r="K224" s="4"/>
      <c r="L224" s="6" t="s">
        <v>95</v>
      </c>
      <c r="M224" s="4"/>
    </row>
    <row r="225" spans="1:13" ht="75" customHeight="1" x14ac:dyDescent="0.25">
      <c r="A225" s="4" t="s">
        <v>307</v>
      </c>
      <c r="B225" s="4" t="s">
        <v>35</v>
      </c>
      <c r="C225" s="4" t="s">
        <v>97</v>
      </c>
      <c r="D225" s="4" t="s">
        <v>308</v>
      </c>
      <c r="E225" s="4" t="s">
        <v>309</v>
      </c>
      <c r="F225" s="4" t="s">
        <v>310</v>
      </c>
      <c r="G225" s="11" t="s">
        <v>311</v>
      </c>
      <c r="H225" s="4" t="s">
        <v>312</v>
      </c>
      <c r="I225" s="4" t="str">
        <f t="shared" ca="1" si="3"/>
        <v/>
      </c>
      <c r="J225" s="4"/>
      <c r="K225" s="4"/>
      <c r="L225" s="6" t="s">
        <v>95</v>
      </c>
      <c r="M225" s="4"/>
    </row>
    <row r="226" spans="1:13" ht="75" customHeight="1" x14ac:dyDescent="0.25">
      <c r="A226" s="4" t="s">
        <v>313</v>
      </c>
      <c r="B226" s="4" t="s">
        <v>35</v>
      </c>
      <c r="C226" s="4" t="s">
        <v>97</v>
      </c>
      <c r="D226" s="4" t="s">
        <v>314</v>
      </c>
      <c r="E226" s="4" t="s">
        <v>315</v>
      </c>
      <c r="F226" s="4" t="s">
        <v>316</v>
      </c>
      <c r="G226" s="11" t="s">
        <v>101</v>
      </c>
      <c r="H226" s="4" t="s">
        <v>317</v>
      </c>
      <c r="I226" s="4" t="str">
        <f t="shared" ca="1" si="3"/>
        <v/>
      </c>
      <c r="J226" s="4"/>
      <c r="K226" s="4"/>
      <c r="L226" s="6" t="s">
        <v>95</v>
      </c>
      <c r="M226" s="4"/>
    </row>
    <row r="227" spans="1:13" ht="75" customHeight="1" x14ac:dyDescent="0.25">
      <c r="A227" s="4" t="s">
        <v>318</v>
      </c>
      <c r="B227" s="4" t="s">
        <v>35</v>
      </c>
      <c r="C227" s="4" t="s">
        <v>97</v>
      </c>
      <c r="D227" s="4" t="s">
        <v>319</v>
      </c>
      <c r="E227" s="4" t="s">
        <v>320</v>
      </c>
      <c r="F227" s="4" t="s">
        <v>321</v>
      </c>
      <c r="G227" s="11" t="s">
        <v>101</v>
      </c>
      <c r="H227" s="4" t="s">
        <v>322</v>
      </c>
      <c r="I227" s="4" t="str">
        <f t="shared" ca="1" si="3"/>
        <v/>
      </c>
      <c r="J227" s="4"/>
      <c r="K227" s="4"/>
      <c r="L227" s="5" t="s">
        <v>67</v>
      </c>
      <c r="M227" s="4"/>
    </row>
    <row r="228" spans="1:13" ht="75" customHeight="1" x14ac:dyDescent="0.25">
      <c r="A228" s="4" t="s">
        <v>323</v>
      </c>
      <c r="B228" s="4" t="s">
        <v>35</v>
      </c>
      <c r="C228" s="4" t="s">
        <v>97</v>
      </c>
      <c r="D228" s="4" t="s">
        <v>127</v>
      </c>
      <c r="E228" s="4" t="s">
        <v>128</v>
      </c>
      <c r="F228" s="4" t="s">
        <v>324</v>
      </c>
      <c r="G228" s="11" t="s">
        <v>113</v>
      </c>
      <c r="H228" s="4" t="s">
        <v>325</v>
      </c>
      <c r="I228" s="4" t="str">
        <f t="shared" ca="1" si="3"/>
        <v/>
      </c>
      <c r="J228" s="4"/>
      <c r="K228" s="4"/>
      <c r="L228" s="4" t="s">
        <v>131</v>
      </c>
      <c r="M228" s="4"/>
    </row>
    <row r="229" spans="1:13" ht="60" customHeight="1" x14ac:dyDescent="0.25">
      <c r="A229" s="4" t="s">
        <v>326</v>
      </c>
      <c r="B229" s="4" t="s">
        <v>35</v>
      </c>
      <c r="C229" s="4" t="s">
        <v>97</v>
      </c>
      <c r="D229" s="4" t="s">
        <v>327</v>
      </c>
      <c r="E229" s="4" t="s">
        <v>328</v>
      </c>
      <c r="F229" s="4" t="s">
        <v>329</v>
      </c>
      <c r="G229" s="11" t="s">
        <v>113</v>
      </c>
      <c r="H229" s="4" t="s">
        <v>330</v>
      </c>
      <c r="I229" s="4" t="str">
        <f t="shared" ca="1" si="3"/>
        <v/>
      </c>
      <c r="J229" s="4"/>
      <c r="K229" s="4"/>
      <c r="L229" s="4" t="s">
        <v>131</v>
      </c>
      <c r="M229" s="4"/>
    </row>
    <row r="230" spans="1:13" ht="60" customHeight="1" x14ac:dyDescent="0.25">
      <c r="A230" s="4" t="s">
        <v>331</v>
      </c>
      <c r="B230" s="4" t="s">
        <v>35</v>
      </c>
      <c r="C230" s="4" t="s">
        <v>133</v>
      </c>
      <c r="D230" s="4" t="s">
        <v>332</v>
      </c>
      <c r="E230" s="4" t="s">
        <v>333</v>
      </c>
      <c r="F230" s="4" t="s">
        <v>334</v>
      </c>
      <c r="G230" s="11" t="s">
        <v>155</v>
      </c>
      <c r="H230" s="4" t="s">
        <v>335</v>
      </c>
      <c r="I230" s="4" t="str">
        <f t="shared" ca="1" si="3"/>
        <v/>
      </c>
      <c r="J230" s="4"/>
      <c r="K230" s="4"/>
      <c r="L230" s="4" t="s">
        <v>131</v>
      </c>
      <c r="M230" s="4"/>
    </row>
    <row r="231" spans="1:13" ht="75" customHeight="1" x14ac:dyDescent="0.25">
      <c r="A231" s="4" t="s">
        <v>336</v>
      </c>
      <c r="B231" s="4" t="s">
        <v>35</v>
      </c>
      <c r="C231" s="4" t="s">
        <v>133</v>
      </c>
      <c r="D231" s="4" t="s">
        <v>337</v>
      </c>
      <c r="E231" s="4" t="s">
        <v>338</v>
      </c>
      <c r="F231" s="4" t="s">
        <v>339</v>
      </c>
      <c r="G231" s="11" t="s">
        <v>155</v>
      </c>
      <c r="H231" s="4" t="s">
        <v>340</v>
      </c>
      <c r="I231" s="4" t="str">
        <f t="shared" ca="1" si="3"/>
        <v/>
      </c>
      <c r="J231" s="4"/>
      <c r="K231" s="4"/>
      <c r="L231" s="4" t="s">
        <v>131</v>
      </c>
      <c r="M231" s="4"/>
    </row>
    <row r="232" spans="1:13" ht="60" customHeight="1" x14ac:dyDescent="0.25">
      <c r="A232" s="4" t="s">
        <v>341</v>
      </c>
      <c r="B232" s="4" t="s">
        <v>35</v>
      </c>
      <c r="C232" s="4" t="s">
        <v>133</v>
      </c>
      <c r="D232" s="4" t="s">
        <v>342</v>
      </c>
      <c r="E232" s="4" t="s">
        <v>343</v>
      </c>
      <c r="F232" s="4" t="s">
        <v>344</v>
      </c>
      <c r="G232" s="11" t="s">
        <v>155</v>
      </c>
      <c r="H232" s="4" t="s">
        <v>345</v>
      </c>
      <c r="I232" s="4" t="str">
        <f t="shared" ca="1" si="3"/>
        <v/>
      </c>
      <c r="J232" s="4"/>
      <c r="K232" s="4"/>
      <c r="L232" s="4" t="s">
        <v>131</v>
      </c>
      <c r="M232" s="4"/>
    </row>
    <row r="233" spans="1:13" ht="75" customHeight="1" x14ac:dyDescent="0.25">
      <c r="A233" s="4" t="s">
        <v>346</v>
      </c>
      <c r="B233" s="4" t="s">
        <v>35</v>
      </c>
      <c r="C233" s="4" t="s">
        <v>133</v>
      </c>
      <c r="D233" s="4" t="s">
        <v>347</v>
      </c>
      <c r="E233" s="4" t="s">
        <v>348</v>
      </c>
      <c r="F233" s="4" t="s">
        <v>349</v>
      </c>
      <c r="G233" s="11" t="s">
        <v>155</v>
      </c>
      <c r="H233" s="4" t="s">
        <v>350</v>
      </c>
      <c r="I233" s="4" t="str">
        <f t="shared" ca="1" si="3"/>
        <v/>
      </c>
      <c r="J233" s="4"/>
      <c r="K233" s="4"/>
      <c r="L233" s="4" t="s">
        <v>131</v>
      </c>
      <c r="M233" s="4"/>
    </row>
    <row r="234" spans="1:13" ht="60" customHeight="1" x14ac:dyDescent="0.25">
      <c r="A234" s="4" t="s">
        <v>351</v>
      </c>
      <c r="B234" s="4" t="s">
        <v>35</v>
      </c>
      <c r="C234" s="4" t="s">
        <v>133</v>
      </c>
      <c r="D234" s="4" t="s">
        <v>352</v>
      </c>
      <c r="E234" s="4" t="s">
        <v>353</v>
      </c>
      <c r="F234" s="4" t="s">
        <v>354</v>
      </c>
      <c r="G234" s="11" t="s">
        <v>155</v>
      </c>
      <c r="H234" s="4" t="s">
        <v>355</v>
      </c>
      <c r="I234" s="4" t="str">
        <f t="shared" ca="1" si="3"/>
        <v/>
      </c>
      <c r="J234" s="4"/>
      <c r="K234" s="4"/>
      <c r="L234" s="4" t="s">
        <v>131</v>
      </c>
      <c r="M234" s="4"/>
    </row>
    <row r="235" spans="1:13" ht="75" customHeight="1" x14ac:dyDescent="0.25">
      <c r="A235" s="4" t="s">
        <v>356</v>
      </c>
      <c r="B235" s="4" t="s">
        <v>35</v>
      </c>
      <c r="C235" s="4" t="s">
        <v>133</v>
      </c>
      <c r="D235" s="4" t="s">
        <v>357</v>
      </c>
      <c r="E235" s="4" t="s">
        <v>358</v>
      </c>
      <c r="F235" s="4" t="s">
        <v>359</v>
      </c>
      <c r="G235" s="11" t="s">
        <v>137</v>
      </c>
      <c r="H235" s="4" t="s">
        <v>360</v>
      </c>
      <c r="I235" s="4" t="str">
        <f t="shared" ca="1" si="3"/>
        <v/>
      </c>
      <c r="J235" s="4"/>
      <c r="K235" s="4"/>
      <c r="L235" s="6" t="s">
        <v>95</v>
      </c>
      <c r="M235" s="4"/>
    </row>
    <row r="236" spans="1:13" ht="60" customHeight="1" x14ac:dyDescent="0.25">
      <c r="A236" s="4" t="s">
        <v>361</v>
      </c>
      <c r="B236" s="4" t="s">
        <v>35</v>
      </c>
      <c r="C236" s="4" t="s">
        <v>133</v>
      </c>
      <c r="D236" s="4" t="s">
        <v>362</v>
      </c>
      <c r="E236" s="4" t="s">
        <v>363</v>
      </c>
      <c r="F236" s="4" t="s">
        <v>364</v>
      </c>
      <c r="G236" s="11" t="s">
        <v>155</v>
      </c>
      <c r="H236" s="4" t="s">
        <v>365</v>
      </c>
      <c r="I236" s="4" t="str">
        <f t="shared" ca="1" si="3"/>
        <v/>
      </c>
      <c r="J236" s="4"/>
      <c r="K236" s="4"/>
      <c r="L236" s="4" t="s">
        <v>131</v>
      </c>
      <c r="M236" s="4"/>
    </row>
    <row r="237" spans="1:13" ht="75" customHeight="1" x14ac:dyDescent="0.25">
      <c r="A237" s="4" t="s">
        <v>366</v>
      </c>
      <c r="B237" s="4" t="s">
        <v>35</v>
      </c>
      <c r="C237" s="4" t="s">
        <v>133</v>
      </c>
      <c r="D237" s="4" t="s">
        <v>367</v>
      </c>
      <c r="E237" s="4" t="s">
        <v>368</v>
      </c>
      <c r="F237" s="4" t="s">
        <v>369</v>
      </c>
      <c r="G237" s="11" t="s">
        <v>155</v>
      </c>
      <c r="H237" s="4" t="s">
        <v>370</v>
      </c>
      <c r="I237" s="4" t="str">
        <f t="shared" ca="1" si="3"/>
        <v/>
      </c>
      <c r="J237" s="4"/>
      <c r="K237" s="4"/>
      <c r="L237" s="4" t="s">
        <v>131</v>
      </c>
      <c r="M237" s="4"/>
    </row>
    <row r="238" spans="1:13" ht="75" customHeight="1" x14ac:dyDescent="0.25">
      <c r="A238" s="4" t="s">
        <v>371</v>
      </c>
      <c r="B238" s="4" t="s">
        <v>35</v>
      </c>
      <c r="C238" s="4" t="s">
        <v>173</v>
      </c>
      <c r="D238" s="4" t="s">
        <v>372</v>
      </c>
      <c r="E238" s="4" t="s">
        <v>373</v>
      </c>
      <c r="F238" s="4" t="s">
        <v>374</v>
      </c>
      <c r="G238" s="11" t="s">
        <v>177</v>
      </c>
      <c r="H238" s="4" t="s">
        <v>375</v>
      </c>
      <c r="I238" s="4" t="str">
        <f t="shared" ca="1" si="3"/>
        <v/>
      </c>
      <c r="J238" s="4"/>
      <c r="K238" s="4"/>
      <c r="L238" s="4" t="s">
        <v>131</v>
      </c>
      <c r="M238" s="4"/>
    </row>
    <row r="239" spans="1:13" ht="75" customHeight="1" x14ac:dyDescent="0.25">
      <c r="A239" s="4" t="s">
        <v>376</v>
      </c>
      <c r="B239" s="4" t="s">
        <v>35</v>
      </c>
      <c r="C239" s="4" t="s">
        <v>173</v>
      </c>
      <c r="D239" s="4" t="s">
        <v>377</v>
      </c>
      <c r="E239" s="4" t="s">
        <v>378</v>
      </c>
      <c r="F239" s="4" t="s">
        <v>379</v>
      </c>
      <c r="G239" s="11" t="s">
        <v>177</v>
      </c>
      <c r="H239" s="4" t="s">
        <v>380</v>
      </c>
      <c r="I239" s="4" t="str">
        <f t="shared" ca="1" si="3"/>
        <v/>
      </c>
      <c r="J239" s="4"/>
      <c r="K239" s="4"/>
      <c r="L239" s="6" t="s">
        <v>95</v>
      </c>
      <c r="M239" s="4"/>
    </row>
    <row r="240" spans="1:13" ht="75" customHeight="1" x14ac:dyDescent="0.25">
      <c r="A240" s="4" t="s">
        <v>381</v>
      </c>
      <c r="B240" s="4" t="s">
        <v>35</v>
      </c>
      <c r="C240" s="4" t="s">
        <v>173</v>
      </c>
      <c r="D240" s="4" t="s">
        <v>382</v>
      </c>
      <c r="E240" s="4" t="s">
        <v>383</v>
      </c>
      <c r="F240" s="4" t="s">
        <v>384</v>
      </c>
      <c r="G240" s="11" t="s">
        <v>385</v>
      </c>
      <c r="H240" s="4" t="s">
        <v>386</v>
      </c>
      <c r="I240" s="4" t="str">
        <f t="shared" ca="1" si="3"/>
        <v/>
      </c>
      <c r="J240" s="4"/>
      <c r="K240" s="4"/>
      <c r="L240" s="6" t="s">
        <v>95</v>
      </c>
      <c r="M240" s="4"/>
    </row>
    <row r="241" spans="1:13" ht="90" customHeight="1" x14ac:dyDescent="0.25">
      <c r="A241" s="4" t="s">
        <v>387</v>
      </c>
      <c r="B241" s="4" t="s">
        <v>35</v>
      </c>
      <c r="C241" s="4" t="s">
        <v>173</v>
      </c>
      <c r="D241" s="4" t="s">
        <v>388</v>
      </c>
      <c r="E241" s="4" t="s">
        <v>389</v>
      </c>
      <c r="F241" s="4" t="s">
        <v>390</v>
      </c>
      <c r="G241" s="11" t="s">
        <v>385</v>
      </c>
      <c r="H241" s="4" t="s">
        <v>391</v>
      </c>
      <c r="I241" s="4" t="str">
        <f t="shared" ca="1" si="3"/>
        <v/>
      </c>
      <c r="J241" s="4"/>
      <c r="K241" s="4"/>
      <c r="L241" s="6" t="s">
        <v>95</v>
      </c>
      <c r="M241" s="4"/>
    </row>
    <row r="242" spans="1:13" ht="75" customHeight="1" x14ac:dyDescent="0.25">
      <c r="A242" s="4" t="s">
        <v>392</v>
      </c>
      <c r="B242" s="4" t="s">
        <v>35</v>
      </c>
      <c r="C242" s="4" t="s">
        <v>173</v>
      </c>
      <c r="D242" s="4" t="s">
        <v>393</v>
      </c>
      <c r="E242" s="4" t="s">
        <v>394</v>
      </c>
      <c r="F242" s="4" t="s">
        <v>395</v>
      </c>
      <c r="G242" s="11" t="s">
        <v>385</v>
      </c>
      <c r="H242" s="4" t="s">
        <v>396</v>
      </c>
      <c r="I242" s="4" t="str">
        <f t="shared" ca="1" si="3"/>
        <v/>
      </c>
      <c r="J242" s="4"/>
      <c r="K242" s="4"/>
      <c r="L242" s="4" t="s">
        <v>131</v>
      </c>
      <c r="M242" s="4"/>
    </row>
    <row r="243" spans="1:13" ht="90" customHeight="1" x14ac:dyDescent="0.25">
      <c r="A243" s="4" t="s">
        <v>397</v>
      </c>
      <c r="B243" s="4" t="s">
        <v>35</v>
      </c>
      <c r="C243" s="4" t="s">
        <v>173</v>
      </c>
      <c r="D243" s="4" t="s">
        <v>398</v>
      </c>
      <c r="E243" s="4" t="s">
        <v>399</v>
      </c>
      <c r="F243" s="4" t="s">
        <v>400</v>
      </c>
      <c r="G243" s="11" t="s">
        <v>385</v>
      </c>
      <c r="H243" s="4" t="s">
        <v>401</v>
      </c>
      <c r="I243" s="4" t="str">
        <f t="shared" ca="1" si="3"/>
        <v/>
      </c>
      <c r="J243" s="4"/>
      <c r="K243" s="4"/>
      <c r="L243" s="4" t="s">
        <v>131</v>
      </c>
      <c r="M243" s="4"/>
    </row>
    <row r="244" spans="1:13" ht="90" customHeight="1" x14ac:dyDescent="0.25">
      <c r="A244" s="4" t="s">
        <v>402</v>
      </c>
      <c r="B244" s="4" t="s">
        <v>35</v>
      </c>
      <c r="C244" s="4" t="s">
        <v>193</v>
      </c>
      <c r="D244" s="4" t="s">
        <v>403</v>
      </c>
      <c r="E244" s="4" t="s">
        <v>404</v>
      </c>
      <c r="F244" s="4" t="s">
        <v>405</v>
      </c>
      <c r="G244" s="11" t="s">
        <v>214</v>
      </c>
      <c r="H244" s="4" t="s">
        <v>406</v>
      </c>
      <c r="I244" s="4" t="str">
        <f t="shared" ca="1" si="3"/>
        <v/>
      </c>
      <c r="J244" s="4"/>
      <c r="K244" s="4"/>
      <c r="L244" s="5" t="s">
        <v>67</v>
      </c>
      <c r="M244" s="4"/>
    </row>
    <row r="245" spans="1:13" ht="75" customHeight="1" x14ac:dyDescent="0.25">
      <c r="A245" s="4" t="s">
        <v>407</v>
      </c>
      <c r="B245" s="4" t="s">
        <v>35</v>
      </c>
      <c r="C245" s="4" t="s">
        <v>193</v>
      </c>
      <c r="D245" s="4" t="s">
        <v>408</v>
      </c>
      <c r="E245" s="4" t="s">
        <v>409</v>
      </c>
      <c r="F245" s="4" t="s">
        <v>410</v>
      </c>
      <c r="G245" s="11" t="s">
        <v>214</v>
      </c>
      <c r="H245" s="4" t="s">
        <v>411</v>
      </c>
      <c r="I245" s="4" t="str">
        <f t="shared" ca="1" si="3"/>
        <v/>
      </c>
      <c r="J245" s="4"/>
      <c r="K245" s="4"/>
      <c r="L245" s="4" t="s">
        <v>131</v>
      </c>
      <c r="M245" s="4"/>
    </row>
    <row r="246" spans="1:13" ht="75" customHeight="1" x14ac:dyDescent="0.25">
      <c r="A246" s="4" t="s">
        <v>412</v>
      </c>
      <c r="B246" s="4" t="s">
        <v>35</v>
      </c>
      <c r="C246" s="4" t="s">
        <v>193</v>
      </c>
      <c r="D246" s="4" t="s">
        <v>413</v>
      </c>
      <c r="E246" s="4" t="s">
        <v>414</v>
      </c>
      <c r="F246" s="4" t="s">
        <v>415</v>
      </c>
      <c r="G246" s="11" t="s">
        <v>214</v>
      </c>
      <c r="H246" s="4" t="s">
        <v>416</v>
      </c>
      <c r="I246" s="4" t="str">
        <f t="shared" ca="1" si="3"/>
        <v/>
      </c>
      <c r="J246" s="4"/>
      <c r="K246" s="4"/>
      <c r="L246" s="4" t="s">
        <v>131</v>
      </c>
      <c r="M246" s="4"/>
    </row>
    <row r="247" spans="1:13" ht="75" customHeight="1" x14ac:dyDescent="0.25">
      <c r="A247" s="4" t="s">
        <v>417</v>
      </c>
      <c r="B247" s="4" t="s">
        <v>35</v>
      </c>
      <c r="C247" s="4" t="s">
        <v>193</v>
      </c>
      <c r="D247" s="4" t="s">
        <v>418</v>
      </c>
      <c r="E247" s="4" t="s">
        <v>419</v>
      </c>
      <c r="F247" s="4" t="s">
        <v>420</v>
      </c>
      <c r="G247" s="11" t="s">
        <v>214</v>
      </c>
      <c r="H247" s="4" t="s">
        <v>421</v>
      </c>
      <c r="I247" s="4" t="str">
        <f t="shared" ca="1" si="3"/>
        <v/>
      </c>
      <c r="J247" s="4"/>
      <c r="K247" s="4"/>
      <c r="L247" s="4" t="s">
        <v>131</v>
      </c>
      <c r="M247" s="4"/>
    </row>
    <row r="248" spans="1:13" ht="75" customHeight="1" x14ac:dyDescent="0.25">
      <c r="A248" s="4" t="s">
        <v>422</v>
      </c>
      <c r="B248" s="4" t="s">
        <v>35</v>
      </c>
      <c r="C248" s="4" t="s">
        <v>193</v>
      </c>
      <c r="D248" s="4" t="s">
        <v>423</v>
      </c>
      <c r="E248" s="4" t="s">
        <v>424</v>
      </c>
      <c r="F248" s="4" t="s">
        <v>425</v>
      </c>
      <c r="G248" s="11" t="s">
        <v>214</v>
      </c>
      <c r="H248" s="4" t="s">
        <v>426</v>
      </c>
      <c r="I248" s="4" t="str">
        <f t="shared" ca="1" si="3"/>
        <v/>
      </c>
      <c r="J248" s="4"/>
      <c r="K248" s="4"/>
      <c r="L248" s="6" t="s">
        <v>95</v>
      </c>
      <c r="M248" s="4"/>
    </row>
    <row r="249" spans="1:13" ht="90" customHeight="1" x14ac:dyDescent="0.25">
      <c r="A249" s="4" t="s">
        <v>427</v>
      </c>
      <c r="B249" s="4" t="s">
        <v>35</v>
      </c>
      <c r="C249" s="4" t="s">
        <v>193</v>
      </c>
      <c r="D249" s="4" t="s">
        <v>428</v>
      </c>
      <c r="E249" s="4" t="s">
        <v>429</v>
      </c>
      <c r="F249" s="4" t="s">
        <v>430</v>
      </c>
      <c r="G249" s="11" t="s">
        <v>214</v>
      </c>
      <c r="H249" s="4" t="s">
        <v>431</v>
      </c>
      <c r="I249" s="4" t="str">
        <f t="shared" ca="1" si="3"/>
        <v/>
      </c>
      <c r="J249" s="4"/>
      <c r="K249" s="4"/>
      <c r="L249" s="4" t="s">
        <v>131</v>
      </c>
      <c r="M249" s="4"/>
    </row>
    <row r="250" spans="1:13" ht="90" customHeight="1" x14ac:dyDescent="0.25">
      <c r="A250" s="4" t="s">
        <v>432</v>
      </c>
      <c r="B250" s="4" t="s">
        <v>35</v>
      </c>
      <c r="C250" s="4" t="s">
        <v>193</v>
      </c>
      <c r="D250" s="4" t="s">
        <v>433</v>
      </c>
      <c r="E250" s="4" t="s">
        <v>434</v>
      </c>
      <c r="F250" s="4" t="s">
        <v>435</v>
      </c>
      <c r="G250" s="11" t="s">
        <v>436</v>
      </c>
      <c r="H250" s="4" t="s">
        <v>437</v>
      </c>
      <c r="I250" s="4" t="str">
        <f t="shared" ca="1" si="3"/>
        <v/>
      </c>
      <c r="J250" s="4"/>
      <c r="K250" s="4"/>
      <c r="L250" s="4" t="s">
        <v>131</v>
      </c>
      <c r="M250" s="4"/>
    </row>
    <row r="251" spans="1:13" ht="60" customHeight="1" x14ac:dyDescent="0.25">
      <c r="A251" s="4" t="s">
        <v>438</v>
      </c>
      <c r="B251" s="4" t="s">
        <v>35</v>
      </c>
      <c r="C251" s="4" t="s">
        <v>193</v>
      </c>
      <c r="D251" s="4" t="s">
        <v>439</v>
      </c>
      <c r="E251" s="4" t="s">
        <v>439</v>
      </c>
      <c r="F251" s="4" t="s">
        <v>440</v>
      </c>
      <c r="G251" s="11" t="s">
        <v>214</v>
      </c>
      <c r="H251" s="4" t="s">
        <v>441</v>
      </c>
      <c r="I251" s="4" t="str">
        <f t="shared" ca="1" si="3"/>
        <v/>
      </c>
      <c r="J251" s="4"/>
      <c r="K251" s="4"/>
      <c r="L251" s="4" t="s">
        <v>131</v>
      </c>
      <c r="M251" s="4"/>
    </row>
    <row r="252" spans="1:13" ht="75" customHeight="1" x14ac:dyDescent="0.25">
      <c r="A252" s="4" t="s">
        <v>442</v>
      </c>
      <c r="B252" s="4" t="s">
        <v>35</v>
      </c>
      <c r="C252" s="4" t="s">
        <v>443</v>
      </c>
      <c r="D252" s="4" t="s">
        <v>444</v>
      </c>
      <c r="E252" s="4" t="s">
        <v>445</v>
      </c>
      <c r="F252" s="4" t="s">
        <v>446</v>
      </c>
      <c r="G252" s="11" t="s">
        <v>447</v>
      </c>
      <c r="H252" s="4" t="s">
        <v>448</v>
      </c>
      <c r="I252" s="4" t="str">
        <f t="shared" ca="1" si="3"/>
        <v/>
      </c>
      <c r="J252" s="4"/>
      <c r="K252" s="4"/>
      <c r="L252" s="6" t="s">
        <v>95</v>
      </c>
      <c r="M252" s="4"/>
    </row>
    <row r="253" spans="1:13" ht="75" customHeight="1" x14ac:dyDescent="0.25">
      <c r="A253" s="4" t="s">
        <v>449</v>
      </c>
      <c r="B253" s="4" t="s">
        <v>35</v>
      </c>
      <c r="C253" s="4" t="s">
        <v>443</v>
      </c>
      <c r="D253" s="4" t="s">
        <v>450</v>
      </c>
      <c r="E253" s="4" t="s">
        <v>451</v>
      </c>
      <c r="F253" s="4" t="s">
        <v>452</v>
      </c>
      <c r="G253" s="11" t="s">
        <v>447</v>
      </c>
      <c r="H253" s="4" t="s">
        <v>453</v>
      </c>
      <c r="I253" s="4" t="str">
        <f t="shared" ca="1" si="3"/>
        <v/>
      </c>
      <c r="J253" s="4"/>
      <c r="K253" s="4"/>
      <c r="L253" s="6" t="s">
        <v>95</v>
      </c>
      <c r="M253" s="4"/>
    </row>
    <row r="254" spans="1:13" ht="60" customHeight="1" x14ac:dyDescent="0.25">
      <c r="A254" s="4" t="s">
        <v>454</v>
      </c>
      <c r="B254" s="4" t="s">
        <v>35</v>
      </c>
      <c r="C254" s="4" t="s">
        <v>443</v>
      </c>
      <c r="D254" s="4" t="s">
        <v>455</v>
      </c>
      <c r="E254" s="4" t="s">
        <v>456</v>
      </c>
      <c r="F254" s="4" t="s">
        <v>457</v>
      </c>
      <c r="G254" s="11" t="s">
        <v>447</v>
      </c>
      <c r="H254" s="4" t="s">
        <v>458</v>
      </c>
      <c r="I254" s="4" t="str">
        <f t="shared" ca="1" si="3"/>
        <v/>
      </c>
      <c r="J254" s="4"/>
      <c r="K254" s="4"/>
      <c r="L254" s="6" t="s">
        <v>95</v>
      </c>
      <c r="M254" s="4"/>
    </row>
    <row r="255" spans="1:13" ht="75" customHeight="1" x14ac:dyDescent="0.25">
      <c r="A255" s="4" t="s">
        <v>459</v>
      </c>
      <c r="B255" s="4" t="s">
        <v>35</v>
      </c>
      <c r="C255" s="4" t="s">
        <v>460</v>
      </c>
      <c r="D255" s="4" t="s">
        <v>461</v>
      </c>
      <c r="E255" s="4" t="s">
        <v>462</v>
      </c>
      <c r="F255" s="4" t="s">
        <v>463</v>
      </c>
      <c r="G255" s="11" t="s">
        <v>464</v>
      </c>
      <c r="H255" s="4" t="s">
        <v>465</v>
      </c>
      <c r="I255" s="4" t="str">
        <f t="shared" ca="1" si="3"/>
        <v/>
      </c>
      <c r="J255" s="4"/>
      <c r="K255" s="4"/>
      <c r="L255" s="5" t="s">
        <v>67</v>
      </c>
      <c r="M255" s="4"/>
    </row>
    <row r="256" spans="1:13" ht="60" customHeight="1" x14ac:dyDescent="0.25">
      <c r="A256" s="4" t="s">
        <v>466</v>
      </c>
      <c r="B256" s="4" t="s">
        <v>35</v>
      </c>
      <c r="C256" s="4" t="s">
        <v>460</v>
      </c>
      <c r="D256" s="4" t="s">
        <v>467</v>
      </c>
      <c r="E256" s="4" t="s">
        <v>468</v>
      </c>
      <c r="F256" s="4" t="s">
        <v>469</v>
      </c>
      <c r="G256" s="11" t="s">
        <v>464</v>
      </c>
      <c r="H256" s="4" t="s">
        <v>470</v>
      </c>
      <c r="I256" s="4" t="str">
        <f t="shared" ca="1" si="3"/>
        <v/>
      </c>
      <c r="J256" s="4"/>
      <c r="K256" s="4"/>
      <c r="L256" s="4" t="s">
        <v>131</v>
      </c>
      <c r="M256" s="4"/>
    </row>
    <row r="257" spans="1:13" ht="60" customHeight="1" x14ac:dyDescent="0.25">
      <c r="A257" s="4" t="s">
        <v>471</v>
      </c>
      <c r="B257" s="4" t="s">
        <v>35</v>
      </c>
      <c r="C257" s="4" t="s">
        <v>460</v>
      </c>
      <c r="D257" s="4" t="s">
        <v>472</v>
      </c>
      <c r="E257" s="4" t="s">
        <v>473</v>
      </c>
      <c r="F257" s="4" t="s">
        <v>474</v>
      </c>
      <c r="G257" s="11" t="s">
        <v>464</v>
      </c>
      <c r="H257" s="4" t="s">
        <v>475</v>
      </c>
      <c r="I257" s="4" t="str">
        <f t="shared" ca="1" si="3"/>
        <v/>
      </c>
      <c r="J257" s="4"/>
      <c r="K257" s="4"/>
      <c r="L257" s="6" t="s">
        <v>95</v>
      </c>
      <c r="M257" s="4"/>
    </row>
    <row r="258" spans="1:13" ht="75" customHeight="1" x14ac:dyDescent="0.25">
      <c r="A258" s="4" t="s">
        <v>509</v>
      </c>
      <c r="B258" s="4" t="s">
        <v>39</v>
      </c>
      <c r="C258" s="4" t="s">
        <v>1016</v>
      </c>
      <c r="D258" s="4" t="s">
        <v>1033</v>
      </c>
      <c r="E258" s="4" t="s">
        <v>1018</v>
      </c>
      <c r="F258" s="4" t="s">
        <v>1034</v>
      </c>
      <c r="G258" s="11" t="s">
        <v>1020</v>
      </c>
      <c r="H258" s="4" t="s">
        <v>1035</v>
      </c>
      <c r="I258" s="4" t="str">
        <f t="shared" ref="I258:I321" ca="1" si="4">IF(I258="","",IF(I258=G258,"PASS","FAIL"))</f>
        <v/>
      </c>
      <c r="J258" s="4"/>
      <c r="K258" s="4"/>
      <c r="L258" s="6" t="s">
        <v>95</v>
      </c>
      <c r="M258" s="4"/>
    </row>
    <row r="259" spans="1:13" ht="90" customHeight="1" x14ac:dyDescent="0.25">
      <c r="A259" s="4" t="s">
        <v>513</v>
      </c>
      <c r="B259" s="4" t="s">
        <v>39</v>
      </c>
      <c r="C259" s="4" t="s">
        <v>1016</v>
      </c>
      <c r="D259" s="4" t="s">
        <v>1023</v>
      </c>
      <c r="E259" s="4" t="s">
        <v>1024</v>
      </c>
      <c r="F259" s="4" t="s">
        <v>1036</v>
      </c>
      <c r="G259" s="11" t="s">
        <v>1026</v>
      </c>
      <c r="H259" s="4" t="s">
        <v>1037</v>
      </c>
      <c r="I259" s="4" t="str">
        <f t="shared" ca="1" si="4"/>
        <v/>
      </c>
      <c r="J259" s="4"/>
      <c r="K259" s="4"/>
      <c r="L259" s="6" t="s">
        <v>95</v>
      </c>
      <c r="M259" s="4"/>
    </row>
    <row r="260" spans="1:13" ht="60" customHeight="1" x14ac:dyDescent="0.25">
      <c r="A260" s="4" t="s">
        <v>517</v>
      </c>
      <c r="B260" s="4" t="s">
        <v>39</v>
      </c>
      <c r="C260" s="4" t="s">
        <v>1016</v>
      </c>
      <c r="D260" s="4" t="s">
        <v>1038</v>
      </c>
      <c r="E260" s="4" t="s">
        <v>1039</v>
      </c>
      <c r="F260" s="4" t="s">
        <v>1040</v>
      </c>
      <c r="G260" s="11" t="s">
        <v>1041</v>
      </c>
      <c r="H260" s="4" t="s">
        <v>1042</v>
      </c>
      <c r="I260" s="4" t="str">
        <f t="shared" ca="1" si="4"/>
        <v/>
      </c>
      <c r="J260" s="4"/>
      <c r="K260" s="4"/>
      <c r="L260" s="6" t="s">
        <v>95</v>
      </c>
      <c r="M260" s="4"/>
    </row>
    <row r="261" spans="1:13" ht="75" customHeight="1" x14ac:dyDescent="0.25">
      <c r="A261" s="4" t="s">
        <v>520</v>
      </c>
      <c r="B261" s="4" t="s">
        <v>39</v>
      </c>
      <c r="C261" s="4" t="s">
        <v>1043</v>
      </c>
      <c r="D261" s="4" t="s">
        <v>1044</v>
      </c>
      <c r="E261" s="4" t="s">
        <v>1007</v>
      </c>
      <c r="F261" s="4" t="s">
        <v>1045</v>
      </c>
      <c r="G261" s="11" t="s">
        <v>1046</v>
      </c>
      <c r="H261" s="4" t="s">
        <v>1047</v>
      </c>
      <c r="I261" s="4" t="str">
        <f t="shared" ca="1" si="4"/>
        <v/>
      </c>
      <c r="J261" s="4"/>
      <c r="K261" s="4"/>
      <c r="L261" s="6" t="s">
        <v>95</v>
      </c>
      <c r="M261" s="4"/>
    </row>
    <row r="262" spans="1:13" ht="45" customHeight="1" x14ac:dyDescent="0.25">
      <c r="A262" s="4" t="s">
        <v>1048</v>
      </c>
      <c r="B262" s="4" t="s">
        <v>39</v>
      </c>
      <c r="C262" s="4" t="s">
        <v>1043</v>
      </c>
      <c r="D262" s="4" t="s">
        <v>1049</v>
      </c>
      <c r="E262" s="4" t="s">
        <v>1050</v>
      </c>
      <c r="F262" s="4" t="s">
        <v>1051</v>
      </c>
      <c r="G262" s="11" t="s">
        <v>1052</v>
      </c>
      <c r="H262" s="4" t="s">
        <v>1053</v>
      </c>
      <c r="I262" s="4" t="str">
        <f t="shared" ca="1" si="4"/>
        <v/>
      </c>
      <c r="J262" s="4"/>
      <c r="K262" s="4"/>
      <c r="L262" s="4" t="s">
        <v>131</v>
      </c>
      <c r="M262" s="4"/>
    </row>
    <row r="263" spans="1:13" ht="60" customHeight="1" x14ac:dyDescent="0.25">
      <c r="A263" s="4" t="s">
        <v>1054</v>
      </c>
      <c r="B263" s="4" t="s">
        <v>39</v>
      </c>
      <c r="C263" s="4" t="s">
        <v>1043</v>
      </c>
      <c r="D263" s="4" t="s">
        <v>1055</v>
      </c>
      <c r="E263" s="4" t="s">
        <v>1056</v>
      </c>
      <c r="F263" s="4" t="s">
        <v>1057</v>
      </c>
      <c r="G263" s="11" t="s">
        <v>1052</v>
      </c>
      <c r="H263" s="4" t="s">
        <v>1058</v>
      </c>
      <c r="I263" s="4" t="str">
        <f t="shared" ca="1" si="4"/>
        <v/>
      </c>
      <c r="J263" s="4"/>
      <c r="K263" s="4"/>
      <c r="L263" s="6" t="s">
        <v>95</v>
      </c>
      <c r="M263" s="4"/>
    </row>
    <row r="264" spans="1:13" ht="120" customHeight="1" x14ac:dyDescent="0.25">
      <c r="A264" s="4" t="s">
        <v>1059</v>
      </c>
      <c r="B264" s="4" t="s">
        <v>39</v>
      </c>
      <c r="C264" s="4" t="s">
        <v>1043</v>
      </c>
      <c r="D264" s="4" t="s">
        <v>1060</v>
      </c>
      <c r="E264" s="4" t="s">
        <v>1061</v>
      </c>
      <c r="F264" s="4" t="s">
        <v>1062</v>
      </c>
      <c r="G264" s="11" t="s">
        <v>1046</v>
      </c>
      <c r="H264" s="4" t="s">
        <v>1063</v>
      </c>
      <c r="I264" s="4" t="str">
        <f t="shared" ca="1" si="4"/>
        <v/>
      </c>
      <c r="J264" s="4"/>
      <c r="K264" s="4"/>
      <c r="L264" s="4" t="s">
        <v>131</v>
      </c>
      <c r="M264" s="4"/>
    </row>
    <row r="265" spans="1:13" ht="60" customHeight="1" x14ac:dyDescent="0.25">
      <c r="A265" s="4" t="s">
        <v>1064</v>
      </c>
      <c r="B265" s="4" t="s">
        <v>39</v>
      </c>
      <c r="C265" s="4" t="s">
        <v>1043</v>
      </c>
      <c r="D265" s="4" t="s">
        <v>1065</v>
      </c>
      <c r="E265" s="4" t="s">
        <v>1066</v>
      </c>
      <c r="F265" s="4" t="s">
        <v>1067</v>
      </c>
      <c r="G265" s="11" t="s">
        <v>1052</v>
      </c>
      <c r="H265" s="4" t="s">
        <v>1068</v>
      </c>
      <c r="I265" s="4" t="str">
        <f t="shared" ca="1" si="4"/>
        <v/>
      </c>
      <c r="J265" s="4"/>
      <c r="K265" s="4"/>
      <c r="L265" s="6" t="s">
        <v>95</v>
      </c>
      <c r="M265" s="4"/>
    </row>
    <row r="266" spans="1:13" ht="60" customHeight="1" x14ac:dyDescent="0.25">
      <c r="A266" s="4" t="s">
        <v>1069</v>
      </c>
      <c r="B266" s="4" t="s">
        <v>39</v>
      </c>
      <c r="C266" s="4" t="s">
        <v>898</v>
      </c>
      <c r="D266" s="4" t="s">
        <v>1070</v>
      </c>
      <c r="E266" s="4" t="s">
        <v>1071</v>
      </c>
      <c r="F266" s="4" t="s">
        <v>1072</v>
      </c>
      <c r="G266" s="11" t="s">
        <v>936</v>
      </c>
      <c r="H266" s="4" t="s">
        <v>1073</v>
      </c>
      <c r="I266" s="4" t="str">
        <f t="shared" ca="1" si="4"/>
        <v/>
      </c>
      <c r="J266" s="4"/>
      <c r="K266" s="4"/>
      <c r="L266" s="4" t="s">
        <v>131</v>
      </c>
      <c r="M266" s="4"/>
    </row>
    <row r="267" spans="1:13" ht="60" customHeight="1" x14ac:dyDescent="0.25">
      <c r="A267" s="4" t="s">
        <v>1074</v>
      </c>
      <c r="B267" s="4" t="s">
        <v>39</v>
      </c>
      <c r="C267" s="4" t="s">
        <v>898</v>
      </c>
      <c r="D267" s="4" t="s">
        <v>1075</v>
      </c>
      <c r="E267" s="4" t="s">
        <v>1076</v>
      </c>
      <c r="F267" s="4" t="s">
        <v>1077</v>
      </c>
      <c r="G267" s="11" t="s">
        <v>902</v>
      </c>
      <c r="H267" s="4" t="s">
        <v>1078</v>
      </c>
      <c r="I267" s="4" t="str">
        <f t="shared" ca="1" si="4"/>
        <v/>
      </c>
      <c r="J267" s="4"/>
      <c r="K267" s="4"/>
      <c r="L267" s="4" t="s">
        <v>131</v>
      </c>
      <c r="M267" s="4"/>
    </row>
    <row r="268" spans="1:13" ht="75" customHeight="1" x14ac:dyDescent="0.25">
      <c r="A268" s="4" t="s">
        <v>523</v>
      </c>
      <c r="B268" s="4" t="s">
        <v>39</v>
      </c>
      <c r="C268" s="4" t="s">
        <v>898</v>
      </c>
      <c r="D268" s="4" t="s">
        <v>1079</v>
      </c>
      <c r="E268" s="4" t="s">
        <v>1080</v>
      </c>
      <c r="F268" s="4" t="s">
        <v>1081</v>
      </c>
      <c r="G268" s="11" t="s">
        <v>902</v>
      </c>
      <c r="H268" s="4" t="s">
        <v>1082</v>
      </c>
      <c r="I268" s="4" t="str">
        <f t="shared" ca="1" si="4"/>
        <v/>
      </c>
      <c r="J268" s="4"/>
      <c r="K268" s="4"/>
      <c r="L268" s="6" t="s">
        <v>95</v>
      </c>
      <c r="M268" s="4"/>
    </row>
    <row r="269" spans="1:13" ht="75" customHeight="1" x14ac:dyDescent="0.25">
      <c r="A269" s="4" t="s">
        <v>528</v>
      </c>
      <c r="B269" s="4" t="s">
        <v>39</v>
      </c>
      <c r="C269" s="4" t="s">
        <v>898</v>
      </c>
      <c r="D269" s="4" t="s">
        <v>1083</v>
      </c>
      <c r="E269" s="4" t="s">
        <v>1084</v>
      </c>
      <c r="F269" s="4" t="s">
        <v>1085</v>
      </c>
      <c r="G269" s="11" t="s">
        <v>930</v>
      </c>
      <c r="H269" s="4" t="s">
        <v>1086</v>
      </c>
      <c r="I269" s="4" t="str">
        <f t="shared" ca="1" si="4"/>
        <v/>
      </c>
      <c r="J269" s="4"/>
      <c r="K269" s="4"/>
      <c r="L269" s="4" t="s">
        <v>131</v>
      </c>
      <c r="M269" s="4"/>
    </row>
    <row r="270" spans="1:13" ht="60" customHeight="1" x14ac:dyDescent="0.25">
      <c r="A270" s="4" t="s">
        <v>533</v>
      </c>
      <c r="B270" s="4" t="s">
        <v>39</v>
      </c>
      <c r="C270" s="4" t="s">
        <v>898</v>
      </c>
      <c r="D270" s="4" t="s">
        <v>1087</v>
      </c>
      <c r="E270" s="4" t="s">
        <v>1088</v>
      </c>
      <c r="F270" s="4" t="s">
        <v>1089</v>
      </c>
      <c r="G270" s="11" t="s">
        <v>930</v>
      </c>
      <c r="H270" s="4" t="s">
        <v>1090</v>
      </c>
      <c r="I270" s="4" t="str">
        <f t="shared" ca="1" si="4"/>
        <v/>
      </c>
      <c r="J270" s="4"/>
      <c r="K270" s="4"/>
      <c r="L270" s="6" t="s">
        <v>95</v>
      </c>
      <c r="M270" s="4"/>
    </row>
    <row r="271" spans="1:13" ht="75" customHeight="1" x14ac:dyDescent="0.25">
      <c r="A271" s="4" t="s">
        <v>538</v>
      </c>
      <c r="B271" s="4" t="s">
        <v>39</v>
      </c>
      <c r="C271" s="4" t="s">
        <v>97</v>
      </c>
      <c r="D271" s="4" t="s">
        <v>1091</v>
      </c>
      <c r="E271" s="4" t="s">
        <v>1092</v>
      </c>
      <c r="F271" s="4" t="s">
        <v>1093</v>
      </c>
      <c r="G271" s="11" t="s">
        <v>952</v>
      </c>
      <c r="H271" s="4" t="s">
        <v>1094</v>
      </c>
      <c r="I271" s="4" t="str">
        <f t="shared" ca="1" si="4"/>
        <v/>
      </c>
      <c r="J271" s="4"/>
      <c r="K271" s="4"/>
      <c r="L271" s="6" t="s">
        <v>95</v>
      </c>
      <c r="M271" s="4"/>
    </row>
    <row r="272" spans="1:13" ht="60" customHeight="1" x14ac:dyDescent="0.25">
      <c r="A272" s="4" t="s">
        <v>543</v>
      </c>
      <c r="B272" s="4" t="s">
        <v>39</v>
      </c>
      <c r="C272" s="4" t="s">
        <v>97</v>
      </c>
      <c r="D272" s="4" t="s">
        <v>1095</v>
      </c>
      <c r="E272" s="4" t="s">
        <v>1096</v>
      </c>
      <c r="F272" s="4" t="s">
        <v>1097</v>
      </c>
      <c r="G272" s="11" t="s">
        <v>952</v>
      </c>
      <c r="H272" s="4" t="s">
        <v>1098</v>
      </c>
      <c r="I272" s="4" t="str">
        <f t="shared" ca="1" si="4"/>
        <v/>
      </c>
      <c r="J272" s="4"/>
      <c r="K272" s="4"/>
      <c r="L272" s="6" t="s">
        <v>95</v>
      </c>
      <c r="M272" s="4"/>
    </row>
    <row r="273" spans="1:13" ht="75" customHeight="1" x14ac:dyDescent="0.25">
      <c r="A273" s="4" t="s">
        <v>548</v>
      </c>
      <c r="B273" s="4" t="s">
        <v>39</v>
      </c>
      <c r="C273" s="4" t="s">
        <v>97</v>
      </c>
      <c r="D273" s="4" t="s">
        <v>1099</v>
      </c>
      <c r="E273" s="4" t="s">
        <v>1100</v>
      </c>
      <c r="F273" s="4" t="s">
        <v>1101</v>
      </c>
      <c r="G273" s="11" t="s">
        <v>952</v>
      </c>
      <c r="H273" s="4" t="s">
        <v>1102</v>
      </c>
      <c r="I273" s="4" t="str">
        <f t="shared" ca="1" si="4"/>
        <v/>
      </c>
      <c r="J273" s="4"/>
      <c r="K273" s="4"/>
      <c r="L273" s="6" t="s">
        <v>95</v>
      </c>
      <c r="M273" s="4"/>
    </row>
    <row r="274" spans="1:13" ht="45" customHeight="1" x14ac:dyDescent="0.25">
      <c r="A274" s="4" t="s">
        <v>551</v>
      </c>
      <c r="B274" s="4" t="s">
        <v>39</v>
      </c>
      <c r="C274" s="4" t="s">
        <v>97</v>
      </c>
      <c r="D274" s="4" t="s">
        <v>1103</v>
      </c>
      <c r="E274" s="4" t="s">
        <v>1104</v>
      </c>
      <c r="F274" s="4" t="s">
        <v>1105</v>
      </c>
      <c r="G274" s="11" t="s">
        <v>952</v>
      </c>
      <c r="H274" s="4" t="s">
        <v>1106</v>
      </c>
      <c r="I274" s="4" t="str">
        <f t="shared" ca="1" si="4"/>
        <v/>
      </c>
      <c r="J274" s="4"/>
      <c r="K274" s="4"/>
      <c r="L274" s="4" t="s">
        <v>131</v>
      </c>
      <c r="M274" s="4"/>
    </row>
    <row r="275" spans="1:13" ht="60" customHeight="1" x14ac:dyDescent="0.25">
      <c r="A275" s="4" t="s">
        <v>1107</v>
      </c>
      <c r="B275" s="4" t="s">
        <v>39</v>
      </c>
      <c r="C275" s="4" t="s">
        <v>97</v>
      </c>
      <c r="D275" s="4" t="s">
        <v>1108</v>
      </c>
      <c r="E275" s="4" t="s">
        <v>1109</v>
      </c>
      <c r="F275" s="4" t="s">
        <v>1110</v>
      </c>
      <c r="G275" s="11" t="s">
        <v>957</v>
      </c>
      <c r="H275" s="4" t="s">
        <v>1111</v>
      </c>
      <c r="I275" s="4" t="str">
        <f t="shared" ca="1" si="4"/>
        <v/>
      </c>
      <c r="J275" s="4"/>
      <c r="K275" s="4"/>
      <c r="L275" s="4" t="s">
        <v>131</v>
      </c>
      <c r="M275" s="4"/>
    </row>
    <row r="276" spans="1:13" ht="60" customHeight="1" x14ac:dyDescent="0.25">
      <c r="A276" s="4" t="s">
        <v>1112</v>
      </c>
      <c r="B276" s="4" t="s">
        <v>39</v>
      </c>
      <c r="C276" s="4" t="s">
        <v>97</v>
      </c>
      <c r="D276" s="4" t="s">
        <v>1113</v>
      </c>
      <c r="E276" s="4" t="s">
        <v>1114</v>
      </c>
      <c r="F276" s="4" t="s">
        <v>1115</v>
      </c>
      <c r="G276" s="11" t="s">
        <v>1116</v>
      </c>
      <c r="H276" s="4" t="s">
        <v>1117</v>
      </c>
      <c r="I276" s="4" t="str">
        <f t="shared" ca="1" si="4"/>
        <v/>
      </c>
      <c r="J276" s="4"/>
      <c r="K276" s="4"/>
      <c r="L276" s="6" t="s">
        <v>95</v>
      </c>
      <c r="M276" s="4"/>
    </row>
    <row r="277" spans="1:13" ht="60" customHeight="1" x14ac:dyDescent="0.25">
      <c r="A277" s="4" t="s">
        <v>1118</v>
      </c>
      <c r="B277" s="4" t="s">
        <v>39</v>
      </c>
      <c r="C277" s="4" t="s">
        <v>840</v>
      </c>
      <c r="D277" s="4" t="s">
        <v>1119</v>
      </c>
      <c r="E277" s="4" t="s">
        <v>1120</v>
      </c>
      <c r="F277" s="4" t="s">
        <v>1121</v>
      </c>
      <c r="G277" s="11" t="s">
        <v>844</v>
      </c>
      <c r="H277" s="4" t="s">
        <v>1122</v>
      </c>
      <c r="I277" s="4" t="str">
        <f t="shared" ca="1" si="4"/>
        <v/>
      </c>
      <c r="J277" s="4"/>
      <c r="K277" s="4"/>
      <c r="L277" s="4" t="s">
        <v>131</v>
      </c>
      <c r="M277" s="4"/>
    </row>
    <row r="278" spans="1:13" ht="105" customHeight="1" x14ac:dyDescent="0.25">
      <c r="A278" s="4" t="s">
        <v>557</v>
      </c>
      <c r="B278" s="4" t="s">
        <v>39</v>
      </c>
      <c r="C278" s="4" t="s">
        <v>840</v>
      </c>
      <c r="D278" s="4" t="s">
        <v>1123</v>
      </c>
      <c r="E278" s="4" t="s">
        <v>1124</v>
      </c>
      <c r="F278" s="4" t="s">
        <v>1125</v>
      </c>
      <c r="G278" s="11" t="s">
        <v>850</v>
      </c>
      <c r="H278" s="4" t="s">
        <v>1126</v>
      </c>
      <c r="I278" s="4" t="str">
        <f t="shared" ca="1" si="4"/>
        <v/>
      </c>
      <c r="J278" s="4"/>
      <c r="K278" s="4"/>
      <c r="L278" s="6" t="s">
        <v>95</v>
      </c>
      <c r="M278" s="4"/>
    </row>
    <row r="279" spans="1:13" ht="60" customHeight="1" x14ac:dyDescent="0.25">
      <c r="A279" s="4" t="s">
        <v>562</v>
      </c>
      <c r="B279" s="4" t="s">
        <v>39</v>
      </c>
      <c r="C279" s="4" t="s">
        <v>840</v>
      </c>
      <c r="D279" s="4" t="s">
        <v>1127</v>
      </c>
      <c r="E279" s="4" t="s">
        <v>1128</v>
      </c>
      <c r="F279" s="4" t="s">
        <v>1129</v>
      </c>
      <c r="G279" s="11" t="s">
        <v>850</v>
      </c>
      <c r="H279" s="4" t="s">
        <v>1130</v>
      </c>
      <c r="I279" s="4" t="str">
        <f t="shared" ca="1" si="4"/>
        <v/>
      </c>
      <c r="J279" s="4"/>
      <c r="K279" s="4"/>
      <c r="L279" s="6" t="s">
        <v>95</v>
      </c>
      <c r="M279" s="4"/>
    </row>
    <row r="280" spans="1:13" ht="60" customHeight="1" x14ac:dyDescent="0.25">
      <c r="A280" s="4" t="s">
        <v>567</v>
      </c>
      <c r="B280" s="4" t="s">
        <v>39</v>
      </c>
      <c r="C280" s="4" t="s">
        <v>840</v>
      </c>
      <c r="D280" s="4" t="s">
        <v>1131</v>
      </c>
      <c r="E280" s="4" t="s">
        <v>1132</v>
      </c>
      <c r="F280" s="4" t="s">
        <v>1133</v>
      </c>
      <c r="G280" s="11" t="s">
        <v>850</v>
      </c>
      <c r="H280" s="4" t="s">
        <v>1134</v>
      </c>
      <c r="I280" s="4" t="str">
        <f t="shared" ca="1" si="4"/>
        <v/>
      </c>
      <c r="J280" s="4"/>
      <c r="K280" s="4"/>
      <c r="L280" s="6" t="s">
        <v>95</v>
      </c>
      <c r="M280" s="4"/>
    </row>
    <row r="281" spans="1:13" ht="60" customHeight="1" x14ac:dyDescent="0.25">
      <c r="A281" s="4" t="s">
        <v>572</v>
      </c>
      <c r="B281" s="4" t="s">
        <v>39</v>
      </c>
      <c r="C281" s="4" t="s">
        <v>193</v>
      </c>
      <c r="D281" s="4" t="s">
        <v>1135</v>
      </c>
      <c r="E281" s="4" t="s">
        <v>1136</v>
      </c>
      <c r="F281" s="4" t="s">
        <v>1137</v>
      </c>
      <c r="G281" s="11" t="s">
        <v>1138</v>
      </c>
      <c r="H281" s="4" t="s">
        <v>1139</v>
      </c>
      <c r="I281" s="4" t="str">
        <f t="shared" ca="1" si="4"/>
        <v/>
      </c>
      <c r="J281" s="4"/>
      <c r="K281" s="4"/>
      <c r="L281" s="6" t="s">
        <v>95</v>
      </c>
      <c r="M281" s="4"/>
    </row>
    <row r="282" spans="1:13" ht="60" customHeight="1" x14ac:dyDescent="0.25">
      <c r="A282" s="4" t="s">
        <v>576</v>
      </c>
      <c r="B282" s="4" t="s">
        <v>39</v>
      </c>
      <c r="C282" s="4" t="s">
        <v>193</v>
      </c>
      <c r="D282" s="4" t="s">
        <v>1140</v>
      </c>
      <c r="E282" s="4" t="s">
        <v>1141</v>
      </c>
      <c r="F282" s="4" t="s">
        <v>1142</v>
      </c>
      <c r="G282" s="11" t="s">
        <v>1138</v>
      </c>
      <c r="H282" s="4" t="s">
        <v>1143</v>
      </c>
      <c r="I282" s="4" t="str">
        <f t="shared" ca="1" si="4"/>
        <v/>
      </c>
      <c r="J282" s="4"/>
      <c r="K282" s="4"/>
      <c r="L282" s="6" t="s">
        <v>95</v>
      </c>
      <c r="M282" s="4"/>
    </row>
    <row r="283" spans="1:13" ht="60" customHeight="1" x14ac:dyDescent="0.25">
      <c r="A283" s="4" t="s">
        <v>580</v>
      </c>
      <c r="B283" s="4" t="s">
        <v>39</v>
      </c>
      <c r="C283" s="4" t="s">
        <v>193</v>
      </c>
      <c r="D283" s="4" t="s">
        <v>1144</v>
      </c>
      <c r="E283" s="4" t="s">
        <v>1145</v>
      </c>
      <c r="F283" s="4" t="s">
        <v>1146</v>
      </c>
      <c r="G283" s="11" t="s">
        <v>1138</v>
      </c>
      <c r="H283" s="4" t="s">
        <v>1147</v>
      </c>
      <c r="I283" s="4" t="str">
        <f t="shared" ca="1" si="4"/>
        <v/>
      </c>
      <c r="J283" s="4"/>
      <c r="K283" s="4"/>
      <c r="L283" s="4" t="s">
        <v>131</v>
      </c>
      <c r="M283" s="4"/>
    </row>
    <row r="284" spans="1:13" ht="75" customHeight="1" x14ac:dyDescent="0.25">
      <c r="A284" s="4" t="s">
        <v>584</v>
      </c>
      <c r="B284" s="4" t="s">
        <v>39</v>
      </c>
      <c r="C284" s="4" t="s">
        <v>193</v>
      </c>
      <c r="D284" s="4" t="s">
        <v>1148</v>
      </c>
      <c r="E284" s="4" t="s">
        <v>1149</v>
      </c>
      <c r="F284" s="4" t="s">
        <v>1150</v>
      </c>
      <c r="G284" s="11" t="s">
        <v>993</v>
      </c>
      <c r="H284" s="4" t="s">
        <v>416</v>
      </c>
      <c r="I284" s="4" t="str">
        <f t="shared" ca="1" si="4"/>
        <v/>
      </c>
      <c r="J284" s="4"/>
      <c r="K284" s="4"/>
      <c r="L284" s="4" t="s">
        <v>131</v>
      </c>
      <c r="M284" s="4"/>
    </row>
    <row r="285" spans="1:13" ht="60" customHeight="1" x14ac:dyDescent="0.25">
      <c r="A285" s="4" t="s">
        <v>1151</v>
      </c>
      <c r="B285" s="4" t="s">
        <v>39</v>
      </c>
      <c r="C285" s="4" t="s">
        <v>193</v>
      </c>
      <c r="D285" s="4" t="s">
        <v>1152</v>
      </c>
      <c r="E285" s="4" t="s">
        <v>1153</v>
      </c>
      <c r="F285" s="4" t="s">
        <v>1154</v>
      </c>
      <c r="G285" s="11" t="s">
        <v>993</v>
      </c>
      <c r="H285" s="4" t="s">
        <v>1155</v>
      </c>
      <c r="I285" s="4" t="str">
        <f t="shared" ca="1" si="4"/>
        <v/>
      </c>
      <c r="J285" s="4"/>
      <c r="K285" s="4"/>
      <c r="L285" s="4" t="s">
        <v>131</v>
      </c>
      <c r="M285" s="4"/>
    </row>
    <row r="286" spans="1:13" ht="75" customHeight="1" x14ac:dyDescent="0.25">
      <c r="A286" s="4" t="s">
        <v>1156</v>
      </c>
      <c r="B286" s="4" t="s">
        <v>39</v>
      </c>
      <c r="C286" s="4" t="s">
        <v>193</v>
      </c>
      <c r="D286" s="4" t="s">
        <v>1157</v>
      </c>
      <c r="E286" s="4" t="s">
        <v>1158</v>
      </c>
      <c r="F286" s="4" t="s">
        <v>1159</v>
      </c>
      <c r="G286" s="11" t="s">
        <v>993</v>
      </c>
      <c r="H286" s="4" t="s">
        <v>1160</v>
      </c>
      <c r="I286" s="4" t="str">
        <f t="shared" ca="1" si="4"/>
        <v/>
      </c>
      <c r="J286" s="4"/>
      <c r="K286" s="4"/>
      <c r="L286" s="6" t="s">
        <v>95</v>
      </c>
      <c r="M286" s="4"/>
    </row>
    <row r="287" spans="1:13" ht="75" customHeight="1" x14ac:dyDescent="0.25">
      <c r="A287" s="4" t="s">
        <v>1161</v>
      </c>
      <c r="B287" s="4" t="s">
        <v>39</v>
      </c>
      <c r="C287" s="4" t="s">
        <v>193</v>
      </c>
      <c r="D287" s="4" t="s">
        <v>1162</v>
      </c>
      <c r="E287" s="4" t="s">
        <v>1163</v>
      </c>
      <c r="F287" s="4" t="s">
        <v>1164</v>
      </c>
      <c r="G287" s="11" t="s">
        <v>993</v>
      </c>
      <c r="H287" s="4" t="s">
        <v>1165</v>
      </c>
      <c r="I287" s="4" t="str">
        <f t="shared" ca="1" si="4"/>
        <v/>
      </c>
      <c r="J287" s="4"/>
      <c r="K287" s="4"/>
      <c r="L287" s="4" t="s">
        <v>131</v>
      </c>
      <c r="M287" s="4"/>
    </row>
    <row r="288" spans="1:13" ht="60" customHeight="1" x14ac:dyDescent="0.25">
      <c r="A288" s="4" t="s">
        <v>588</v>
      </c>
      <c r="B288" s="4" t="s">
        <v>24</v>
      </c>
      <c r="C288" s="4" t="s">
        <v>60</v>
      </c>
      <c r="D288" s="4" t="s">
        <v>3200</v>
      </c>
      <c r="E288" s="4" t="s">
        <v>3201</v>
      </c>
      <c r="F288" s="4" t="s">
        <v>3202</v>
      </c>
      <c r="G288" s="11" t="s">
        <v>3103</v>
      </c>
      <c r="H288" s="4" t="s">
        <v>522</v>
      </c>
      <c r="I288" s="4" t="str">
        <f t="shared" ca="1" si="4"/>
        <v/>
      </c>
      <c r="J288" s="4"/>
      <c r="K288" s="4"/>
      <c r="L288" s="5" t="s">
        <v>67</v>
      </c>
      <c r="M288" s="4"/>
    </row>
    <row r="289" spans="1:13" ht="60" customHeight="1" x14ac:dyDescent="0.25">
      <c r="A289" s="4" t="s">
        <v>591</v>
      </c>
      <c r="B289" s="4" t="s">
        <v>24</v>
      </c>
      <c r="C289" s="4" t="s">
        <v>79</v>
      </c>
      <c r="D289" s="4" t="s">
        <v>568</v>
      </c>
      <c r="E289" s="4" t="s">
        <v>3203</v>
      </c>
      <c r="F289" s="4" t="s">
        <v>3204</v>
      </c>
      <c r="G289" s="11" t="s">
        <v>3116</v>
      </c>
      <c r="H289" s="4" t="s">
        <v>3205</v>
      </c>
      <c r="I289" s="4" t="str">
        <f t="shared" ca="1" si="4"/>
        <v/>
      </c>
      <c r="J289" s="4"/>
      <c r="K289" s="4"/>
      <c r="L289" s="5" t="s">
        <v>67</v>
      </c>
      <c r="M289" s="4"/>
    </row>
    <row r="290" spans="1:13" ht="60" customHeight="1" x14ac:dyDescent="0.25">
      <c r="A290" s="4" t="s">
        <v>594</v>
      </c>
      <c r="B290" s="4" t="s">
        <v>24</v>
      </c>
      <c r="C290" s="4" t="s">
        <v>79</v>
      </c>
      <c r="D290" s="4" t="s">
        <v>3206</v>
      </c>
      <c r="E290" s="4" t="s">
        <v>3207</v>
      </c>
      <c r="F290" s="4" t="s">
        <v>3208</v>
      </c>
      <c r="G290" s="11" t="s">
        <v>3116</v>
      </c>
      <c r="H290" s="4" t="s">
        <v>3209</v>
      </c>
      <c r="I290" s="4" t="str">
        <f t="shared" ca="1" si="4"/>
        <v/>
      </c>
      <c r="J290" s="4"/>
      <c r="K290" s="4"/>
      <c r="L290" s="7" t="s">
        <v>103</v>
      </c>
      <c r="M290" s="4"/>
    </row>
    <row r="291" spans="1:13" ht="60" customHeight="1" x14ac:dyDescent="0.25">
      <c r="A291" s="4" t="s">
        <v>597</v>
      </c>
      <c r="B291" s="4" t="s">
        <v>24</v>
      </c>
      <c r="C291" s="4" t="s">
        <v>3073</v>
      </c>
      <c r="D291" s="4" t="s">
        <v>3210</v>
      </c>
      <c r="E291" s="4" t="s">
        <v>3211</v>
      </c>
      <c r="F291" s="4" t="s">
        <v>3212</v>
      </c>
      <c r="G291" s="11" t="s">
        <v>3213</v>
      </c>
      <c r="H291" s="4" t="s">
        <v>3214</v>
      </c>
      <c r="I291" s="4" t="str">
        <f t="shared" ca="1" si="4"/>
        <v/>
      </c>
      <c r="J291" s="4"/>
      <c r="K291" s="4"/>
      <c r="L291" s="6" t="s">
        <v>95</v>
      </c>
      <c r="M291" s="4"/>
    </row>
    <row r="292" spans="1:13" ht="75" customHeight="1" x14ac:dyDescent="0.25">
      <c r="A292" s="4" t="s">
        <v>600</v>
      </c>
      <c r="B292" s="4" t="s">
        <v>24</v>
      </c>
      <c r="C292" s="4" t="s">
        <v>3073</v>
      </c>
      <c r="D292" s="4" t="s">
        <v>3215</v>
      </c>
      <c r="E292" s="4" t="s">
        <v>3216</v>
      </c>
      <c r="F292" s="4" t="s">
        <v>3217</v>
      </c>
      <c r="G292" s="11" t="s">
        <v>3128</v>
      </c>
      <c r="H292" s="4" t="s">
        <v>3218</v>
      </c>
      <c r="I292" s="4" t="str">
        <f t="shared" ca="1" si="4"/>
        <v/>
      </c>
      <c r="J292" s="4"/>
      <c r="K292" s="4"/>
      <c r="L292" s="5" t="s">
        <v>67</v>
      </c>
      <c r="M292" s="4"/>
    </row>
    <row r="293" spans="1:13" ht="60" customHeight="1" x14ac:dyDescent="0.25">
      <c r="A293" s="4" t="s">
        <v>603</v>
      </c>
      <c r="B293" s="4" t="s">
        <v>24</v>
      </c>
      <c r="C293" s="4" t="s">
        <v>3073</v>
      </c>
      <c r="D293" s="4" t="s">
        <v>3219</v>
      </c>
      <c r="E293" s="4" t="s">
        <v>3220</v>
      </c>
      <c r="F293" s="4" t="s">
        <v>3221</v>
      </c>
      <c r="G293" s="11" t="s">
        <v>3128</v>
      </c>
      <c r="H293" s="4" t="s">
        <v>3222</v>
      </c>
      <c r="I293" s="4" t="str">
        <f t="shared" ca="1" si="4"/>
        <v/>
      </c>
      <c r="J293" s="4"/>
      <c r="K293" s="4"/>
      <c r="L293" s="6" t="s">
        <v>95</v>
      </c>
      <c r="M293" s="4"/>
    </row>
    <row r="294" spans="1:13" ht="60" customHeight="1" x14ac:dyDescent="0.25">
      <c r="A294" s="4" t="s">
        <v>606</v>
      </c>
      <c r="B294" s="4" t="s">
        <v>24</v>
      </c>
      <c r="C294" s="4" t="s">
        <v>3073</v>
      </c>
      <c r="D294" s="4" t="s">
        <v>3223</v>
      </c>
      <c r="E294" s="4" t="s">
        <v>3224</v>
      </c>
      <c r="F294" s="4" t="s">
        <v>3225</v>
      </c>
      <c r="G294" s="11" t="s">
        <v>3128</v>
      </c>
      <c r="H294" s="4" t="s">
        <v>3226</v>
      </c>
      <c r="I294" s="4" t="str">
        <f t="shared" ca="1" si="4"/>
        <v/>
      </c>
      <c r="J294" s="4"/>
      <c r="K294" s="4"/>
      <c r="L294" s="7" t="s">
        <v>103</v>
      </c>
      <c r="M294" s="4"/>
    </row>
    <row r="295" spans="1:13" ht="60" customHeight="1" x14ac:dyDescent="0.25">
      <c r="A295" s="4" t="s">
        <v>609</v>
      </c>
      <c r="B295" s="4" t="s">
        <v>24</v>
      </c>
      <c r="C295" s="4" t="s">
        <v>3073</v>
      </c>
      <c r="D295" s="4" t="s">
        <v>3227</v>
      </c>
      <c r="E295" s="4" t="s">
        <v>3228</v>
      </c>
      <c r="F295" s="4" t="s">
        <v>3229</v>
      </c>
      <c r="G295" s="11" t="s">
        <v>3128</v>
      </c>
      <c r="H295" s="4" t="s">
        <v>3230</v>
      </c>
      <c r="I295" s="4" t="str">
        <f t="shared" ca="1" si="4"/>
        <v/>
      </c>
      <c r="J295" s="4"/>
      <c r="K295" s="4"/>
      <c r="L295" s="7" t="s">
        <v>103</v>
      </c>
      <c r="M295" s="4"/>
    </row>
    <row r="296" spans="1:13" ht="60" customHeight="1" x14ac:dyDescent="0.25">
      <c r="A296" s="4" t="s">
        <v>612</v>
      </c>
      <c r="B296" s="4" t="s">
        <v>24</v>
      </c>
      <c r="C296" s="4" t="s">
        <v>3073</v>
      </c>
      <c r="D296" s="4" t="s">
        <v>3231</v>
      </c>
      <c r="E296" s="4" t="s">
        <v>3232</v>
      </c>
      <c r="F296" s="4" t="s">
        <v>3233</v>
      </c>
      <c r="G296" s="11" t="s">
        <v>3128</v>
      </c>
      <c r="H296" s="4" t="s">
        <v>3234</v>
      </c>
      <c r="I296" s="4" t="str">
        <f t="shared" ca="1" si="4"/>
        <v/>
      </c>
      <c r="J296" s="4"/>
      <c r="K296" s="4"/>
      <c r="L296" s="5" t="s">
        <v>67</v>
      </c>
      <c r="M296" s="4"/>
    </row>
    <row r="297" spans="1:13" ht="60" customHeight="1" x14ac:dyDescent="0.25">
      <c r="A297" s="4" t="s">
        <v>616</v>
      </c>
      <c r="B297" s="4" t="s">
        <v>24</v>
      </c>
      <c r="C297" s="4" t="s">
        <v>3073</v>
      </c>
      <c r="D297" s="4" t="s">
        <v>3235</v>
      </c>
      <c r="E297" s="4" t="s">
        <v>3236</v>
      </c>
      <c r="F297" s="4" t="s">
        <v>3237</v>
      </c>
      <c r="G297" s="11" t="s">
        <v>3128</v>
      </c>
      <c r="H297" s="4" t="s">
        <v>3238</v>
      </c>
      <c r="I297" s="4" t="str">
        <f t="shared" ca="1" si="4"/>
        <v/>
      </c>
      <c r="J297" s="4"/>
      <c r="K297" s="4"/>
      <c r="L297" s="5" t="s">
        <v>67</v>
      </c>
      <c r="M297" s="4"/>
    </row>
    <row r="298" spans="1:13" ht="75" customHeight="1" x14ac:dyDescent="0.25">
      <c r="A298" s="4" t="s">
        <v>620</v>
      </c>
      <c r="B298" s="4" t="s">
        <v>24</v>
      </c>
      <c r="C298" s="4" t="s">
        <v>3073</v>
      </c>
      <c r="D298" s="4" t="s">
        <v>3239</v>
      </c>
      <c r="E298" s="4" t="s">
        <v>3240</v>
      </c>
      <c r="F298" s="4" t="s">
        <v>3241</v>
      </c>
      <c r="G298" s="11" t="s">
        <v>3128</v>
      </c>
      <c r="H298" s="4" t="s">
        <v>3242</v>
      </c>
      <c r="I298" s="4" t="str">
        <f t="shared" ca="1" si="4"/>
        <v/>
      </c>
      <c r="J298" s="4"/>
      <c r="K298" s="4"/>
      <c r="L298" s="6" t="s">
        <v>95</v>
      </c>
      <c r="M298" s="4"/>
    </row>
    <row r="299" spans="1:13" ht="75" customHeight="1" x14ac:dyDescent="0.25">
      <c r="A299" s="4" t="s">
        <v>623</v>
      </c>
      <c r="B299" s="4" t="s">
        <v>24</v>
      </c>
      <c r="C299" s="4" t="s">
        <v>3073</v>
      </c>
      <c r="D299" s="4" t="s">
        <v>3243</v>
      </c>
      <c r="E299" s="4" t="s">
        <v>3244</v>
      </c>
      <c r="F299" s="4" t="s">
        <v>3245</v>
      </c>
      <c r="G299" s="11" t="s">
        <v>3128</v>
      </c>
      <c r="H299" s="4" t="s">
        <v>3246</v>
      </c>
      <c r="I299" s="4" t="str">
        <f t="shared" ca="1" si="4"/>
        <v/>
      </c>
      <c r="J299" s="4"/>
      <c r="K299" s="4"/>
      <c r="L299" s="5" t="s">
        <v>67</v>
      </c>
      <c r="M299" s="4"/>
    </row>
    <row r="300" spans="1:13" ht="75" customHeight="1" x14ac:dyDescent="0.25">
      <c r="A300" s="4" t="s">
        <v>627</v>
      </c>
      <c r="B300" s="4" t="s">
        <v>24</v>
      </c>
      <c r="C300" s="4" t="s">
        <v>3073</v>
      </c>
      <c r="D300" s="4" t="s">
        <v>3247</v>
      </c>
      <c r="E300" s="4" t="s">
        <v>3248</v>
      </c>
      <c r="F300" s="4" t="s">
        <v>3249</v>
      </c>
      <c r="G300" s="11" t="s">
        <v>3250</v>
      </c>
      <c r="H300" s="4" t="s">
        <v>3251</v>
      </c>
      <c r="I300" s="4" t="str">
        <f t="shared" ca="1" si="4"/>
        <v/>
      </c>
      <c r="J300" s="4"/>
      <c r="K300" s="4"/>
      <c r="L300" s="5" t="s">
        <v>67</v>
      </c>
      <c r="M300" s="4"/>
    </row>
    <row r="301" spans="1:13" ht="60" customHeight="1" x14ac:dyDescent="0.25">
      <c r="A301" s="4" t="s">
        <v>630</v>
      </c>
      <c r="B301" s="4" t="s">
        <v>24</v>
      </c>
      <c r="C301" s="4" t="s">
        <v>173</v>
      </c>
      <c r="D301" s="4" t="s">
        <v>3252</v>
      </c>
      <c r="E301" s="4" t="s">
        <v>3253</v>
      </c>
      <c r="F301" s="4" t="s">
        <v>3254</v>
      </c>
      <c r="G301" s="11" t="s">
        <v>3164</v>
      </c>
      <c r="H301" s="4" t="s">
        <v>3255</v>
      </c>
      <c r="I301" s="4" t="str">
        <f t="shared" ca="1" si="4"/>
        <v/>
      </c>
      <c r="J301" s="4"/>
      <c r="K301" s="4"/>
      <c r="L301" s="6" t="s">
        <v>95</v>
      </c>
      <c r="M301" s="4"/>
    </row>
    <row r="302" spans="1:13" ht="75" customHeight="1" x14ac:dyDescent="0.25">
      <c r="A302" s="4" t="s">
        <v>633</v>
      </c>
      <c r="B302" s="4" t="s">
        <v>24</v>
      </c>
      <c r="C302" s="4" t="s">
        <v>173</v>
      </c>
      <c r="D302" s="4" t="s">
        <v>3256</v>
      </c>
      <c r="E302" s="4" t="s">
        <v>3257</v>
      </c>
      <c r="F302" s="4" t="s">
        <v>3258</v>
      </c>
      <c r="G302" s="11" t="s">
        <v>3164</v>
      </c>
      <c r="H302" s="4" t="s">
        <v>3259</v>
      </c>
      <c r="I302" s="4" t="str">
        <f t="shared" ca="1" si="4"/>
        <v/>
      </c>
      <c r="J302" s="4"/>
      <c r="K302" s="4"/>
      <c r="L302" s="6" t="s">
        <v>95</v>
      </c>
      <c r="M302" s="4"/>
    </row>
    <row r="303" spans="1:13" ht="60" customHeight="1" x14ac:dyDescent="0.25">
      <c r="A303" s="4" t="s">
        <v>636</v>
      </c>
      <c r="B303" s="4" t="s">
        <v>24</v>
      </c>
      <c r="C303" s="4" t="s">
        <v>173</v>
      </c>
      <c r="D303" s="4" t="s">
        <v>3260</v>
      </c>
      <c r="E303" s="4" t="s">
        <v>3261</v>
      </c>
      <c r="F303" s="4" t="s">
        <v>3262</v>
      </c>
      <c r="G303" s="11" t="s">
        <v>3263</v>
      </c>
      <c r="H303" s="4" t="s">
        <v>3175</v>
      </c>
      <c r="I303" s="4" t="str">
        <f t="shared" ca="1" si="4"/>
        <v/>
      </c>
      <c r="J303" s="4"/>
      <c r="K303" s="4"/>
      <c r="L303" s="5" t="s">
        <v>67</v>
      </c>
      <c r="M303" s="4"/>
    </row>
    <row r="304" spans="1:13" ht="60" customHeight="1" x14ac:dyDescent="0.25">
      <c r="A304" s="4" t="s">
        <v>639</v>
      </c>
      <c r="B304" s="4" t="s">
        <v>24</v>
      </c>
      <c r="C304" s="4" t="s">
        <v>173</v>
      </c>
      <c r="D304" s="4" t="s">
        <v>3264</v>
      </c>
      <c r="E304" s="4" t="s">
        <v>3265</v>
      </c>
      <c r="F304" s="4" t="s">
        <v>3266</v>
      </c>
      <c r="G304" s="11" t="s">
        <v>3263</v>
      </c>
      <c r="H304" s="4" t="s">
        <v>3267</v>
      </c>
      <c r="I304" s="4" t="str">
        <f t="shared" ca="1" si="4"/>
        <v/>
      </c>
      <c r="J304" s="4"/>
      <c r="K304" s="4"/>
      <c r="L304" s="4" t="s">
        <v>131</v>
      </c>
      <c r="M304" s="4"/>
    </row>
    <row r="305" spans="1:13" ht="90" customHeight="1" x14ac:dyDescent="0.25">
      <c r="A305" s="4" t="s">
        <v>643</v>
      </c>
      <c r="B305" s="4" t="s">
        <v>24</v>
      </c>
      <c r="C305" s="4" t="s">
        <v>193</v>
      </c>
      <c r="D305" s="4" t="s">
        <v>3186</v>
      </c>
      <c r="E305" s="4" t="s">
        <v>3187</v>
      </c>
      <c r="F305" s="4" t="s">
        <v>3268</v>
      </c>
      <c r="G305" s="11" t="s">
        <v>3184</v>
      </c>
      <c r="H305" s="4" t="s">
        <v>3269</v>
      </c>
      <c r="I305" s="4" t="str">
        <f t="shared" ca="1" si="4"/>
        <v/>
      </c>
      <c r="J305" s="4"/>
      <c r="K305" s="4"/>
      <c r="L305" s="6" t="s">
        <v>95</v>
      </c>
      <c r="M305" s="4"/>
    </row>
    <row r="306" spans="1:13" ht="75" customHeight="1" x14ac:dyDescent="0.25">
      <c r="A306" s="4" t="s">
        <v>646</v>
      </c>
      <c r="B306" s="4" t="s">
        <v>24</v>
      </c>
      <c r="C306" s="4" t="s">
        <v>193</v>
      </c>
      <c r="D306" s="4" t="s">
        <v>3270</v>
      </c>
      <c r="E306" s="4" t="s">
        <v>3271</v>
      </c>
      <c r="F306" s="4" t="s">
        <v>3272</v>
      </c>
      <c r="G306" s="11" t="s">
        <v>3194</v>
      </c>
      <c r="H306" s="4" t="s">
        <v>3273</v>
      </c>
      <c r="I306" s="4" t="str">
        <f t="shared" ca="1" si="4"/>
        <v/>
      </c>
      <c r="J306" s="4"/>
      <c r="K306" s="4"/>
      <c r="L306" s="5" t="s">
        <v>67</v>
      </c>
      <c r="M306" s="4"/>
    </row>
    <row r="307" spans="1:13" ht="75" customHeight="1" x14ac:dyDescent="0.25">
      <c r="A307" s="4" t="s">
        <v>650</v>
      </c>
      <c r="B307" s="4" t="s">
        <v>24</v>
      </c>
      <c r="C307" s="4" t="s">
        <v>193</v>
      </c>
      <c r="D307" s="4" t="s">
        <v>3274</v>
      </c>
      <c r="E307" s="4" t="s">
        <v>3275</v>
      </c>
      <c r="F307" s="4" t="s">
        <v>3276</v>
      </c>
      <c r="G307" s="11" t="s">
        <v>3194</v>
      </c>
      <c r="H307" s="4" t="s">
        <v>3277</v>
      </c>
      <c r="I307" s="4" t="str">
        <f t="shared" ca="1" si="4"/>
        <v/>
      </c>
      <c r="J307" s="4"/>
      <c r="K307" s="4"/>
      <c r="L307" s="6" t="s">
        <v>95</v>
      </c>
      <c r="M307" s="4"/>
    </row>
    <row r="308" spans="1:13" ht="60" customHeight="1" x14ac:dyDescent="0.25">
      <c r="A308" s="4" t="s">
        <v>653</v>
      </c>
      <c r="B308" s="4" t="s">
        <v>24</v>
      </c>
      <c r="C308" s="4" t="s">
        <v>193</v>
      </c>
      <c r="D308" s="4" t="s">
        <v>3278</v>
      </c>
      <c r="E308" s="4" t="s">
        <v>3279</v>
      </c>
      <c r="F308" s="4" t="s">
        <v>3280</v>
      </c>
      <c r="G308" s="11" t="s">
        <v>3194</v>
      </c>
      <c r="H308" s="4" t="s">
        <v>3281</v>
      </c>
      <c r="I308" s="4" t="str">
        <f t="shared" ca="1" si="4"/>
        <v/>
      </c>
      <c r="J308" s="4"/>
      <c r="K308" s="4"/>
      <c r="L308" s="7" t="s">
        <v>103</v>
      </c>
      <c r="M308" s="4"/>
    </row>
    <row r="309" spans="1:13" ht="75" customHeight="1" x14ac:dyDescent="0.25">
      <c r="A309" s="4" t="s">
        <v>657</v>
      </c>
      <c r="B309" s="4" t="s">
        <v>24</v>
      </c>
      <c r="C309" s="4" t="s">
        <v>460</v>
      </c>
      <c r="D309" s="4" t="s">
        <v>461</v>
      </c>
      <c r="E309" s="4" t="s">
        <v>3282</v>
      </c>
      <c r="F309" s="4" t="s">
        <v>3283</v>
      </c>
      <c r="G309" s="11" t="s">
        <v>3284</v>
      </c>
      <c r="H309" s="4" t="s">
        <v>2178</v>
      </c>
      <c r="I309" s="4" t="str">
        <f t="shared" ca="1" si="4"/>
        <v/>
      </c>
      <c r="J309" s="4"/>
      <c r="K309" s="4"/>
      <c r="L309" s="5" t="s">
        <v>67</v>
      </c>
      <c r="M309" s="4"/>
    </row>
    <row r="310" spans="1:13" ht="60" customHeight="1" x14ac:dyDescent="0.25">
      <c r="A310" s="4" t="s">
        <v>660</v>
      </c>
      <c r="B310" s="4" t="s">
        <v>24</v>
      </c>
      <c r="C310" s="4" t="s">
        <v>460</v>
      </c>
      <c r="D310" s="4" t="s">
        <v>3285</v>
      </c>
      <c r="E310" s="4" t="s">
        <v>3286</v>
      </c>
      <c r="F310" s="4" t="s">
        <v>3287</v>
      </c>
      <c r="G310" s="11" t="s">
        <v>3284</v>
      </c>
      <c r="H310" s="4" t="s">
        <v>3288</v>
      </c>
      <c r="I310" s="4" t="str">
        <f t="shared" ca="1" si="4"/>
        <v/>
      </c>
      <c r="J310" s="4"/>
      <c r="K310" s="4"/>
      <c r="L310" s="7" t="s">
        <v>103</v>
      </c>
      <c r="M310" s="4"/>
    </row>
    <row r="311" spans="1:13" ht="75" customHeight="1" x14ac:dyDescent="0.25">
      <c r="A311" s="4" t="s">
        <v>2610</v>
      </c>
      <c r="B311" s="4" t="s">
        <v>28</v>
      </c>
      <c r="C311" s="4" t="s">
        <v>2400</v>
      </c>
      <c r="D311" s="4" t="s">
        <v>2611</v>
      </c>
      <c r="E311" s="4" t="s">
        <v>2612</v>
      </c>
      <c r="F311" s="4" t="s">
        <v>2613</v>
      </c>
      <c r="G311" s="11" t="s">
        <v>2404</v>
      </c>
      <c r="H311" s="4" t="s">
        <v>2614</v>
      </c>
      <c r="I311" s="4" t="str">
        <f t="shared" ca="1" si="4"/>
        <v/>
      </c>
      <c r="J311" s="4"/>
      <c r="K311" s="4"/>
      <c r="L311" s="7" t="s">
        <v>103</v>
      </c>
      <c r="M311" s="4"/>
    </row>
    <row r="312" spans="1:13" ht="75" customHeight="1" x14ac:dyDescent="0.25">
      <c r="A312" s="4" t="s">
        <v>2615</v>
      </c>
      <c r="B312" s="4" t="s">
        <v>28</v>
      </c>
      <c r="C312" s="4" t="s">
        <v>2400</v>
      </c>
      <c r="D312" s="4" t="s">
        <v>2616</v>
      </c>
      <c r="E312" s="4" t="s">
        <v>2617</v>
      </c>
      <c r="F312" s="4" t="s">
        <v>2618</v>
      </c>
      <c r="G312" s="11" t="s">
        <v>2619</v>
      </c>
      <c r="H312" s="4" t="s">
        <v>2620</v>
      </c>
      <c r="I312" s="4" t="str">
        <f t="shared" ca="1" si="4"/>
        <v/>
      </c>
      <c r="J312" s="4"/>
      <c r="K312" s="4"/>
      <c r="L312" s="6" t="s">
        <v>95</v>
      </c>
      <c r="M312" s="4"/>
    </row>
    <row r="313" spans="1:13" ht="75" customHeight="1" x14ac:dyDescent="0.25">
      <c r="A313" s="4" t="s">
        <v>2621</v>
      </c>
      <c r="B313" s="4" t="s">
        <v>28</v>
      </c>
      <c r="C313" s="4" t="s">
        <v>2400</v>
      </c>
      <c r="D313" s="4" t="s">
        <v>2622</v>
      </c>
      <c r="E313" s="4" t="s">
        <v>2623</v>
      </c>
      <c r="F313" s="4" t="s">
        <v>2624</v>
      </c>
      <c r="G313" s="11" t="s">
        <v>2415</v>
      </c>
      <c r="H313" s="4" t="s">
        <v>2625</v>
      </c>
      <c r="I313" s="4" t="str">
        <f t="shared" ca="1" si="4"/>
        <v/>
      </c>
      <c r="J313" s="4"/>
      <c r="K313" s="4"/>
      <c r="L313" s="7" t="s">
        <v>103</v>
      </c>
      <c r="M313" s="4"/>
    </row>
    <row r="314" spans="1:13" ht="75" customHeight="1" x14ac:dyDescent="0.25">
      <c r="A314" s="4" t="s">
        <v>2626</v>
      </c>
      <c r="B314" s="4" t="s">
        <v>28</v>
      </c>
      <c r="C314" s="4" t="s">
        <v>2400</v>
      </c>
      <c r="D314" s="4" t="s">
        <v>2627</v>
      </c>
      <c r="E314" s="4" t="s">
        <v>2628</v>
      </c>
      <c r="F314" s="4" t="s">
        <v>2629</v>
      </c>
      <c r="G314" s="11" t="s">
        <v>2415</v>
      </c>
      <c r="H314" s="4" t="s">
        <v>2630</v>
      </c>
      <c r="I314" s="4" t="str">
        <f t="shared" ca="1" si="4"/>
        <v/>
      </c>
      <c r="J314" s="4"/>
      <c r="K314" s="4"/>
      <c r="L314" s="4" t="s">
        <v>131</v>
      </c>
      <c r="M314" s="4"/>
    </row>
    <row r="315" spans="1:13" ht="75" customHeight="1" x14ac:dyDescent="0.25">
      <c r="A315" s="4" t="s">
        <v>2631</v>
      </c>
      <c r="B315" s="4" t="s">
        <v>28</v>
      </c>
      <c r="C315" s="4" t="s">
        <v>2400</v>
      </c>
      <c r="D315" s="4" t="s">
        <v>2569</v>
      </c>
      <c r="E315" s="4" t="s">
        <v>2632</v>
      </c>
      <c r="F315" s="4" t="s">
        <v>2633</v>
      </c>
      <c r="G315" s="11" t="s">
        <v>2404</v>
      </c>
      <c r="H315" s="4" t="s">
        <v>2634</v>
      </c>
      <c r="I315" s="4" t="str">
        <f t="shared" ca="1" si="4"/>
        <v/>
      </c>
      <c r="J315" s="4"/>
      <c r="K315" s="4"/>
      <c r="L315" s="6" t="s">
        <v>95</v>
      </c>
      <c r="M315" s="4"/>
    </row>
    <row r="316" spans="1:13" ht="75" customHeight="1" x14ac:dyDescent="0.25">
      <c r="A316" s="4" t="s">
        <v>2635</v>
      </c>
      <c r="B316" s="4" t="s">
        <v>28</v>
      </c>
      <c r="C316" s="4" t="s">
        <v>2574</v>
      </c>
      <c r="D316" s="4" t="s">
        <v>2636</v>
      </c>
      <c r="E316" s="4" t="s">
        <v>2637</v>
      </c>
      <c r="F316" s="4" t="s">
        <v>2638</v>
      </c>
      <c r="G316" s="11" t="s">
        <v>2583</v>
      </c>
      <c r="H316" s="4" t="s">
        <v>2639</v>
      </c>
      <c r="I316" s="4" t="str">
        <f t="shared" ca="1" si="4"/>
        <v/>
      </c>
      <c r="J316" s="4"/>
      <c r="K316" s="4"/>
      <c r="L316" s="7" t="s">
        <v>103</v>
      </c>
      <c r="M316" s="4"/>
    </row>
    <row r="317" spans="1:13" ht="75" customHeight="1" x14ac:dyDescent="0.25">
      <c r="A317" s="4" t="s">
        <v>2640</v>
      </c>
      <c r="B317" s="4" t="s">
        <v>28</v>
      </c>
      <c r="C317" s="4" t="s">
        <v>2574</v>
      </c>
      <c r="D317" s="4" t="s">
        <v>2641</v>
      </c>
      <c r="E317" s="4" t="s">
        <v>2642</v>
      </c>
      <c r="F317" s="4" t="s">
        <v>2643</v>
      </c>
      <c r="G317" s="11" t="s">
        <v>2577</v>
      </c>
      <c r="H317" s="4" t="s">
        <v>2644</v>
      </c>
      <c r="I317" s="4" t="str">
        <f t="shared" ca="1" si="4"/>
        <v/>
      </c>
      <c r="J317" s="4"/>
      <c r="K317" s="4"/>
      <c r="L317" s="5" t="s">
        <v>67</v>
      </c>
      <c r="M317" s="4"/>
    </row>
    <row r="318" spans="1:13" ht="75" customHeight="1" x14ac:dyDescent="0.25">
      <c r="A318" s="4" t="s">
        <v>663</v>
      </c>
      <c r="B318" s="4" t="s">
        <v>28</v>
      </c>
      <c r="C318" s="4" t="s">
        <v>2574</v>
      </c>
      <c r="D318" s="4" t="s">
        <v>2645</v>
      </c>
      <c r="E318" s="4" t="s">
        <v>2646</v>
      </c>
      <c r="F318" s="4" t="s">
        <v>2647</v>
      </c>
      <c r="G318" s="11" t="s">
        <v>2583</v>
      </c>
      <c r="H318" s="4" t="s">
        <v>2648</v>
      </c>
      <c r="I318" s="4" t="str">
        <f t="shared" ca="1" si="4"/>
        <v/>
      </c>
      <c r="J318" s="4"/>
      <c r="K318" s="4"/>
      <c r="L318" s="6" t="s">
        <v>95</v>
      </c>
      <c r="M318" s="4"/>
    </row>
    <row r="319" spans="1:13" ht="75" customHeight="1" x14ac:dyDescent="0.25">
      <c r="A319" s="4" t="s">
        <v>668</v>
      </c>
      <c r="B319" s="4" t="s">
        <v>28</v>
      </c>
      <c r="C319" s="4" t="s">
        <v>2574</v>
      </c>
      <c r="D319" s="4" t="s">
        <v>2649</v>
      </c>
      <c r="E319" s="4" t="s">
        <v>2650</v>
      </c>
      <c r="F319" s="4" t="s">
        <v>2651</v>
      </c>
      <c r="G319" s="11" t="s">
        <v>2583</v>
      </c>
      <c r="H319" s="4" t="s">
        <v>2652</v>
      </c>
      <c r="I319" s="4" t="str">
        <f t="shared" ca="1" si="4"/>
        <v/>
      </c>
      <c r="J319" s="4"/>
      <c r="K319" s="4"/>
      <c r="L319" s="6" t="s">
        <v>95</v>
      </c>
      <c r="M319" s="4"/>
    </row>
    <row r="320" spans="1:13" ht="75" customHeight="1" x14ac:dyDescent="0.25">
      <c r="A320" s="4" t="s">
        <v>673</v>
      </c>
      <c r="B320" s="4" t="s">
        <v>28</v>
      </c>
      <c r="C320" s="4" t="s">
        <v>2574</v>
      </c>
      <c r="D320" s="4" t="s">
        <v>2653</v>
      </c>
      <c r="E320" s="4" t="s">
        <v>2654</v>
      </c>
      <c r="F320" s="4" t="s">
        <v>2655</v>
      </c>
      <c r="G320" s="11" t="s">
        <v>2583</v>
      </c>
      <c r="H320" s="4" t="s">
        <v>2656</v>
      </c>
      <c r="I320" s="4" t="str">
        <f t="shared" ca="1" si="4"/>
        <v/>
      </c>
      <c r="J320" s="4"/>
      <c r="K320" s="4"/>
      <c r="L320" s="5" t="s">
        <v>67</v>
      </c>
      <c r="M320" s="4"/>
    </row>
    <row r="321" spans="1:13" ht="75" customHeight="1" x14ac:dyDescent="0.25">
      <c r="A321" s="4" t="s">
        <v>677</v>
      </c>
      <c r="B321" s="4" t="s">
        <v>28</v>
      </c>
      <c r="C321" s="4" t="s">
        <v>2360</v>
      </c>
      <c r="D321" s="4" t="s">
        <v>2657</v>
      </c>
      <c r="E321" s="4" t="s">
        <v>2658</v>
      </c>
      <c r="F321" s="4" t="s">
        <v>2659</v>
      </c>
      <c r="G321" s="11" t="s">
        <v>2392</v>
      </c>
      <c r="H321" s="4" t="s">
        <v>2660</v>
      </c>
      <c r="I321" s="4" t="str">
        <f t="shared" ca="1" si="4"/>
        <v/>
      </c>
      <c r="J321" s="4"/>
      <c r="K321" s="4"/>
      <c r="L321" s="6" t="s">
        <v>95</v>
      </c>
      <c r="M321" s="4"/>
    </row>
    <row r="322" spans="1:13" ht="75" customHeight="1" x14ac:dyDescent="0.25">
      <c r="A322" s="4" t="s">
        <v>681</v>
      </c>
      <c r="B322" s="4" t="s">
        <v>28</v>
      </c>
      <c r="C322" s="4" t="s">
        <v>2360</v>
      </c>
      <c r="D322" s="4" t="s">
        <v>2661</v>
      </c>
      <c r="E322" s="4" t="s">
        <v>2661</v>
      </c>
      <c r="F322" s="4" t="s">
        <v>2662</v>
      </c>
      <c r="G322" s="11" t="s">
        <v>2392</v>
      </c>
      <c r="H322" s="4" t="s">
        <v>2663</v>
      </c>
      <c r="I322" s="4" t="str">
        <f t="shared" ref="I322:I353" ca="1" si="5">IF(I322="","",IF(I322=G322,"PASS","FAIL"))</f>
        <v/>
      </c>
      <c r="J322" s="4"/>
      <c r="K322" s="4"/>
      <c r="L322" s="5" t="s">
        <v>67</v>
      </c>
      <c r="M322" s="4"/>
    </row>
    <row r="323" spans="1:13" ht="75" customHeight="1" x14ac:dyDescent="0.25">
      <c r="A323" s="4" t="s">
        <v>2664</v>
      </c>
      <c r="B323" s="4" t="s">
        <v>28</v>
      </c>
      <c r="C323" s="4" t="s">
        <v>2360</v>
      </c>
      <c r="D323" s="4" t="s">
        <v>2665</v>
      </c>
      <c r="E323" s="4" t="s">
        <v>2666</v>
      </c>
      <c r="F323" s="4" t="s">
        <v>2667</v>
      </c>
      <c r="G323" s="11" t="s">
        <v>2364</v>
      </c>
      <c r="H323" s="4" t="s">
        <v>2668</v>
      </c>
      <c r="I323" s="4" t="str">
        <f t="shared" ca="1" si="5"/>
        <v/>
      </c>
      <c r="J323" s="4"/>
      <c r="K323" s="4"/>
      <c r="L323" s="6" t="s">
        <v>95</v>
      </c>
      <c r="M323" s="4"/>
    </row>
    <row r="324" spans="1:13" ht="75" customHeight="1" x14ac:dyDescent="0.25">
      <c r="A324" s="4" t="s">
        <v>2669</v>
      </c>
      <c r="B324" s="4" t="s">
        <v>28</v>
      </c>
      <c r="C324" s="4" t="s">
        <v>2524</v>
      </c>
      <c r="D324" s="4" t="s">
        <v>2670</v>
      </c>
      <c r="E324" s="4" t="s">
        <v>2671</v>
      </c>
      <c r="F324" s="4" t="s">
        <v>2672</v>
      </c>
      <c r="G324" s="11" t="s">
        <v>2534</v>
      </c>
      <c r="H324" s="4" t="s">
        <v>2673</v>
      </c>
      <c r="I324" s="4" t="str">
        <f t="shared" ca="1" si="5"/>
        <v/>
      </c>
      <c r="J324" s="4"/>
      <c r="K324" s="4"/>
      <c r="L324" s="4" t="s">
        <v>131</v>
      </c>
      <c r="M324" s="4"/>
    </row>
    <row r="325" spans="1:13" ht="75" customHeight="1" x14ac:dyDescent="0.25">
      <c r="A325" s="4" t="s">
        <v>2674</v>
      </c>
      <c r="B325" s="4" t="s">
        <v>28</v>
      </c>
      <c r="C325" s="4" t="s">
        <v>2524</v>
      </c>
      <c r="D325" s="4" t="s">
        <v>2675</v>
      </c>
      <c r="E325" s="4" t="s">
        <v>2676</v>
      </c>
      <c r="F325" s="4" t="s">
        <v>2677</v>
      </c>
      <c r="G325" s="11" t="s">
        <v>2528</v>
      </c>
      <c r="H325" s="4" t="s">
        <v>2678</v>
      </c>
      <c r="I325" s="4" t="str">
        <f t="shared" ca="1" si="5"/>
        <v/>
      </c>
      <c r="J325" s="4"/>
      <c r="K325" s="4"/>
      <c r="L325" s="6" t="s">
        <v>95</v>
      </c>
      <c r="M325" s="4"/>
    </row>
    <row r="326" spans="1:13" ht="90" customHeight="1" x14ac:dyDescent="0.25">
      <c r="A326" s="4" t="s">
        <v>2679</v>
      </c>
      <c r="B326" s="4" t="s">
        <v>28</v>
      </c>
      <c r="C326" s="4" t="s">
        <v>2524</v>
      </c>
      <c r="D326" s="4" t="s">
        <v>2680</v>
      </c>
      <c r="E326" s="4" t="s">
        <v>2681</v>
      </c>
      <c r="F326" s="4" t="s">
        <v>2682</v>
      </c>
      <c r="G326" s="11" t="s">
        <v>2550</v>
      </c>
      <c r="H326" s="4" t="s">
        <v>2683</v>
      </c>
      <c r="I326" s="4" t="str">
        <f t="shared" ca="1" si="5"/>
        <v/>
      </c>
      <c r="J326" s="4"/>
      <c r="K326" s="4"/>
      <c r="L326" s="4" t="s">
        <v>131</v>
      </c>
      <c r="M326" s="4"/>
    </row>
    <row r="327" spans="1:13" ht="75" customHeight="1" x14ac:dyDescent="0.25">
      <c r="A327" s="4" t="s">
        <v>2684</v>
      </c>
      <c r="B327" s="4" t="s">
        <v>28</v>
      </c>
      <c r="C327" s="4" t="s">
        <v>2524</v>
      </c>
      <c r="D327" s="4" t="s">
        <v>2685</v>
      </c>
      <c r="E327" s="4" t="s">
        <v>2686</v>
      </c>
      <c r="F327" s="4" t="s">
        <v>2687</v>
      </c>
      <c r="G327" s="11" t="s">
        <v>2539</v>
      </c>
      <c r="H327" s="4" t="s">
        <v>2688</v>
      </c>
      <c r="I327" s="4" t="str">
        <f t="shared" ca="1" si="5"/>
        <v/>
      </c>
      <c r="J327" s="4"/>
      <c r="K327" s="4"/>
      <c r="L327" s="4" t="s">
        <v>131</v>
      </c>
      <c r="M327" s="4"/>
    </row>
    <row r="328" spans="1:13" ht="75" customHeight="1" x14ac:dyDescent="0.25">
      <c r="A328" s="4" t="s">
        <v>685</v>
      </c>
      <c r="B328" s="4" t="s">
        <v>28</v>
      </c>
      <c r="C328" s="4" t="s">
        <v>443</v>
      </c>
      <c r="D328" s="4" t="s">
        <v>2689</v>
      </c>
      <c r="E328" s="4" t="s">
        <v>2690</v>
      </c>
      <c r="F328" s="4" t="s">
        <v>2691</v>
      </c>
      <c r="G328" s="11" t="s">
        <v>2692</v>
      </c>
      <c r="H328" s="4" t="s">
        <v>2693</v>
      </c>
      <c r="I328" s="4" t="str">
        <f t="shared" ca="1" si="5"/>
        <v/>
      </c>
      <c r="J328" s="4"/>
      <c r="K328" s="4"/>
      <c r="L328" s="6" t="s">
        <v>95</v>
      </c>
      <c r="M328" s="4"/>
    </row>
    <row r="329" spans="1:13" ht="75" customHeight="1" x14ac:dyDescent="0.25">
      <c r="A329" s="4" t="s">
        <v>688</v>
      </c>
      <c r="B329" s="4" t="s">
        <v>28</v>
      </c>
      <c r="C329" s="4" t="s">
        <v>443</v>
      </c>
      <c r="D329" s="4" t="s">
        <v>2694</v>
      </c>
      <c r="E329" s="4" t="s">
        <v>2695</v>
      </c>
      <c r="F329" s="4" t="s">
        <v>2696</v>
      </c>
      <c r="G329" s="11" t="s">
        <v>2692</v>
      </c>
      <c r="H329" s="4" t="s">
        <v>2697</v>
      </c>
      <c r="I329" s="4" t="str">
        <f t="shared" ca="1" si="5"/>
        <v/>
      </c>
      <c r="J329" s="4"/>
      <c r="K329" s="4"/>
      <c r="L329" s="6" t="s">
        <v>95</v>
      </c>
      <c r="M329" s="4"/>
    </row>
    <row r="330" spans="1:13" ht="75" customHeight="1" x14ac:dyDescent="0.25">
      <c r="A330" s="4" t="s">
        <v>691</v>
      </c>
      <c r="B330" s="4" t="s">
        <v>28</v>
      </c>
      <c r="C330" s="4" t="s">
        <v>443</v>
      </c>
      <c r="D330" s="4" t="s">
        <v>2698</v>
      </c>
      <c r="E330" s="4" t="s">
        <v>2699</v>
      </c>
      <c r="F330" s="4" t="s">
        <v>2700</v>
      </c>
      <c r="G330" s="11" t="s">
        <v>2692</v>
      </c>
      <c r="H330" s="4" t="s">
        <v>2701</v>
      </c>
      <c r="I330" s="4" t="str">
        <f t="shared" ca="1" si="5"/>
        <v/>
      </c>
      <c r="J330" s="4"/>
      <c r="K330" s="4"/>
      <c r="L330" s="6" t="s">
        <v>95</v>
      </c>
      <c r="M330" s="4"/>
    </row>
    <row r="331" spans="1:13" ht="75" customHeight="1" x14ac:dyDescent="0.25">
      <c r="A331" s="4" t="s">
        <v>694</v>
      </c>
      <c r="B331" s="4" t="s">
        <v>28</v>
      </c>
      <c r="C331" s="4" t="s">
        <v>443</v>
      </c>
      <c r="D331" s="4" t="s">
        <v>2702</v>
      </c>
      <c r="E331" s="4" t="s">
        <v>2703</v>
      </c>
      <c r="F331" s="4" t="s">
        <v>2704</v>
      </c>
      <c r="G331" s="11" t="s">
        <v>2705</v>
      </c>
      <c r="H331" s="4" t="s">
        <v>2706</v>
      </c>
      <c r="I331" s="4" t="str">
        <f t="shared" ca="1" si="5"/>
        <v/>
      </c>
      <c r="J331" s="4"/>
      <c r="K331" s="4"/>
      <c r="L331" s="4" t="s">
        <v>131</v>
      </c>
      <c r="M331" s="4"/>
    </row>
    <row r="332" spans="1:13" ht="75" customHeight="1" x14ac:dyDescent="0.25">
      <c r="A332" s="4" t="s">
        <v>698</v>
      </c>
      <c r="B332" s="4" t="s">
        <v>28</v>
      </c>
      <c r="C332" s="4" t="s">
        <v>792</v>
      </c>
      <c r="D332" s="4" t="s">
        <v>2707</v>
      </c>
      <c r="E332" s="4" t="s">
        <v>2708</v>
      </c>
      <c r="F332" s="4" t="s">
        <v>2709</v>
      </c>
      <c r="G332" s="11" t="s">
        <v>2597</v>
      </c>
      <c r="H332" s="4" t="s">
        <v>2710</v>
      </c>
      <c r="I332" s="4" t="str">
        <f t="shared" ca="1" si="5"/>
        <v/>
      </c>
      <c r="J332" s="4"/>
      <c r="K332" s="4"/>
      <c r="L332" s="7" t="s">
        <v>103</v>
      </c>
      <c r="M332" s="4"/>
    </row>
    <row r="333" spans="1:13" ht="75" customHeight="1" x14ac:dyDescent="0.25">
      <c r="A333" s="4" t="s">
        <v>701</v>
      </c>
      <c r="B333" s="4" t="s">
        <v>28</v>
      </c>
      <c r="C333" s="4" t="s">
        <v>792</v>
      </c>
      <c r="D333" s="4" t="s">
        <v>2711</v>
      </c>
      <c r="E333" s="4" t="s">
        <v>2712</v>
      </c>
      <c r="F333" s="4" t="s">
        <v>2713</v>
      </c>
      <c r="G333" s="11" t="s">
        <v>2714</v>
      </c>
      <c r="H333" s="4" t="s">
        <v>2715</v>
      </c>
      <c r="I333" s="4" t="str">
        <f t="shared" ca="1" si="5"/>
        <v/>
      </c>
      <c r="J333" s="4"/>
      <c r="K333" s="4"/>
      <c r="L333" s="4" t="s">
        <v>131</v>
      </c>
      <c r="M333" s="4"/>
    </row>
    <row r="334" spans="1:13" ht="75" customHeight="1" x14ac:dyDescent="0.25">
      <c r="A334" s="4" t="s">
        <v>705</v>
      </c>
      <c r="B334" s="4" t="s">
        <v>28</v>
      </c>
      <c r="C334" s="4" t="s">
        <v>792</v>
      </c>
      <c r="D334" s="4" t="s">
        <v>2716</v>
      </c>
      <c r="E334" s="4" t="s">
        <v>2717</v>
      </c>
      <c r="F334" s="4" t="s">
        <v>2718</v>
      </c>
      <c r="G334" s="11" t="s">
        <v>2597</v>
      </c>
      <c r="H334" s="4" t="s">
        <v>2719</v>
      </c>
      <c r="I334" s="4" t="str">
        <f t="shared" ca="1" si="5"/>
        <v/>
      </c>
      <c r="J334" s="4"/>
      <c r="K334" s="4"/>
      <c r="L334" s="6" t="s">
        <v>95</v>
      </c>
      <c r="M334" s="4"/>
    </row>
    <row r="335" spans="1:13" ht="75" customHeight="1" x14ac:dyDescent="0.25">
      <c r="A335" s="4" t="s">
        <v>708</v>
      </c>
      <c r="B335" s="4" t="s">
        <v>28</v>
      </c>
      <c r="C335" s="4" t="s">
        <v>792</v>
      </c>
      <c r="D335" s="4" t="s">
        <v>2720</v>
      </c>
      <c r="E335" s="4" t="s">
        <v>2721</v>
      </c>
      <c r="F335" s="4" t="s">
        <v>2722</v>
      </c>
      <c r="G335" s="11" t="s">
        <v>2597</v>
      </c>
      <c r="H335" s="4" t="s">
        <v>2723</v>
      </c>
      <c r="I335" s="4" t="str">
        <f t="shared" ca="1" si="5"/>
        <v/>
      </c>
      <c r="J335" s="4"/>
      <c r="K335" s="4"/>
      <c r="L335" s="4" t="s">
        <v>131</v>
      </c>
      <c r="M335" s="4"/>
    </row>
    <row r="336" spans="1:13" ht="75" customHeight="1" x14ac:dyDescent="0.25">
      <c r="A336" s="4" t="s">
        <v>3410</v>
      </c>
      <c r="B336" s="4" t="s">
        <v>45</v>
      </c>
      <c r="C336" s="4" t="s">
        <v>3388</v>
      </c>
      <c r="D336" s="4" t="s">
        <v>3411</v>
      </c>
      <c r="E336" s="4" t="s">
        <v>3412</v>
      </c>
      <c r="F336" s="4" t="s">
        <v>3413</v>
      </c>
      <c r="G336" s="11" t="s">
        <v>476</v>
      </c>
      <c r="H336" s="4" t="s">
        <v>3414</v>
      </c>
      <c r="I336" s="4" t="str">
        <f t="shared" ca="1" si="5"/>
        <v/>
      </c>
      <c r="J336" s="4"/>
      <c r="K336" s="4"/>
      <c r="L336" s="7" t="s">
        <v>103</v>
      </c>
      <c r="M336" s="4"/>
    </row>
    <row r="337" spans="1:13" ht="60" customHeight="1" x14ac:dyDescent="0.25">
      <c r="A337" s="4" t="s">
        <v>3415</v>
      </c>
      <c r="B337" s="4" t="s">
        <v>45</v>
      </c>
      <c r="C337" s="4" t="s">
        <v>3388</v>
      </c>
      <c r="D337" s="4" t="s">
        <v>3416</v>
      </c>
      <c r="E337" s="4" t="s">
        <v>3417</v>
      </c>
      <c r="F337" s="4" t="s">
        <v>3418</v>
      </c>
      <c r="G337" s="11" t="s">
        <v>476</v>
      </c>
      <c r="H337" s="4" t="s">
        <v>3419</v>
      </c>
      <c r="I337" s="4" t="str">
        <f t="shared" ca="1" si="5"/>
        <v/>
      </c>
      <c r="J337" s="4"/>
      <c r="K337" s="4"/>
      <c r="L337" s="7" t="s">
        <v>103</v>
      </c>
      <c r="M337" s="4"/>
    </row>
    <row r="338" spans="1:13" ht="75" customHeight="1" x14ac:dyDescent="0.25">
      <c r="A338" s="4" t="s">
        <v>711</v>
      </c>
      <c r="B338" s="4" t="s">
        <v>45</v>
      </c>
      <c r="C338" s="4" t="s">
        <v>3388</v>
      </c>
      <c r="D338" s="4" t="s">
        <v>3420</v>
      </c>
      <c r="E338" s="4" t="s">
        <v>3421</v>
      </c>
      <c r="F338" s="4" t="s">
        <v>3422</v>
      </c>
      <c r="G338" s="11" t="s">
        <v>476</v>
      </c>
      <c r="H338" s="4" t="s">
        <v>3423</v>
      </c>
      <c r="I338" s="4" t="str">
        <f t="shared" ca="1" si="5"/>
        <v/>
      </c>
      <c r="J338" s="4"/>
      <c r="K338" s="4"/>
      <c r="L338" s="7" t="s">
        <v>103</v>
      </c>
      <c r="M338" s="4"/>
    </row>
    <row r="339" spans="1:13" ht="75" customHeight="1" x14ac:dyDescent="0.25">
      <c r="A339" s="4" t="s">
        <v>714</v>
      </c>
      <c r="B339" s="4" t="s">
        <v>45</v>
      </c>
      <c r="C339" s="4" t="s">
        <v>3388</v>
      </c>
      <c r="D339" s="4" t="s">
        <v>1353</v>
      </c>
      <c r="E339" s="4" t="s">
        <v>3424</v>
      </c>
      <c r="F339" s="4" t="s">
        <v>3425</v>
      </c>
      <c r="G339" s="11" t="s">
        <v>476</v>
      </c>
      <c r="H339" s="4" t="s">
        <v>2795</v>
      </c>
      <c r="I339" s="4" t="str">
        <f t="shared" ca="1" si="5"/>
        <v/>
      </c>
      <c r="J339" s="4"/>
      <c r="K339" s="4"/>
      <c r="L339" s="5" t="s">
        <v>67</v>
      </c>
      <c r="M339" s="4"/>
    </row>
    <row r="340" spans="1:13" ht="75" customHeight="1" x14ac:dyDescent="0.25">
      <c r="A340" s="4" t="s">
        <v>717</v>
      </c>
      <c r="B340" s="4" t="s">
        <v>45</v>
      </c>
      <c r="C340" s="4" t="s">
        <v>3396</v>
      </c>
      <c r="D340" s="4" t="s">
        <v>3426</v>
      </c>
      <c r="E340" s="4" t="s">
        <v>3427</v>
      </c>
      <c r="F340" s="4" t="s">
        <v>3428</v>
      </c>
      <c r="G340" s="11" t="s">
        <v>476</v>
      </c>
      <c r="H340" s="4" t="s">
        <v>3400</v>
      </c>
      <c r="I340" s="4" t="str">
        <f t="shared" ca="1" si="5"/>
        <v/>
      </c>
      <c r="J340" s="4"/>
      <c r="K340" s="4"/>
      <c r="L340" s="5" t="s">
        <v>67</v>
      </c>
      <c r="M340" s="4"/>
    </row>
    <row r="341" spans="1:13" ht="75" customHeight="1" x14ac:dyDescent="0.25">
      <c r="A341" s="4" t="s">
        <v>720</v>
      </c>
      <c r="B341" s="4" t="s">
        <v>45</v>
      </c>
      <c r="C341" s="4" t="s">
        <v>3396</v>
      </c>
      <c r="D341" s="4" t="s">
        <v>3429</v>
      </c>
      <c r="E341" s="4" t="s">
        <v>3430</v>
      </c>
      <c r="F341" s="4" t="s">
        <v>3431</v>
      </c>
      <c r="G341" s="11" t="s">
        <v>476</v>
      </c>
      <c r="H341" s="4" t="s">
        <v>3432</v>
      </c>
      <c r="I341" s="4" t="str">
        <f t="shared" ca="1" si="5"/>
        <v/>
      </c>
      <c r="J341" s="4"/>
      <c r="K341" s="4"/>
      <c r="L341" s="7" t="s">
        <v>103</v>
      </c>
      <c r="M341" s="4"/>
    </row>
    <row r="342" spans="1:13" ht="75" customHeight="1" x14ac:dyDescent="0.25">
      <c r="A342" s="4" t="s">
        <v>723</v>
      </c>
      <c r="B342" s="4" t="s">
        <v>45</v>
      </c>
      <c r="C342" s="4" t="s">
        <v>3396</v>
      </c>
      <c r="D342" s="4" t="s">
        <v>3433</v>
      </c>
      <c r="E342" s="4" t="s">
        <v>3434</v>
      </c>
      <c r="F342" s="4" t="s">
        <v>3435</v>
      </c>
      <c r="G342" s="11" t="s">
        <v>476</v>
      </c>
      <c r="H342" s="4" t="s">
        <v>3436</v>
      </c>
      <c r="I342" s="4" t="str">
        <f t="shared" ca="1" si="5"/>
        <v/>
      </c>
      <c r="J342" s="4"/>
      <c r="K342" s="4"/>
      <c r="L342" s="6" t="s">
        <v>95</v>
      </c>
      <c r="M342" s="4"/>
    </row>
    <row r="343" spans="1:13" ht="75" customHeight="1" x14ac:dyDescent="0.25">
      <c r="A343" s="4" t="s">
        <v>726</v>
      </c>
      <c r="B343" s="4" t="s">
        <v>45</v>
      </c>
      <c r="C343" s="4" t="s">
        <v>3437</v>
      </c>
      <c r="D343" s="4" t="s">
        <v>3438</v>
      </c>
      <c r="E343" s="4" t="s">
        <v>3439</v>
      </c>
      <c r="F343" s="4" t="s">
        <v>3440</v>
      </c>
      <c r="G343" s="11" t="s">
        <v>476</v>
      </c>
      <c r="H343" s="4" t="s">
        <v>2260</v>
      </c>
      <c r="I343" s="4" t="str">
        <f t="shared" ca="1" si="5"/>
        <v/>
      </c>
      <c r="J343" s="4"/>
      <c r="K343" s="4"/>
      <c r="L343" s="4" t="s">
        <v>131</v>
      </c>
      <c r="M343" s="4"/>
    </row>
    <row r="344" spans="1:13" ht="75" customHeight="1" x14ac:dyDescent="0.25">
      <c r="A344" s="4" t="s">
        <v>729</v>
      </c>
      <c r="B344" s="4" t="s">
        <v>45</v>
      </c>
      <c r="C344" s="4" t="s">
        <v>3437</v>
      </c>
      <c r="D344" s="4" t="s">
        <v>3441</v>
      </c>
      <c r="E344" s="4" t="s">
        <v>3442</v>
      </c>
      <c r="F344" s="4" t="s">
        <v>3443</v>
      </c>
      <c r="G344" s="11" t="s">
        <v>476</v>
      </c>
      <c r="H344" s="4" t="s">
        <v>3444</v>
      </c>
      <c r="I344" s="4" t="str">
        <f t="shared" ca="1" si="5"/>
        <v/>
      </c>
      <c r="J344" s="4"/>
      <c r="K344" s="4"/>
      <c r="L344" s="5" t="s">
        <v>67</v>
      </c>
      <c r="M344" s="4"/>
    </row>
    <row r="345" spans="1:13" ht="75" customHeight="1" x14ac:dyDescent="0.25">
      <c r="A345" s="4" t="s">
        <v>732</v>
      </c>
      <c r="B345" s="4" t="s">
        <v>45</v>
      </c>
      <c r="C345" s="4" t="s">
        <v>3437</v>
      </c>
      <c r="D345" s="4" t="s">
        <v>3445</v>
      </c>
      <c r="E345" s="4" t="s">
        <v>3446</v>
      </c>
      <c r="F345" s="4" t="s">
        <v>3447</v>
      </c>
      <c r="G345" s="11" t="s">
        <v>476</v>
      </c>
      <c r="H345" s="4" t="s">
        <v>3448</v>
      </c>
      <c r="I345" s="4" t="str">
        <f t="shared" ca="1" si="5"/>
        <v/>
      </c>
      <c r="J345" s="4"/>
      <c r="K345" s="4"/>
      <c r="L345" s="5" t="s">
        <v>67</v>
      </c>
      <c r="M345" s="4"/>
    </row>
    <row r="346" spans="1:13" ht="75" customHeight="1" x14ac:dyDescent="0.25">
      <c r="A346" s="4" t="s">
        <v>735</v>
      </c>
      <c r="B346" s="4" t="s">
        <v>45</v>
      </c>
      <c r="C346" s="4" t="s">
        <v>2262</v>
      </c>
      <c r="D346" s="4" t="s">
        <v>3449</v>
      </c>
      <c r="E346" s="4" t="s">
        <v>3450</v>
      </c>
      <c r="F346" s="4" t="s">
        <v>3451</v>
      </c>
      <c r="G346" s="11" t="s">
        <v>476</v>
      </c>
      <c r="H346" s="4" t="s">
        <v>3452</v>
      </c>
      <c r="I346" s="4" t="str">
        <f t="shared" ca="1" si="5"/>
        <v/>
      </c>
      <c r="J346" s="4"/>
      <c r="K346" s="4"/>
      <c r="L346" s="5" t="s">
        <v>67</v>
      </c>
      <c r="M346" s="4"/>
    </row>
    <row r="347" spans="1:13" ht="75" customHeight="1" x14ac:dyDescent="0.25">
      <c r="A347" s="4" t="s">
        <v>738</v>
      </c>
      <c r="B347" s="4" t="s">
        <v>45</v>
      </c>
      <c r="C347" s="4" t="s">
        <v>2262</v>
      </c>
      <c r="D347" s="4" t="s">
        <v>3453</v>
      </c>
      <c r="E347" s="4" t="s">
        <v>3454</v>
      </c>
      <c r="F347" s="4" t="s">
        <v>3455</v>
      </c>
      <c r="G347" s="11" t="s">
        <v>476</v>
      </c>
      <c r="H347" s="4" t="s">
        <v>3456</v>
      </c>
      <c r="I347" s="4" t="str">
        <f t="shared" ca="1" si="5"/>
        <v/>
      </c>
      <c r="J347" s="4"/>
      <c r="K347" s="4"/>
      <c r="L347" s="6" t="s">
        <v>95</v>
      </c>
      <c r="M347" s="4"/>
    </row>
    <row r="348" spans="1:13" ht="75" customHeight="1" x14ac:dyDescent="0.25">
      <c r="A348" s="4" t="s">
        <v>741</v>
      </c>
      <c r="B348" s="4" t="s">
        <v>45</v>
      </c>
      <c r="C348" s="4" t="s">
        <v>2262</v>
      </c>
      <c r="D348" s="4" t="s">
        <v>2263</v>
      </c>
      <c r="E348" s="4" t="s">
        <v>3457</v>
      </c>
      <c r="F348" s="4" t="s">
        <v>3458</v>
      </c>
      <c r="G348" s="11" t="s">
        <v>476</v>
      </c>
      <c r="H348" s="4" t="s">
        <v>3459</v>
      </c>
      <c r="I348" s="4" t="str">
        <f t="shared" ca="1" si="5"/>
        <v/>
      </c>
      <c r="J348" s="4"/>
      <c r="K348" s="4"/>
      <c r="L348" s="4" t="s">
        <v>131</v>
      </c>
      <c r="M348" s="4"/>
    </row>
    <row r="349" spans="1:13" ht="75" customHeight="1" x14ac:dyDescent="0.25">
      <c r="A349" s="4" t="s">
        <v>745</v>
      </c>
      <c r="B349" s="4" t="s">
        <v>45</v>
      </c>
      <c r="C349" s="4" t="s">
        <v>1167</v>
      </c>
      <c r="D349" s="4" t="s">
        <v>2117</v>
      </c>
      <c r="E349" s="4" t="s">
        <v>3460</v>
      </c>
      <c r="F349" s="4" t="s">
        <v>3461</v>
      </c>
      <c r="G349" s="11" t="s">
        <v>476</v>
      </c>
      <c r="H349" s="4" t="s">
        <v>3462</v>
      </c>
      <c r="I349" s="4" t="str">
        <f t="shared" ca="1" si="5"/>
        <v/>
      </c>
      <c r="J349" s="4"/>
      <c r="K349" s="4"/>
      <c r="L349" s="7" t="s">
        <v>103</v>
      </c>
      <c r="M349" s="4"/>
    </row>
    <row r="350" spans="1:13" ht="75" customHeight="1" x14ac:dyDescent="0.25">
      <c r="A350" s="4" t="s">
        <v>748</v>
      </c>
      <c r="B350" s="4" t="s">
        <v>45</v>
      </c>
      <c r="C350" s="4" t="s">
        <v>1167</v>
      </c>
      <c r="D350" s="4" t="s">
        <v>3463</v>
      </c>
      <c r="E350" s="4" t="s">
        <v>3464</v>
      </c>
      <c r="F350" s="4" t="s">
        <v>3465</v>
      </c>
      <c r="G350" s="11" t="s">
        <v>476</v>
      </c>
      <c r="H350" s="4" t="s">
        <v>3466</v>
      </c>
      <c r="I350" s="4" t="str">
        <f t="shared" ca="1" si="5"/>
        <v/>
      </c>
      <c r="J350" s="4"/>
      <c r="K350" s="4"/>
      <c r="L350" s="5" t="s">
        <v>67</v>
      </c>
      <c r="M350" s="4"/>
    </row>
    <row r="351" spans="1:13" ht="75" customHeight="1" x14ac:dyDescent="0.25">
      <c r="A351" s="4" t="s">
        <v>3467</v>
      </c>
      <c r="B351" s="4" t="s">
        <v>45</v>
      </c>
      <c r="C351" s="4" t="s">
        <v>1167</v>
      </c>
      <c r="D351" s="4" t="s">
        <v>3468</v>
      </c>
      <c r="E351" s="4" t="s">
        <v>3469</v>
      </c>
      <c r="F351" s="4" t="s">
        <v>3470</v>
      </c>
      <c r="G351" s="11" t="s">
        <v>476</v>
      </c>
      <c r="H351" s="4" t="s">
        <v>3471</v>
      </c>
      <c r="I351" s="4" t="str">
        <f t="shared" ca="1" si="5"/>
        <v/>
      </c>
      <c r="J351" s="4"/>
      <c r="K351" s="4"/>
      <c r="L351" s="6" t="s">
        <v>95</v>
      </c>
      <c r="M351" s="4"/>
    </row>
    <row r="352" spans="1:13" ht="75" customHeight="1" x14ac:dyDescent="0.25">
      <c r="A352" s="4" t="s">
        <v>3472</v>
      </c>
      <c r="B352" s="4" t="s">
        <v>45</v>
      </c>
      <c r="C352" s="4" t="s">
        <v>1167</v>
      </c>
      <c r="D352" s="4" t="s">
        <v>3473</v>
      </c>
      <c r="E352" s="4" t="s">
        <v>3474</v>
      </c>
      <c r="F352" s="4" t="s">
        <v>3475</v>
      </c>
      <c r="G352" s="11" t="s">
        <v>476</v>
      </c>
      <c r="H352" s="4" t="s">
        <v>3476</v>
      </c>
      <c r="I352" s="4" t="str">
        <f t="shared" ca="1" si="5"/>
        <v/>
      </c>
      <c r="J352" s="4"/>
      <c r="K352" s="4"/>
      <c r="L352" s="5" t="s">
        <v>67</v>
      </c>
      <c r="M352" s="4"/>
    </row>
    <row r="353" spans="1:13" ht="75" customHeight="1" x14ac:dyDescent="0.25">
      <c r="A353" s="4" t="s">
        <v>3477</v>
      </c>
      <c r="B353" s="4" t="s">
        <v>45</v>
      </c>
      <c r="C353" s="4" t="s">
        <v>1167</v>
      </c>
      <c r="D353" s="4" t="s">
        <v>3478</v>
      </c>
      <c r="E353" s="4" t="s">
        <v>3479</v>
      </c>
      <c r="F353" s="4" t="s">
        <v>3480</v>
      </c>
      <c r="G353" s="11" t="s">
        <v>476</v>
      </c>
      <c r="H353" s="4" t="s">
        <v>3481</v>
      </c>
      <c r="I353" s="4" t="str">
        <f t="shared" ca="1" si="5"/>
        <v/>
      </c>
      <c r="J353" s="4"/>
      <c r="K353" s="4"/>
      <c r="L353" s="6" t="s">
        <v>95</v>
      </c>
      <c r="M353" s="4"/>
    </row>
  </sheetData>
  <hyperlinks>
    <hyperlink ref="G2" r:id="rId1" xr:uid="{00000000-0004-0000-0700-000000000000}"/>
    <hyperlink ref="G3" r:id="rId2" xr:uid="{00000000-0004-0000-0700-000001000000}"/>
    <hyperlink ref="G4" r:id="rId3" xr:uid="{00000000-0004-0000-0700-000002000000}"/>
    <hyperlink ref="G5" r:id="rId4" xr:uid="{00000000-0004-0000-0700-000003000000}"/>
    <hyperlink ref="G6" r:id="rId5" xr:uid="{00000000-0004-0000-0700-000004000000}"/>
    <hyperlink ref="G7" r:id="rId6" xr:uid="{00000000-0004-0000-0700-000005000000}"/>
    <hyperlink ref="G8" r:id="rId7" xr:uid="{00000000-0004-0000-0700-000006000000}"/>
    <hyperlink ref="G9" r:id="rId8" xr:uid="{00000000-0004-0000-0700-000007000000}"/>
    <hyperlink ref="G10" r:id="rId9" xr:uid="{00000000-0004-0000-0700-000008000000}"/>
    <hyperlink ref="G11" r:id="rId10" xr:uid="{00000000-0004-0000-0700-000009000000}"/>
    <hyperlink ref="G12" r:id="rId11" xr:uid="{00000000-0004-0000-0700-00000A000000}"/>
    <hyperlink ref="G13" r:id="rId12" xr:uid="{00000000-0004-0000-0700-00000B000000}"/>
    <hyperlink ref="G14" r:id="rId13" xr:uid="{00000000-0004-0000-0700-00000C000000}"/>
    <hyperlink ref="G15" r:id="rId14" xr:uid="{00000000-0004-0000-0700-00000D000000}"/>
    <hyperlink ref="G16" r:id="rId15" xr:uid="{00000000-0004-0000-0700-00000E000000}"/>
    <hyperlink ref="G17" r:id="rId16" xr:uid="{00000000-0004-0000-0700-00000F000000}"/>
    <hyperlink ref="G18" r:id="rId17" xr:uid="{00000000-0004-0000-0700-000010000000}"/>
    <hyperlink ref="G19" r:id="rId18" xr:uid="{00000000-0004-0000-0700-000011000000}"/>
    <hyperlink ref="G20" r:id="rId19" xr:uid="{00000000-0004-0000-0700-000012000000}"/>
    <hyperlink ref="G21" r:id="rId20" xr:uid="{00000000-0004-0000-0700-000013000000}"/>
    <hyperlink ref="G22" r:id="rId21" xr:uid="{00000000-0004-0000-0700-000014000000}"/>
    <hyperlink ref="G23" r:id="rId22" xr:uid="{00000000-0004-0000-0700-000015000000}"/>
    <hyperlink ref="G24" r:id="rId23" xr:uid="{00000000-0004-0000-0700-000016000000}"/>
    <hyperlink ref="G25" r:id="rId24" xr:uid="{00000000-0004-0000-0700-000017000000}"/>
    <hyperlink ref="G26" r:id="rId25" xr:uid="{00000000-0004-0000-0700-000018000000}"/>
    <hyperlink ref="G27" r:id="rId26" xr:uid="{00000000-0004-0000-0700-000019000000}"/>
    <hyperlink ref="G28" r:id="rId27" xr:uid="{00000000-0004-0000-0700-00001A000000}"/>
    <hyperlink ref="G29" r:id="rId28" xr:uid="{00000000-0004-0000-0700-00001B000000}"/>
    <hyperlink ref="G30" r:id="rId29" xr:uid="{00000000-0004-0000-0700-00001C000000}"/>
    <hyperlink ref="G31" r:id="rId30" xr:uid="{00000000-0004-0000-0700-00001D000000}"/>
    <hyperlink ref="G32" r:id="rId31" xr:uid="{00000000-0004-0000-0700-00001E000000}"/>
    <hyperlink ref="G33" r:id="rId32" xr:uid="{00000000-0004-0000-0700-00001F000000}"/>
    <hyperlink ref="G34" r:id="rId33" xr:uid="{00000000-0004-0000-0700-000020000000}"/>
    <hyperlink ref="G35" r:id="rId34" xr:uid="{00000000-0004-0000-0700-000021000000}"/>
    <hyperlink ref="G36" r:id="rId35" xr:uid="{00000000-0004-0000-0700-000022000000}"/>
    <hyperlink ref="G37" r:id="rId36" xr:uid="{00000000-0004-0000-0700-000023000000}"/>
    <hyperlink ref="G38" r:id="rId37" xr:uid="{00000000-0004-0000-0700-000024000000}"/>
    <hyperlink ref="G39" r:id="rId38" xr:uid="{00000000-0004-0000-0700-000025000000}"/>
    <hyperlink ref="G40" r:id="rId39" xr:uid="{00000000-0004-0000-0700-000026000000}"/>
    <hyperlink ref="G41" r:id="rId40" xr:uid="{00000000-0004-0000-0700-000027000000}"/>
    <hyperlink ref="G42" r:id="rId41" xr:uid="{00000000-0004-0000-0700-000028000000}"/>
    <hyperlink ref="G43" r:id="rId42" xr:uid="{00000000-0004-0000-0700-000029000000}"/>
    <hyperlink ref="G44" r:id="rId43" xr:uid="{00000000-0004-0000-0700-00002A000000}"/>
    <hyperlink ref="G45" r:id="rId44" xr:uid="{00000000-0004-0000-0700-00002B000000}"/>
    <hyperlink ref="G46" r:id="rId45" xr:uid="{00000000-0004-0000-0700-00002C000000}"/>
    <hyperlink ref="G47" r:id="rId46" xr:uid="{00000000-0004-0000-0700-00002D000000}"/>
    <hyperlink ref="G48" r:id="rId47" xr:uid="{00000000-0004-0000-0700-00002E000000}"/>
    <hyperlink ref="G49" r:id="rId48" xr:uid="{00000000-0004-0000-0700-00002F000000}"/>
    <hyperlink ref="G50" r:id="rId49" xr:uid="{00000000-0004-0000-0700-000030000000}"/>
    <hyperlink ref="G51" r:id="rId50" xr:uid="{00000000-0004-0000-0700-000031000000}"/>
    <hyperlink ref="G52" r:id="rId51" xr:uid="{00000000-0004-0000-0700-000032000000}"/>
    <hyperlink ref="G53" r:id="rId52" xr:uid="{00000000-0004-0000-0700-000033000000}"/>
    <hyperlink ref="G54" r:id="rId53" xr:uid="{00000000-0004-0000-0700-000034000000}"/>
    <hyperlink ref="G55" r:id="rId54" xr:uid="{00000000-0004-0000-0700-000035000000}"/>
    <hyperlink ref="G56" r:id="rId55" xr:uid="{00000000-0004-0000-0700-000036000000}"/>
    <hyperlink ref="G57" r:id="rId56" xr:uid="{00000000-0004-0000-0700-000037000000}"/>
    <hyperlink ref="G58" r:id="rId57" xr:uid="{00000000-0004-0000-0700-000038000000}"/>
    <hyperlink ref="G59" r:id="rId58" xr:uid="{00000000-0004-0000-0700-000039000000}"/>
    <hyperlink ref="G60" r:id="rId59" xr:uid="{00000000-0004-0000-0700-00003A000000}"/>
    <hyperlink ref="G61" r:id="rId60" xr:uid="{00000000-0004-0000-0700-00003B000000}"/>
    <hyperlink ref="G62" r:id="rId61" xr:uid="{00000000-0004-0000-0700-00003C000000}"/>
    <hyperlink ref="G63" r:id="rId62" xr:uid="{00000000-0004-0000-0700-00003D000000}"/>
    <hyperlink ref="G64" r:id="rId63" xr:uid="{00000000-0004-0000-0700-00003E000000}"/>
    <hyperlink ref="G65" r:id="rId64" xr:uid="{00000000-0004-0000-0700-00003F000000}"/>
    <hyperlink ref="G66" r:id="rId65" xr:uid="{00000000-0004-0000-0700-000040000000}"/>
    <hyperlink ref="G67" r:id="rId66" xr:uid="{00000000-0004-0000-0700-000041000000}"/>
    <hyperlink ref="G68" r:id="rId67" xr:uid="{00000000-0004-0000-0700-000042000000}"/>
    <hyperlink ref="G69" r:id="rId68" xr:uid="{00000000-0004-0000-0700-000043000000}"/>
    <hyperlink ref="G70" r:id="rId69" xr:uid="{00000000-0004-0000-0700-000044000000}"/>
    <hyperlink ref="G71" r:id="rId70" xr:uid="{00000000-0004-0000-0700-000045000000}"/>
    <hyperlink ref="G72" r:id="rId71" xr:uid="{00000000-0004-0000-0700-000046000000}"/>
    <hyperlink ref="G73" r:id="rId72" xr:uid="{00000000-0004-0000-0700-000047000000}"/>
    <hyperlink ref="G74" r:id="rId73" xr:uid="{00000000-0004-0000-0700-000048000000}"/>
    <hyperlink ref="G75" r:id="rId74" xr:uid="{00000000-0004-0000-0700-000049000000}"/>
    <hyperlink ref="G76" r:id="rId75" xr:uid="{00000000-0004-0000-0700-00004A000000}"/>
    <hyperlink ref="G77" r:id="rId76" xr:uid="{00000000-0004-0000-0700-00004B000000}"/>
    <hyperlink ref="G78" r:id="rId77" xr:uid="{00000000-0004-0000-0700-00004C000000}"/>
    <hyperlink ref="G79" r:id="rId78" xr:uid="{00000000-0004-0000-0700-00004D000000}"/>
    <hyperlink ref="G80" r:id="rId79" xr:uid="{00000000-0004-0000-0700-00004E000000}"/>
    <hyperlink ref="G81" r:id="rId80" xr:uid="{00000000-0004-0000-0700-00004F000000}"/>
    <hyperlink ref="G82" r:id="rId81" xr:uid="{00000000-0004-0000-0700-000050000000}"/>
    <hyperlink ref="G83" r:id="rId82" xr:uid="{00000000-0004-0000-0700-000051000000}"/>
    <hyperlink ref="G84" r:id="rId83" xr:uid="{00000000-0004-0000-0700-000052000000}"/>
    <hyperlink ref="G85" r:id="rId84" xr:uid="{00000000-0004-0000-0700-000053000000}"/>
    <hyperlink ref="G86" r:id="rId85" xr:uid="{00000000-0004-0000-0700-000054000000}"/>
    <hyperlink ref="G87" r:id="rId86" xr:uid="{00000000-0004-0000-0700-000055000000}"/>
    <hyperlink ref="G88" r:id="rId87" xr:uid="{00000000-0004-0000-0700-000056000000}"/>
    <hyperlink ref="G89" r:id="rId88" xr:uid="{00000000-0004-0000-0700-000057000000}"/>
    <hyperlink ref="G90" r:id="rId89" xr:uid="{00000000-0004-0000-0700-000058000000}"/>
    <hyperlink ref="G91" r:id="rId90" xr:uid="{00000000-0004-0000-0700-000059000000}"/>
    <hyperlink ref="G92" r:id="rId91" xr:uid="{00000000-0004-0000-0700-00005A000000}"/>
    <hyperlink ref="G93" r:id="rId92" xr:uid="{00000000-0004-0000-0700-00005B000000}"/>
    <hyperlink ref="G94" r:id="rId93" xr:uid="{00000000-0004-0000-0700-00005C000000}"/>
    <hyperlink ref="G95" r:id="rId94" xr:uid="{00000000-0004-0000-0700-00005D000000}"/>
    <hyperlink ref="G96" r:id="rId95" xr:uid="{00000000-0004-0000-0700-00005E000000}"/>
    <hyperlink ref="G97" r:id="rId96" xr:uid="{00000000-0004-0000-0700-00005F000000}"/>
    <hyperlink ref="G98" r:id="rId97" xr:uid="{00000000-0004-0000-0700-000060000000}"/>
    <hyperlink ref="G99" r:id="rId98" xr:uid="{00000000-0004-0000-0700-000061000000}"/>
    <hyperlink ref="G100" r:id="rId99" xr:uid="{00000000-0004-0000-0700-000062000000}"/>
    <hyperlink ref="G101" r:id="rId100" xr:uid="{00000000-0004-0000-0700-000063000000}"/>
    <hyperlink ref="G102" r:id="rId101" xr:uid="{00000000-0004-0000-0700-000064000000}"/>
    <hyperlink ref="G103" r:id="rId102" xr:uid="{00000000-0004-0000-0700-000065000000}"/>
    <hyperlink ref="G104" r:id="rId103" xr:uid="{00000000-0004-0000-0700-000066000000}"/>
    <hyperlink ref="G105" r:id="rId104" xr:uid="{00000000-0004-0000-0700-000067000000}"/>
    <hyperlink ref="G106" r:id="rId105" xr:uid="{00000000-0004-0000-0700-000068000000}"/>
    <hyperlink ref="G107" r:id="rId106" xr:uid="{00000000-0004-0000-0700-000069000000}"/>
    <hyperlink ref="G108" r:id="rId107" xr:uid="{00000000-0004-0000-0700-00006A000000}"/>
    <hyperlink ref="G109" r:id="rId108" xr:uid="{00000000-0004-0000-0700-00006B000000}"/>
    <hyperlink ref="G110" r:id="rId109" xr:uid="{00000000-0004-0000-0700-00006C000000}"/>
    <hyperlink ref="G111" r:id="rId110" xr:uid="{00000000-0004-0000-0700-00006D000000}"/>
    <hyperlink ref="G112" r:id="rId111" xr:uid="{00000000-0004-0000-0700-00006E000000}"/>
    <hyperlink ref="G113" r:id="rId112" xr:uid="{00000000-0004-0000-0700-00006F000000}"/>
    <hyperlink ref="G114" r:id="rId113" xr:uid="{00000000-0004-0000-0700-000070000000}"/>
    <hyperlink ref="G115" r:id="rId114" xr:uid="{00000000-0004-0000-0700-000071000000}"/>
    <hyperlink ref="G116" r:id="rId115" xr:uid="{00000000-0004-0000-0700-000072000000}"/>
    <hyperlink ref="G117" r:id="rId116" xr:uid="{00000000-0004-0000-0700-000073000000}"/>
    <hyperlink ref="G118" r:id="rId117" xr:uid="{00000000-0004-0000-0700-000074000000}"/>
    <hyperlink ref="G119" r:id="rId118" xr:uid="{00000000-0004-0000-0700-000075000000}"/>
    <hyperlink ref="G120" r:id="rId119" xr:uid="{00000000-0004-0000-0700-000076000000}"/>
    <hyperlink ref="G121" r:id="rId120" xr:uid="{00000000-0004-0000-0700-000077000000}"/>
    <hyperlink ref="G122" r:id="rId121" xr:uid="{00000000-0004-0000-0700-000078000000}"/>
    <hyperlink ref="G123" r:id="rId122" xr:uid="{00000000-0004-0000-0700-000079000000}"/>
    <hyperlink ref="G124" r:id="rId123" xr:uid="{00000000-0004-0000-0700-00007A000000}"/>
    <hyperlink ref="G125" r:id="rId124" xr:uid="{00000000-0004-0000-0700-00007B000000}"/>
    <hyperlink ref="G126" r:id="rId125" xr:uid="{00000000-0004-0000-0700-00007C000000}"/>
    <hyperlink ref="G127" r:id="rId126" xr:uid="{00000000-0004-0000-0700-00007D000000}"/>
    <hyperlink ref="G128" r:id="rId127" xr:uid="{00000000-0004-0000-0700-00007E000000}"/>
    <hyperlink ref="G129" r:id="rId128" xr:uid="{00000000-0004-0000-0700-00007F000000}"/>
    <hyperlink ref="G130" r:id="rId129" xr:uid="{00000000-0004-0000-0700-000080000000}"/>
    <hyperlink ref="G131" r:id="rId130" xr:uid="{00000000-0004-0000-0700-000081000000}"/>
    <hyperlink ref="G132" r:id="rId131" xr:uid="{00000000-0004-0000-0700-000082000000}"/>
    <hyperlink ref="G133" r:id="rId132" xr:uid="{00000000-0004-0000-0700-000083000000}"/>
    <hyperlink ref="G134" r:id="rId133" xr:uid="{00000000-0004-0000-0700-000084000000}"/>
    <hyperlink ref="G135" r:id="rId134" xr:uid="{00000000-0004-0000-0700-000085000000}"/>
    <hyperlink ref="G136" r:id="rId135" xr:uid="{00000000-0004-0000-0700-000086000000}"/>
    <hyperlink ref="G137" r:id="rId136" xr:uid="{00000000-0004-0000-0700-000087000000}"/>
    <hyperlink ref="G138" r:id="rId137" xr:uid="{00000000-0004-0000-0700-000088000000}"/>
    <hyperlink ref="G139" r:id="rId138" xr:uid="{00000000-0004-0000-0700-000089000000}"/>
    <hyperlink ref="G140" r:id="rId139" xr:uid="{00000000-0004-0000-0700-00008A000000}"/>
    <hyperlink ref="G141" r:id="rId140" xr:uid="{00000000-0004-0000-0700-00008B000000}"/>
    <hyperlink ref="G142" r:id="rId141" xr:uid="{00000000-0004-0000-0700-00008C000000}"/>
    <hyperlink ref="G143" r:id="rId142" xr:uid="{00000000-0004-0000-0700-00008D000000}"/>
    <hyperlink ref="G144" r:id="rId143" xr:uid="{00000000-0004-0000-0700-00008E000000}"/>
    <hyperlink ref="G145" r:id="rId144" xr:uid="{00000000-0004-0000-0700-00008F000000}"/>
    <hyperlink ref="G146" r:id="rId145" xr:uid="{00000000-0004-0000-0700-000090000000}"/>
    <hyperlink ref="G147" r:id="rId146" xr:uid="{00000000-0004-0000-0700-000091000000}"/>
    <hyperlink ref="G148" r:id="rId147" xr:uid="{00000000-0004-0000-0700-000092000000}"/>
    <hyperlink ref="G149" r:id="rId148" xr:uid="{00000000-0004-0000-0700-000093000000}"/>
    <hyperlink ref="G150" r:id="rId149" xr:uid="{00000000-0004-0000-0700-000094000000}"/>
    <hyperlink ref="G151" r:id="rId150" xr:uid="{00000000-0004-0000-0700-000095000000}"/>
    <hyperlink ref="G152" r:id="rId151" xr:uid="{00000000-0004-0000-0700-000096000000}"/>
    <hyperlink ref="G153" r:id="rId152" xr:uid="{00000000-0004-0000-0700-000097000000}"/>
    <hyperlink ref="G154" r:id="rId153" xr:uid="{00000000-0004-0000-0700-000098000000}"/>
    <hyperlink ref="G155" r:id="rId154" xr:uid="{00000000-0004-0000-0700-000099000000}"/>
    <hyperlink ref="G156" r:id="rId155" xr:uid="{00000000-0004-0000-0700-00009A000000}"/>
    <hyperlink ref="G157" r:id="rId156" xr:uid="{00000000-0004-0000-0700-00009B000000}"/>
    <hyperlink ref="G158" r:id="rId157" xr:uid="{00000000-0004-0000-0700-00009C000000}"/>
    <hyperlink ref="G159" r:id="rId158" xr:uid="{00000000-0004-0000-0700-00009D000000}"/>
    <hyperlink ref="G160" r:id="rId159" xr:uid="{00000000-0004-0000-0700-00009E000000}"/>
    <hyperlink ref="G161" r:id="rId160" xr:uid="{00000000-0004-0000-0700-00009F000000}"/>
    <hyperlink ref="G162" r:id="rId161" xr:uid="{00000000-0004-0000-0700-0000A0000000}"/>
    <hyperlink ref="G163" r:id="rId162" xr:uid="{00000000-0004-0000-0700-0000A1000000}"/>
    <hyperlink ref="G164" r:id="rId163" xr:uid="{00000000-0004-0000-0700-0000A2000000}"/>
    <hyperlink ref="G165" r:id="rId164" xr:uid="{00000000-0004-0000-0700-0000A3000000}"/>
    <hyperlink ref="G166" r:id="rId165" xr:uid="{00000000-0004-0000-0700-0000A4000000}"/>
    <hyperlink ref="G167" r:id="rId166" xr:uid="{00000000-0004-0000-0700-0000A5000000}"/>
    <hyperlink ref="G168" r:id="rId167" xr:uid="{00000000-0004-0000-0700-0000A6000000}"/>
    <hyperlink ref="G169" r:id="rId168" xr:uid="{00000000-0004-0000-0700-0000A7000000}"/>
    <hyperlink ref="G170" r:id="rId169" xr:uid="{00000000-0004-0000-0700-0000A8000000}"/>
    <hyperlink ref="G171" r:id="rId170" xr:uid="{00000000-0004-0000-0700-0000A9000000}"/>
    <hyperlink ref="G172" r:id="rId171" xr:uid="{00000000-0004-0000-0700-0000AA000000}"/>
    <hyperlink ref="G173" r:id="rId172" xr:uid="{00000000-0004-0000-0700-0000AB000000}"/>
    <hyperlink ref="G174" r:id="rId173" xr:uid="{00000000-0004-0000-0700-0000AC000000}"/>
    <hyperlink ref="G175" r:id="rId174" xr:uid="{00000000-0004-0000-0700-0000AD000000}"/>
    <hyperlink ref="G176" r:id="rId175" xr:uid="{00000000-0004-0000-0700-0000AE000000}"/>
    <hyperlink ref="G177" r:id="rId176" xr:uid="{00000000-0004-0000-0700-0000AF000000}"/>
    <hyperlink ref="G178" r:id="rId177" xr:uid="{00000000-0004-0000-0700-0000B0000000}"/>
    <hyperlink ref="G179" r:id="rId178" xr:uid="{00000000-0004-0000-0700-0000B1000000}"/>
    <hyperlink ref="G180" r:id="rId179" xr:uid="{00000000-0004-0000-0700-0000B2000000}"/>
    <hyperlink ref="G181" r:id="rId180" xr:uid="{00000000-0004-0000-0700-0000B3000000}"/>
    <hyperlink ref="G182" r:id="rId181" xr:uid="{00000000-0004-0000-0700-0000B4000000}"/>
    <hyperlink ref="G183" r:id="rId182" xr:uid="{00000000-0004-0000-0700-0000B5000000}"/>
    <hyperlink ref="G184" r:id="rId183" xr:uid="{00000000-0004-0000-0700-0000B6000000}"/>
    <hyperlink ref="G185" r:id="rId184" xr:uid="{00000000-0004-0000-0700-0000B7000000}"/>
    <hyperlink ref="G186" r:id="rId185" xr:uid="{00000000-0004-0000-0700-0000B8000000}"/>
    <hyperlink ref="G187" r:id="rId186" xr:uid="{00000000-0004-0000-0700-0000B9000000}"/>
    <hyperlink ref="G188" r:id="rId187" xr:uid="{00000000-0004-0000-0700-0000BA000000}"/>
    <hyperlink ref="G189" r:id="rId188" xr:uid="{00000000-0004-0000-0700-0000BB000000}"/>
    <hyperlink ref="G190" r:id="rId189" xr:uid="{00000000-0004-0000-0700-0000BC000000}"/>
    <hyperlink ref="G191" r:id="rId190" xr:uid="{00000000-0004-0000-0700-0000BD000000}"/>
    <hyperlink ref="G192" r:id="rId191" xr:uid="{00000000-0004-0000-0700-0000BE000000}"/>
    <hyperlink ref="G193" r:id="rId192" xr:uid="{00000000-0004-0000-0700-0000BF000000}"/>
    <hyperlink ref="G194" r:id="rId193" xr:uid="{00000000-0004-0000-0700-0000C0000000}"/>
    <hyperlink ref="G195" r:id="rId194" xr:uid="{00000000-0004-0000-0700-0000C1000000}"/>
    <hyperlink ref="G196" r:id="rId195" xr:uid="{00000000-0004-0000-0700-0000C2000000}"/>
    <hyperlink ref="G197" r:id="rId196" xr:uid="{00000000-0004-0000-0700-0000C3000000}"/>
    <hyperlink ref="G198" r:id="rId197" xr:uid="{00000000-0004-0000-0700-0000C4000000}"/>
    <hyperlink ref="G199" r:id="rId198" xr:uid="{00000000-0004-0000-0700-0000C5000000}"/>
    <hyperlink ref="G200" r:id="rId199" xr:uid="{00000000-0004-0000-0700-0000C6000000}"/>
    <hyperlink ref="G201" r:id="rId200" xr:uid="{00000000-0004-0000-0700-0000C7000000}"/>
    <hyperlink ref="G202" r:id="rId201" xr:uid="{00000000-0004-0000-0700-0000C8000000}"/>
    <hyperlink ref="G203" r:id="rId202" xr:uid="{00000000-0004-0000-0700-0000C9000000}"/>
    <hyperlink ref="G204" r:id="rId203" xr:uid="{00000000-0004-0000-0700-0000CA000000}"/>
    <hyperlink ref="G205" r:id="rId204" xr:uid="{00000000-0004-0000-0700-0000CB000000}"/>
    <hyperlink ref="G206" r:id="rId205" xr:uid="{00000000-0004-0000-0700-0000CC000000}"/>
    <hyperlink ref="G207" r:id="rId206" xr:uid="{00000000-0004-0000-0700-0000CD000000}"/>
    <hyperlink ref="G208" r:id="rId207" xr:uid="{00000000-0004-0000-0700-0000CE000000}"/>
    <hyperlink ref="G209" r:id="rId208" xr:uid="{00000000-0004-0000-0700-0000CF000000}"/>
    <hyperlink ref="G210" r:id="rId209" xr:uid="{00000000-0004-0000-0700-0000D0000000}"/>
    <hyperlink ref="G211" r:id="rId210" xr:uid="{00000000-0004-0000-0700-0000D1000000}"/>
    <hyperlink ref="G212" r:id="rId211" xr:uid="{00000000-0004-0000-0700-0000D2000000}"/>
    <hyperlink ref="G213" r:id="rId212" xr:uid="{00000000-0004-0000-0700-0000D3000000}"/>
    <hyperlink ref="G214" r:id="rId213" xr:uid="{00000000-0004-0000-0700-0000D4000000}"/>
    <hyperlink ref="G215" r:id="rId214" xr:uid="{00000000-0004-0000-0700-0000D5000000}"/>
    <hyperlink ref="G216" r:id="rId215" xr:uid="{00000000-0004-0000-0700-0000D6000000}"/>
    <hyperlink ref="G217" r:id="rId216" xr:uid="{00000000-0004-0000-0700-0000D7000000}"/>
    <hyperlink ref="G218" r:id="rId217" xr:uid="{00000000-0004-0000-0700-0000D8000000}"/>
    <hyperlink ref="G219" r:id="rId218" xr:uid="{00000000-0004-0000-0700-0000D9000000}"/>
    <hyperlink ref="G220" r:id="rId219" xr:uid="{00000000-0004-0000-0700-0000DA000000}"/>
    <hyperlink ref="G221" r:id="rId220" xr:uid="{00000000-0004-0000-0700-0000DB000000}"/>
    <hyperlink ref="G222" r:id="rId221" xr:uid="{00000000-0004-0000-0700-0000DC000000}"/>
    <hyperlink ref="G223" r:id="rId222" xr:uid="{00000000-0004-0000-0700-0000DD000000}"/>
    <hyperlink ref="G224" r:id="rId223" xr:uid="{00000000-0004-0000-0700-0000DE000000}"/>
    <hyperlink ref="G225" r:id="rId224" xr:uid="{00000000-0004-0000-0700-0000DF000000}"/>
    <hyperlink ref="G226" r:id="rId225" xr:uid="{00000000-0004-0000-0700-0000E0000000}"/>
    <hyperlink ref="G227" r:id="rId226" xr:uid="{00000000-0004-0000-0700-0000E1000000}"/>
    <hyperlink ref="G228" r:id="rId227" xr:uid="{00000000-0004-0000-0700-0000E2000000}"/>
    <hyperlink ref="G229" r:id="rId228" xr:uid="{00000000-0004-0000-0700-0000E3000000}"/>
    <hyperlink ref="G230" r:id="rId229" xr:uid="{00000000-0004-0000-0700-0000E4000000}"/>
    <hyperlink ref="G231" r:id="rId230" xr:uid="{00000000-0004-0000-0700-0000E5000000}"/>
    <hyperlink ref="G232" r:id="rId231" xr:uid="{00000000-0004-0000-0700-0000E6000000}"/>
    <hyperlink ref="G233" r:id="rId232" xr:uid="{00000000-0004-0000-0700-0000E7000000}"/>
    <hyperlink ref="G234" r:id="rId233" xr:uid="{00000000-0004-0000-0700-0000E8000000}"/>
    <hyperlink ref="G235" r:id="rId234" xr:uid="{00000000-0004-0000-0700-0000E9000000}"/>
    <hyperlink ref="G236" r:id="rId235" xr:uid="{00000000-0004-0000-0700-0000EA000000}"/>
    <hyperlink ref="G237" r:id="rId236" xr:uid="{00000000-0004-0000-0700-0000EB000000}"/>
    <hyperlink ref="G238" r:id="rId237" xr:uid="{00000000-0004-0000-0700-0000EC000000}"/>
    <hyperlink ref="G239" r:id="rId238" xr:uid="{00000000-0004-0000-0700-0000ED000000}"/>
    <hyperlink ref="G240" r:id="rId239" xr:uid="{00000000-0004-0000-0700-0000EE000000}"/>
    <hyperlink ref="G241" r:id="rId240" xr:uid="{00000000-0004-0000-0700-0000EF000000}"/>
    <hyperlink ref="G242" r:id="rId241" xr:uid="{00000000-0004-0000-0700-0000F0000000}"/>
    <hyperlink ref="G243" r:id="rId242" xr:uid="{00000000-0004-0000-0700-0000F1000000}"/>
    <hyperlink ref="G244" r:id="rId243" xr:uid="{00000000-0004-0000-0700-0000F2000000}"/>
    <hyperlink ref="G245" r:id="rId244" xr:uid="{00000000-0004-0000-0700-0000F3000000}"/>
    <hyperlink ref="G246" r:id="rId245" xr:uid="{00000000-0004-0000-0700-0000F4000000}"/>
    <hyperlink ref="G247" r:id="rId246" xr:uid="{00000000-0004-0000-0700-0000F5000000}"/>
    <hyperlink ref="G248" r:id="rId247" xr:uid="{00000000-0004-0000-0700-0000F6000000}"/>
    <hyperlink ref="G249" r:id="rId248" xr:uid="{00000000-0004-0000-0700-0000F7000000}"/>
    <hyperlink ref="G250" r:id="rId249" xr:uid="{00000000-0004-0000-0700-0000F8000000}"/>
    <hyperlink ref="G251" r:id="rId250" xr:uid="{00000000-0004-0000-0700-0000F9000000}"/>
    <hyperlink ref="G252" r:id="rId251" xr:uid="{00000000-0004-0000-0700-0000FA000000}"/>
    <hyperlink ref="G253" r:id="rId252" xr:uid="{00000000-0004-0000-0700-0000FB000000}"/>
    <hyperlink ref="G254" r:id="rId253" xr:uid="{00000000-0004-0000-0700-0000FC000000}"/>
    <hyperlink ref="G255" r:id="rId254" xr:uid="{00000000-0004-0000-0700-0000FD000000}"/>
    <hyperlink ref="G256" r:id="rId255" xr:uid="{00000000-0004-0000-0700-0000FE000000}"/>
    <hyperlink ref="G257" r:id="rId256" xr:uid="{00000000-0004-0000-0700-0000FF000000}"/>
    <hyperlink ref="G258" r:id="rId257" xr:uid="{00000000-0004-0000-0700-000000010000}"/>
    <hyperlink ref="G259" r:id="rId258" xr:uid="{00000000-0004-0000-0700-000001010000}"/>
    <hyperlink ref="G260" r:id="rId259" xr:uid="{00000000-0004-0000-0700-000002010000}"/>
    <hyperlink ref="G261" r:id="rId260" xr:uid="{00000000-0004-0000-0700-000003010000}"/>
    <hyperlink ref="G262" r:id="rId261" xr:uid="{00000000-0004-0000-0700-000004010000}"/>
    <hyperlink ref="G263" r:id="rId262" xr:uid="{00000000-0004-0000-0700-000005010000}"/>
    <hyperlink ref="G264" r:id="rId263" xr:uid="{00000000-0004-0000-0700-000006010000}"/>
    <hyperlink ref="G265" r:id="rId264" xr:uid="{00000000-0004-0000-0700-000007010000}"/>
    <hyperlink ref="G266" r:id="rId265" xr:uid="{00000000-0004-0000-0700-000008010000}"/>
    <hyperlink ref="G267" r:id="rId266" xr:uid="{00000000-0004-0000-0700-000009010000}"/>
    <hyperlink ref="G268" r:id="rId267" xr:uid="{00000000-0004-0000-0700-00000A010000}"/>
    <hyperlink ref="G269" r:id="rId268" xr:uid="{00000000-0004-0000-0700-00000B010000}"/>
    <hyperlink ref="G270" r:id="rId269" xr:uid="{00000000-0004-0000-0700-00000C010000}"/>
    <hyperlink ref="G271" r:id="rId270" xr:uid="{00000000-0004-0000-0700-00000D010000}"/>
    <hyperlink ref="G272" r:id="rId271" xr:uid="{00000000-0004-0000-0700-00000E010000}"/>
    <hyperlink ref="G273" r:id="rId272" xr:uid="{00000000-0004-0000-0700-00000F010000}"/>
    <hyperlink ref="G274" r:id="rId273" xr:uid="{00000000-0004-0000-0700-000010010000}"/>
    <hyperlink ref="G275" r:id="rId274" xr:uid="{00000000-0004-0000-0700-000011010000}"/>
    <hyperlink ref="G276" r:id="rId275" xr:uid="{00000000-0004-0000-0700-000012010000}"/>
    <hyperlink ref="G277" r:id="rId276" xr:uid="{00000000-0004-0000-0700-000013010000}"/>
    <hyperlink ref="G278" r:id="rId277" xr:uid="{00000000-0004-0000-0700-000014010000}"/>
    <hyperlink ref="G279" r:id="rId278" xr:uid="{00000000-0004-0000-0700-000015010000}"/>
    <hyperlink ref="G280" r:id="rId279" xr:uid="{00000000-0004-0000-0700-000016010000}"/>
    <hyperlink ref="G281" r:id="rId280" xr:uid="{00000000-0004-0000-0700-000017010000}"/>
    <hyperlink ref="G282" r:id="rId281" xr:uid="{00000000-0004-0000-0700-000018010000}"/>
    <hyperlink ref="G283" r:id="rId282" xr:uid="{00000000-0004-0000-0700-000019010000}"/>
    <hyperlink ref="G284" r:id="rId283" xr:uid="{00000000-0004-0000-0700-00001A010000}"/>
    <hyperlink ref="G285" r:id="rId284" xr:uid="{00000000-0004-0000-0700-00001B010000}"/>
    <hyperlink ref="G286" r:id="rId285" xr:uid="{00000000-0004-0000-0700-00001C010000}"/>
    <hyperlink ref="G287" r:id="rId286" xr:uid="{00000000-0004-0000-0700-00001D010000}"/>
    <hyperlink ref="G288" r:id="rId287" xr:uid="{00000000-0004-0000-0700-00001E010000}"/>
    <hyperlink ref="G289" r:id="rId288" xr:uid="{00000000-0004-0000-0700-00001F010000}"/>
    <hyperlink ref="G290" r:id="rId289" xr:uid="{00000000-0004-0000-0700-000020010000}"/>
    <hyperlink ref="G291" r:id="rId290" xr:uid="{00000000-0004-0000-0700-000021010000}"/>
    <hyperlink ref="G292" r:id="rId291" xr:uid="{00000000-0004-0000-0700-000022010000}"/>
    <hyperlink ref="G293" r:id="rId292" xr:uid="{00000000-0004-0000-0700-000023010000}"/>
    <hyperlink ref="G294" r:id="rId293" xr:uid="{00000000-0004-0000-0700-000024010000}"/>
    <hyperlink ref="G295" r:id="rId294" xr:uid="{00000000-0004-0000-0700-000025010000}"/>
    <hyperlink ref="G296" r:id="rId295" xr:uid="{00000000-0004-0000-0700-000026010000}"/>
    <hyperlink ref="G297" r:id="rId296" xr:uid="{00000000-0004-0000-0700-000027010000}"/>
    <hyperlink ref="G298" r:id="rId297" xr:uid="{00000000-0004-0000-0700-000028010000}"/>
    <hyperlink ref="G299" r:id="rId298" xr:uid="{00000000-0004-0000-0700-000029010000}"/>
    <hyperlink ref="G300" r:id="rId299" xr:uid="{00000000-0004-0000-0700-00002A010000}"/>
    <hyperlink ref="G301" r:id="rId300" xr:uid="{00000000-0004-0000-0700-00002B010000}"/>
    <hyperlink ref="G302" r:id="rId301" xr:uid="{00000000-0004-0000-0700-00002C010000}"/>
    <hyperlink ref="G303" r:id="rId302" xr:uid="{00000000-0004-0000-0700-00002D010000}"/>
    <hyperlink ref="G304" r:id="rId303" xr:uid="{00000000-0004-0000-0700-00002E010000}"/>
    <hyperlink ref="G305" r:id="rId304" xr:uid="{00000000-0004-0000-0700-00002F010000}"/>
    <hyperlink ref="G306" r:id="rId305" xr:uid="{00000000-0004-0000-0700-000030010000}"/>
    <hyperlink ref="G307" r:id="rId306" xr:uid="{00000000-0004-0000-0700-000031010000}"/>
    <hyperlink ref="G308" r:id="rId307" xr:uid="{00000000-0004-0000-0700-000032010000}"/>
    <hyperlink ref="G309" r:id="rId308" xr:uid="{00000000-0004-0000-0700-000033010000}"/>
    <hyperlink ref="G310" r:id="rId309" xr:uid="{00000000-0004-0000-0700-000034010000}"/>
    <hyperlink ref="G311" r:id="rId310" xr:uid="{00000000-0004-0000-0700-000035010000}"/>
    <hyperlink ref="G312" r:id="rId311" xr:uid="{00000000-0004-0000-0700-000036010000}"/>
    <hyperlink ref="G313" r:id="rId312" xr:uid="{00000000-0004-0000-0700-000037010000}"/>
    <hyperlink ref="G314" r:id="rId313" xr:uid="{00000000-0004-0000-0700-000038010000}"/>
    <hyperlink ref="G315" r:id="rId314" xr:uid="{00000000-0004-0000-0700-000039010000}"/>
    <hyperlink ref="G316" r:id="rId315" xr:uid="{00000000-0004-0000-0700-00003A010000}"/>
    <hyperlink ref="G317" r:id="rId316" xr:uid="{00000000-0004-0000-0700-00003B010000}"/>
    <hyperlink ref="G318" r:id="rId317" xr:uid="{00000000-0004-0000-0700-00003C010000}"/>
    <hyperlink ref="G319" r:id="rId318" xr:uid="{00000000-0004-0000-0700-00003D010000}"/>
    <hyperlink ref="G320" r:id="rId319" xr:uid="{00000000-0004-0000-0700-00003E010000}"/>
    <hyperlink ref="G321" r:id="rId320" xr:uid="{00000000-0004-0000-0700-00003F010000}"/>
    <hyperlink ref="G322" r:id="rId321" xr:uid="{00000000-0004-0000-0700-000040010000}"/>
    <hyperlink ref="G323" r:id="rId322" xr:uid="{00000000-0004-0000-0700-000041010000}"/>
    <hyperlink ref="G324" r:id="rId323" xr:uid="{00000000-0004-0000-0700-000042010000}"/>
    <hyperlink ref="G325" r:id="rId324" xr:uid="{00000000-0004-0000-0700-000043010000}"/>
    <hyperlink ref="G326" r:id="rId325" xr:uid="{00000000-0004-0000-0700-000044010000}"/>
    <hyperlink ref="G327" r:id="rId326" xr:uid="{00000000-0004-0000-0700-000045010000}"/>
    <hyperlink ref="G328" r:id="rId327" xr:uid="{00000000-0004-0000-0700-000046010000}"/>
    <hyperlink ref="G329" r:id="rId328" xr:uid="{00000000-0004-0000-0700-000047010000}"/>
    <hyperlink ref="G330" r:id="rId329" xr:uid="{00000000-0004-0000-0700-000048010000}"/>
    <hyperlink ref="G331" r:id="rId330" xr:uid="{00000000-0004-0000-0700-000049010000}"/>
    <hyperlink ref="G332" r:id="rId331" xr:uid="{00000000-0004-0000-0700-00004A010000}"/>
    <hyperlink ref="G333" r:id="rId332" xr:uid="{00000000-0004-0000-0700-00004B010000}"/>
    <hyperlink ref="G334" r:id="rId333" xr:uid="{00000000-0004-0000-0700-00004C010000}"/>
    <hyperlink ref="G335" r:id="rId334" xr:uid="{00000000-0004-0000-0700-00004D010000}"/>
    <hyperlink ref="G336" r:id="rId335" xr:uid="{00000000-0004-0000-0700-00004E010000}"/>
    <hyperlink ref="G337" r:id="rId336" xr:uid="{00000000-0004-0000-0700-00004F010000}"/>
    <hyperlink ref="G338" r:id="rId337" xr:uid="{00000000-0004-0000-0700-000050010000}"/>
    <hyperlink ref="G339" r:id="rId338" xr:uid="{00000000-0004-0000-0700-000051010000}"/>
    <hyperlink ref="G340" r:id="rId339" xr:uid="{00000000-0004-0000-0700-000052010000}"/>
    <hyperlink ref="G341" r:id="rId340" xr:uid="{00000000-0004-0000-0700-000053010000}"/>
    <hyperlink ref="G342" r:id="rId341" xr:uid="{00000000-0004-0000-0700-000054010000}"/>
    <hyperlink ref="G343" r:id="rId342" xr:uid="{00000000-0004-0000-0700-000055010000}"/>
    <hyperlink ref="G344" r:id="rId343" xr:uid="{00000000-0004-0000-0700-000056010000}"/>
    <hyperlink ref="G345" r:id="rId344" xr:uid="{00000000-0004-0000-0700-000057010000}"/>
    <hyperlink ref="G346" r:id="rId345" xr:uid="{00000000-0004-0000-0700-000058010000}"/>
    <hyperlink ref="G347" r:id="rId346" xr:uid="{00000000-0004-0000-0700-000059010000}"/>
    <hyperlink ref="G348" r:id="rId347" xr:uid="{00000000-0004-0000-0700-00005A010000}"/>
    <hyperlink ref="G349" r:id="rId348" xr:uid="{00000000-0004-0000-0700-00005B010000}"/>
    <hyperlink ref="G350" r:id="rId349" xr:uid="{00000000-0004-0000-0700-00005C010000}"/>
    <hyperlink ref="G351" r:id="rId350" xr:uid="{00000000-0004-0000-0700-00005D010000}"/>
    <hyperlink ref="G352" r:id="rId351" xr:uid="{00000000-0004-0000-0700-00005E010000}"/>
    <hyperlink ref="G353" r:id="rId352" xr:uid="{00000000-0004-0000-0700-00005F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Partner Tests</vt:lpstr>
      <vt:lpstr>Customer Tests</vt:lpstr>
      <vt:lpstr>Admin Tests</vt:lpstr>
      <vt:lpstr>Driver Tests</vt:lpstr>
      <vt:lpstr>System Tests</vt:lpstr>
      <vt:lpstr>Summary by Portal</vt:lpstr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msoft15184</cp:lastModifiedBy>
  <dcterms:created xsi:type="dcterms:W3CDTF">2026-02-21T00:11:55Z</dcterms:created>
  <dcterms:modified xsi:type="dcterms:W3CDTF">2026-03-03T03:46:58Z</dcterms:modified>
</cp:coreProperties>
</file>