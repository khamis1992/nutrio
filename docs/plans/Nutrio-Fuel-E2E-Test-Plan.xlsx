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 by Por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4"/>
    </font>
    <font>
      <b val="1"/>
      <color rgb="00FFFFFF"/>
      <sz val="11"/>
    </font>
    <font>
      <b val="1"/>
      <color rgb="00FFFFFF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2E5077"/>
        <bgColor rgb="002E50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NUTRIO FUEL - E2E TEST PLAN</t>
        </is>
      </c>
    </row>
    <row r="3">
      <c r="A3" s="2" t="inlineStr">
        <is>
          <t>Test Plan Overview</t>
        </is>
      </c>
    </row>
    <row r="4">
      <c r="A4" t="inlineStr">
        <is>
          <t>Total Test Cases</t>
        </is>
      </c>
      <c r="B4">
        <f>COUNTA('Test Cases'!A:A)-1</f>
        <v/>
      </c>
    </row>
    <row r="5">
      <c r="A5" t="inlineStr">
        <is>
          <t>Customer Portal Tests</t>
        </is>
      </c>
      <c r="B5">
        <f>COUNTIF('Test Cases'!A:A,"*Customer*")</f>
        <v/>
      </c>
    </row>
    <row r="6">
      <c r="A6" t="inlineStr">
        <is>
          <t>Partner Portal Tests</t>
        </is>
      </c>
      <c r="B6">
        <f>COUNTIF('Test Cases'!A:A,"*Partner*")</f>
        <v/>
      </c>
    </row>
    <row r="7">
      <c r="A7" t="inlineStr">
        <is>
          <t>Admin Portal Tests</t>
        </is>
      </c>
      <c r="B7">
        <f>COUNTIF('Test Cases'!A:A,"*Admin*")</f>
        <v/>
      </c>
    </row>
    <row r="8">
      <c r="A8" t="inlineStr">
        <is>
          <t>Driver Portal Tests</t>
        </is>
      </c>
      <c r="B8">
        <f>COUNTIF('Test Cases'!A:A,"*Driver*")</f>
        <v/>
      </c>
    </row>
    <row r="10">
      <c r="A10" t="inlineStr">
        <is>
          <t>Passed</t>
        </is>
      </c>
      <c r="B10">
        <f>COUNTIF('Test Cases'!F:F,"PASS")</f>
        <v/>
      </c>
    </row>
    <row r="11">
      <c r="A11" t="inlineStr">
        <is>
          <t>Failed</t>
        </is>
      </c>
      <c r="B11">
        <f>COUNTIF('Test Cases'!F:F,"FAIL")</f>
        <v/>
      </c>
    </row>
    <row r="12">
      <c r="A12" t="inlineStr">
        <is>
          <t>Pending</t>
        </is>
      </c>
      <c r="B12">
        <f>COUNTIF('Test Cases'!F:F,"PENDING")</f>
        <v/>
      </c>
    </row>
    <row r="13">
      <c r="A13" t="inlineStr">
        <is>
          <t>Blocked</t>
        </is>
      </c>
      <c r="B13">
        <f>COUNTIF('Test Cases'!F:F,"BLOCKED")</f>
        <v/>
      </c>
    </row>
    <row r="15">
      <c r="A15" t="inlineStr">
        <is>
          <t>Pass Rate</t>
        </is>
      </c>
      <c r="B15" s="3">
        <f>IF(COUNTA('Test Cases'!F:F)&gt;1,COUNTIF('Test Cases'!F:F,"PASS")/(COUNTA('Test Cases'!F:F)-1),0)</f>
        <v/>
      </c>
    </row>
    <row r="17">
      <c r="A17" s="2" t="inlineStr">
        <is>
          <t>Test Environment Details</t>
        </is>
      </c>
    </row>
    <row r="18">
      <c r="A18" t="inlineStr">
        <is>
          <t>Environment</t>
        </is>
      </c>
      <c r="B18" t="inlineStr">
        <is>
          <t>Staging/Production</t>
        </is>
      </c>
    </row>
    <row r="19">
      <c r="A19" t="inlineStr">
        <is>
          <t>Test Date</t>
        </is>
      </c>
    </row>
    <row r="20">
      <c r="A20" t="inlineStr">
        <is>
          <t>Tester Name</t>
        </is>
      </c>
    </row>
    <row r="21">
      <c r="A21" t="inlineStr">
        <is>
          <t>Browser</t>
        </is>
      </c>
    </row>
    <row r="22">
      <c r="A22" t="inlineStr">
        <is>
          <t>Device</t>
        </is>
      </c>
    </row>
    <row r="23">
      <c r="A23" t="inlineStr">
        <is>
          <t>Notes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30" customWidth="1" min="5" max="5"/>
    <col width="40" customWidth="1" min="6" max="6"/>
    <col width="35" customWidth="1" min="7" max="7"/>
    <col width="12" customWidth="1" min="8" max="8"/>
    <col width="30" customWidth="1" min="9" max="9"/>
    <col width="25" customWidth="1" min="10" max="10"/>
    <col width="10" customWidth="1" min="11" max="11"/>
    <col width="15" customWidth="1" min="12" max="12"/>
  </cols>
  <sheetData>
    <row r="1">
      <c r="A1" s="4" t="inlineStr">
        <is>
          <t>TC ID</t>
        </is>
      </c>
      <c r="B1" s="4" t="inlineStr">
        <is>
          <t>Portal</t>
        </is>
      </c>
      <c r="C1" s="4" t="inlineStr">
        <is>
          <t>Module</t>
        </is>
      </c>
      <c r="D1" s="4" t="inlineStr">
        <is>
          <t>Feature</t>
        </is>
      </c>
      <c r="E1" s="4" t="inlineStr">
        <is>
          <t>Test Case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Actual Result</t>
        </is>
      </c>
      <c r="J1" s="4" t="inlineStr">
        <is>
          <t>Notes</t>
        </is>
      </c>
      <c r="K1" s="4" t="inlineStr">
        <is>
          <t>Priority</t>
        </is>
      </c>
      <c r="L1" s="4" t="inlineStr">
        <is>
          <t>Tester</t>
        </is>
      </c>
    </row>
    <row r="2">
      <c r="A2" s="5" t="inlineStr">
        <is>
          <t>TC001</t>
        </is>
      </c>
      <c r="B2" s="5" t="inlineStr">
        <is>
          <t>Customer</t>
        </is>
      </c>
      <c r="C2" s="5" t="inlineStr">
        <is>
          <t>Auth</t>
        </is>
      </c>
      <c r="D2" s="5" t="inlineStr">
        <is>
          <t>Login</t>
        </is>
      </c>
      <c r="E2" s="5" t="inlineStr">
        <is>
          <t>Customer Login with Valid Credentials</t>
        </is>
      </c>
      <c r="F2" s="5" t="inlineStr">
        <is>
          <t>1. Navigate to /auth
2. Enter valid email
3. Enter valid password
4. Click Sign In</t>
        </is>
      </c>
      <c r="G2" s="5" t="inlineStr">
        <is>
          <t>User logged in and redirected to dashboard</t>
        </is>
      </c>
      <c r="H2" s="5">
        <f>IF(I2="","",IF(I2=G2,"PASS","FAIL"))</f>
        <v/>
      </c>
      <c r="I2" s="5" t="inlineStr"/>
      <c r="J2" s="5" t="inlineStr"/>
      <c r="K2" s="6" t="inlineStr">
        <is>
          <t>High</t>
        </is>
      </c>
      <c r="L2" s="5" t="inlineStr"/>
    </row>
    <row r="3">
      <c r="A3" s="5" t="inlineStr">
        <is>
          <t>TC002</t>
        </is>
      </c>
      <c r="B3" s="5" t="inlineStr">
        <is>
          <t>Customer</t>
        </is>
      </c>
      <c r="C3" s="5" t="inlineStr">
        <is>
          <t>Auth</t>
        </is>
      </c>
      <c r="D3" s="5" t="inlineStr">
        <is>
          <t>Login</t>
        </is>
      </c>
      <c r="E3" s="5" t="inlineStr">
        <is>
          <t>Customer Login with Invalid Password</t>
        </is>
      </c>
      <c r="F3" s="5" t="inlineStr">
        <is>
          <t>1. Navigate to /auth
2. Enter valid email
3. Enter invalid password
4. Click Sign In</t>
        </is>
      </c>
      <c r="G3" s="5" t="inlineStr">
        <is>
          <t>Error message: Invalid credentials</t>
        </is>
      </c>
      <c r="H3" s="5">
        <f>IF(I3="","",IF(I3=G3,"PASS","FAIL"))</f>
        <v/>
      </c>
      <c r="I3" s="5" t="inlineStr"/>
      <c r="J3" s="5" t="inlineStr"/>
      <c r="K3" s="6" t="inlineStr">
        <is>
          <t>High</t>
        </is>
      </c>
      <c r="L3" s="5" t="inlineStr"/>
    </row>
    <row r="4">
      <c r="A4" s="5" t="inlineStr">
        <is>
          <t>TC003</t>
        </is>
      </c>
      <c r="B4" s="5" t="inlineStr">
        <is>
          <t>Customer</t>
        </is>
      </c>
      <c r="C4" s="5" t="inlineStr">
        <is>
          <t>Auth</t>
        </is>
      </c>
      <c r="D4" s="5" t="inlineStr">
        <is>
          <t>Registration</t>
        </is>
      </c>
      <c r="E4" s="5" t="inlineStr">
        <is>
          <t>New Customer Registration</t>
        </is>
      </c>
      <c r="F4" s="5" t="inlineStr">
        <is>
          <t>1. Navigate to /auth
2. Click Create Account
3. Fill all required fields
4. Click Sign Up
5. Verify email</t>
        </is>
      </c>
      <c r="G4" s="5" t="inlineStr">
        <is>
          <t>Account created successfully, verification email sent</t>
        </is>
      </c>
      <c r="H4" s="5">
        <f>IF(I4="","",IF(I4=G4,"PASS","FAIL"))</f>
        <v/>
      </c>
      <c r="I4" s="5" t="inlineStr"/>
      <c r="J4" s="5" t="inlineStr"/>
      <c r="K4" s="6" t="inlineStr">
        <is>
          <t>High</t>
        </is>
      </c>
      <c r="L4" s="5" t="inlineStr"/>
    </row>
    <row r="5">
      <c r="A5" s="5" t="inlineStr">
        <is>
          <t>TC004</t>
        </is>
      </c>
      <c r="B5" s="5" t="inlineStr">
        <is>
          <t>Customer</t>
        </is>
      </c>
      <c r="C5" s="5" t="inlineStr">
        <is>
          <t>Auth</t>
        </is>
      </c>
      <c r="D5" s="5" t="inlineStr">
        <is>
          <t>Password Reset</t>
        </is>
      </c>
      <c r="E5" s="5" t="inlineStr">
        <is>
          <t>Password Reset Flow</t>
        </is>
      </c>
      <c r="F5" s="5" t="inlineStr">
        <is>
          <t>1. Click Forgot Password
2. Enter email
3. Click Reset
4. Check email
5. Click reset link
6. Enter new password</t>
        </is>
      </c>
      <c r="G5" s="5" t="inlineStr">
        <is>
          <t>Password reset successful, can login with new password</t>
        </is>
      </c>
      <c r="H5" s="5">
        <f>IF(I5="","",IF(I5=G5,"PASS","FAIL"))</f>
        <v/>
      </c>
      <c r="I5" s="5" t="inlineStr"/>
      <c r="J5" s="5" t="inlineStr"/>
      <c r="K5" s="7" t="inlineStr">
        <is>
          <t>Medium</t>
        </is>
      </c>
      <c r="L5" s="5" t="inlineStr"/>
    </row>
    <row r="6">
      <c r="A6" s="5" t="inlineStr">
        <is>
          <t>TC005</t>
        </is>
      </c>
      <c r="B6" s="5" t="inlineStr">
        <is>
          <t>Customer</t>
        </is>
      </c>
      <c r="C6" s="5" t="inlineStr">
        <is>
          <t>Auth</t>
        </is>
      </c>
      <c r="D6" s="5" t="inlineStr">
        <is>
          <t>Logout</t>
        </is>
      </c>
      <c r="E6" s="5" t="inlineStr">
        <is>
          <t>Customer Logout</t>
        </is>
      </c>
      <c r="F6" s="5" t="inlineStr">
        <is>
          <t>1. Click user menu
2. Click Logout</t>
        </is>
      </c>
      <c r="G6" s="5" t="inlineStr">
        <is>
          <t>User logged out, redirected to login page</t>
        </is>
      </c>
      <c r="H6" s="5">
        <f>IF(I6="","",IF(I6=G6,"PASS","FAIL"))</f>
        <v/>
      </c>
      <c r="I6" s="5" t="inlineStr"/>
      <c r="J6" s="5" t="inlineStr"/>
      <c r="K6" s="6" t="inlineStr">
        <is>
          <t>High</t>
        </is>
      </c>
      <c r="L6" s="5" t="inlineStr"/>
    </row>
    <row r="7">
      <c r="A7" s="5" t="inlineStr">
        <is>
          <t>TC006</t>
        </is>
      </c>
      <c r="B7" s="5" t="inlineStr">
        <is>
          <t>Customer</t>
        </is>
      </c>
      <c r="C7" s="5" t="inlineStr">
        <is>
          <t>Dashboard</t>
        </is>
      </c>
      <c r="D7" s="5" t="inlineStr">
        <is>
          <t>View</t>
        </is>
      </c>
      <c r="E7" s="5" t="inlineStr">
        <is>
          <t>Dashboard Load and Display</t>
        </is>
      </c>
      <c r="F7" s="5" t="inlineStr">
        <is>
          <t>1. Login as customer
2. Navigate to dashboard</t>
        </is>
      </c>
      <c r="G7" s="5" t="inlineStr">
        <is>
          <t>Dashboard loads with subscription info, meals remaining, recent orders</t>
        </is>
      </c>
      <c r="H7" s="5">
        <f>IF(I7="","",IF(I7=G7,"PASS","FAIL"))</f>
        <v/>
      </c>
      <c r="I7" s="5" t="inlineStr"/>
      <c r="J7" s="5" t="inlineStr"/>
      <c r="K7" s="6" t="inlineStr">
        <is>
          <t>High</t>
        </is>
      </c>
      <c r="L7" s="5" t="inlineStr"/>
    </row>
    <row r="8">
      <c r="A8" s="5" t="inlineStr">
        <is>
          <t>TC007</t>
        </is>
      </c>
      <c r="B8" s="5" t="inlineStr">
        <is>
          <t>Customer</t>
        </is>
      </c>
      <c r="C8" s="5" t="inlineStr">
        <is>
          <t>Dashboard</t>
        </is>
      </c>
      <c r="D8" s="5" t="inlineStr">
        <is>
          <t>Navigation</t>
        </is>
      </c>
      <c r="E8" s="5" t="inlineStr">
        <is>
          <t>Dashboard Navigation Links</t>
        </is>
      </c>
      <c r="F8" s="5" t="inlineStr">
        <is>
          <t>1. On dashboard
2. Click each navigation link (Meals, Orders, Profile, etc.)</t>
        </is>
      </c>
      <c r="G8" s="5" t="inlineStr">
        <is>
          <t>All links navigate to correct pages</t>
        </is>
      </c>
      <c r="H8" s="5">
        <f>IF(I8="","",IF(I8=G8,"PASS","FAIL"))</f>
        <v/>
      </c>
      <c r="I8" s="5" t="inlineStr"/>
      <c r="J8" s="5" t="inlineStr"/>
      <c r="K8" s="6" t="inlineStr">
        <is>
          <t>High</t>
        </is>
      </c>
      <c r="L8" s="5" t="inlineStr"/>
    </row>
    <row r="9">
      <c r="A9" s="5" t="inlineStr">
        <is>
          <t>TC008</t>
        </is>
      </c>
      <c r="B9" s="5" t="inlineStr">
        <is>
          <t>Customer</t>
        </is>
      </c>
      <c r="C9" s="5" t="inlineStr">
        <is>
          <t>Dashboard</t>
        </is>
      </c>
      <c r="D9" s="5" t="inlineStr">
        <is>
          <t>Quick Actions</t>
        </is>
      </c>
      <c r="E9" s="5" t="inlineStr">
        <is>
          <t>Dashboard Quick Action Buttons</t>
        </is>
      </c>
      <c r="F9" s="5" t="inlineStr">
        <is>
          <t>1. On dashboard
2. Click 'Browse Meals'
3. Click 'View Orders'
4. Click 'Refer Friends'</t>
        </is>
      </c>
      <c r="G9" s="5" t="inlineStr">
        <is>
          <t>Each button performs correct action</t>
        </is>
      </c>
      <c r="H9" s="5">
        <f>IF(I9="","",IF(I9=G9,"PASS","FAIL"))</f>
        <v/>
      </c>
      <c r="I9" s="5" t="inlineStr"/>
      <c r="J9" s="5" t="inlineStr"/>
      <c r="K9" s="7" t="inlineStr">
        <is>
          <t>Medium</t>
        </is>
      </c>
      <c r="L9" s="5" t="inlineStr"/>
    </row>
    <row r="10">
      <c r="A10" s="5" t="inlineStr">
        <is>
          <t>TC009</t>
        </is>
      </c>
      <c r="B10" s="5" t="inlineStr">
        <is>
          <t>Customer</t>
        </is>
      </c>
      <c r="C10" s="5" t="inlineStr">
        <is>
          <t>Subscription</t>
        </is>
      </c>
      <c r="D10" s="5" t="inlineStr">
        <is>
          <t>View Plans</t>
        </is>
      </c>
      <c r="E10" s="5" t="inlineStr">
        <is>
          <t>View Subscription Plans</t>
        </is>
      </c>
      <c r="F10" s="5" t="inlineStr">
        <is>
          <t>1. Navigate to /subscription
2. View all 4 tiers</t>
        </is>
      </c>
      <c r="G10" s="5" t="inlineStr">
        <is>
          <t>All plans displayed with correct pricing and features</t>
        </is>
      </c>
      <c r="H10" s="5">
        <f>IF(I10="","",IF(I10=G10,"PASS","FAIL"))</f>
        <v/>
      </c>
      <c r="I10" s="5" t="inlineStr"/>
      <c r="J10" s="5" t="inlineStr"/>
      <c r="K10" s="6" t="inlineStr">
        <is>
          <t>High</t>
        </is>
      </c>
      <c r="L10" s="5" t="inlineStr"/>
    </row>
    <row r="11">
      <c r="A11" s="5" t="inlineStr">
        <is>
          <t>TC010</t>
        </is>
      </c>
      <c r="B11" s="5" t="inlineStr">
        <is>
          <t>Customer</t>
        </is>
      </c>
      <c r="C11" s="5" t="inlineStr">
        <is>
          <t>Subscription</t>
        </is>
      </c>
      <c r="D11" s="5" t="inlineStr">
        <is>
          <t>Subscribe Basic</t>
        </is>
      </c>
      <c r="E11" s="5" t="inlineStr">
        <is>
          <t>Subscribe to Basic Plan</t>
        </is>
      </c>
      <c r="F11" s="5" t="inlineStr">
        <is>
          <t>1. Click Basic plan
2. Click Subscribe
3. Complete Sadad payment
4. Verify subscription active</t>
        </is>
      </c>
      <c r="G11" s="5" t="inlineStr">
        <is>
          <t>Subscription activated, meals allocated</t>
        </is>
      </c>
      <c r="H11" s="5">
        <f>IF(I11="","",IF(I11=G11,"PASS","FAIL"))</f>
        <v/>
      </c>
      <c r="I11" s="5" t="inlineStr"/>
      <c r="J11" s="5" t="inlineStr"/>
      <c r="K11" s="6" t="inlineStr">
        <is>
          <t>High</t>
        </is>
      </c>
      <c r="L11" s="5" t="inlineStr"/>
    </row>
    <row r="12">
      <c r="A12" s="5" t="inlineStr">
        <is>
          <t>TC011</t>
        </is>
      </c>
      <c r="B12" s="5" t="inlineStr">
        <is>
          <t>Customer</t>
        </is>
      </c>
      <c r="C12" s="5" t="inlineStr">
        <is>
          <t>Subscription</t>
        </is>
      </c>
      <c r="D12" s="5" t="inlineStr">
        <is>
          <t>Subscribe Standard</t>
        </is>
      </c>
      <c r="E12" s="5" t="inlineStr">
        <is>
          <t>Subscribe to Standard Plan</t>
        </is>
      </c>
      <c r="F12" s="5" t="inlineStr">
        <is>
          <t>1. Click Standard plan
2. Click Subscribe
3. Complete payment</t>
        </is>
      </c>
      <c r="G12" s="5" t="inlineStr">
        <is>
          <t>Subscription activated with 10 meals/week</t>
        </is>
      </c>
      <c r="H12" s="5">
        <f>IF(I12="","",IF(I12=G12,"PASS","FAIL"))</f>
        <v/>
      </c>
      <c r="I12" s="5" t="inlineStr"/>
      <c r="J12" s="5" t="inlineStr"/>
      <c r="K12" s="6" t="inlineStr">
        <is>
          <t>High</t>
        </is>
      </c>
      <c r="L12" s="5" t="inlineStr"/>
    </row>
    <row r="13">
      <c r="A13" s="5" t="inlineStr">
        <is>
          <t>TC012</t>
        </is>
      </c>
      <c r="B13" s="5" t="inlineStr">
        <is>
          <t>Customer</t>
        </is>
      </c>
      <c r="C13" s="5" t="inlineStr">
        <is>
          <t>Subscription</t>
        </is>
      </c>
      <c r="D13" s="5" t="inlineStr">
        <is>
          <t>Subscribe Premium</t>
        </is>
      </c>
      <c r="E13" s="5" t="inlineStr">
        <is>
          <t>Subscribe to Premium Plan</t>
        </is>
      </c>
      <c r="F13" s="5" t="inlineStr">
        <is>
          <t>1. Click Premium plan
2. Complete payment</t>
        </is>
      </c>
      <c r="G13" s="5" t="inlineStr">
        <is>
          <t>Subscription activated with 15 meals/week</t>
        </is>
      </c>
      <c r="H13" s="5">
        <f>IF(I13="","",IF(I13=G13,"PASS","FAIL"))</f>
        <v/>
      </c>
      <c r="I13" s="5" t="inlineStr"/>
      <c r="J13" s="5" t="inlineStr"/>
      <c r="K13" s="6" t="inlineStr">
        <is>
          <t>High</t>
        </is>
      </c>
      <c r="L13" s="5" t="inlineStr"/>
    </row>
    <row r="14">
      <c r="A14" s="5" t="inlineStr">
        <is>
          <t>TC013</t>
        </is>
      </c>
      <c r="B14" s="5" t="inlineStr">
        <is>
          <t>Customer</t>
        </is>
      </c>
      <c r="C14" s="5" t="inlineStr">
        <is>
          <t>Subscription</t>
        </is>
      </c>
      <c r="D14" s="5" t="inlineStr">
        <is>
          <t>Subscribe VIP</t>
        </is>
      </c>
      <c r="E14" s="5" t="inlineStr">
        <is>
          <t>Subscribe to VIP Plan</t>
        </is>
      </c>
      <c r="F14" s="5" t="inlineStr">
        <is>
          <t>1. Click VIP plan
2. Complete payment</t>
        </is>
      </c>
      <c r="G14" s="5" t="inlineStr">
        <is>
          <t>Subscription activated with unlimited meals</t>
        </is>
      </c>
      <c r="H14" s="5">
        <f>IF(I14="","",IF(I14=G14,"PASS","FAIL"))</f>
        <v/>
      </c>
      <c r="I14" s="5" t="inlineStr"/>
      <c r="J14" s="5" t="inlineStr"/>
      <c r="K14" s="6" t="inlineStr">
        <is>
          <t>High</t>
        </is>
      </c>
      <c r="L14" s="5" t="inlineStr"/>
    </row>
    <row r="15">
      <c r="A15" s="5" t="inlineStr">
        <is>
          <t>TC014</t>
        </is>
      </c>
      <c r="B15" s="5" t="inlineStr">
        <is>
          <t>Customer</t>
        </is>
      </c>
      <c r="C15" s="5" t="inlineStr">
        <is>
          <t>Subscription</t>
        </is>
      </c>
      <c r="D15" s="5" t="inlineStr">
        <is>
          <t>Upgrade</t>
        </is>
      </c>
      <c r="E15" s="5" t="inlineStr">
        <is>
          <t>Upgrade Subscription Plan</t>
        </is>
      </c>
      <c r="F15" s="5" t="inlineStr">
        <is>
          <t>1. Go to subscription page
2. Click Upgrade
3. Select higher tier
4. Pay difference</t>
        </is>
      </c>
      <c r="G15" s="5" t="inlineStr">
        <is>
          <t>Plan upgraded, new meal limit applied</t>
        </is>
      </c>
      <c r="H15" s="5">
        <f>IF(I15="","",IF(I15=G15,"PASS","FAIL"))</f>
        <v/>
      </c>
      <c r="I15" s="5" t="inlineStr"/>
      <c r="J15" s="5" t="inlineStr"/>
      <c r="K15" s="7" t="inlineStr">
        <is>
          <t>Medium</t>
        </is>
      </c>
      <c r="L15" s="5" t="inlineStr"/>
    </row>
    <row r="16">
      <c r="A16" s="5" t="inlineStr">
        <is>
          <t>TC015</t>
        </is>
      </c>
      <c r="B16" s="5" t="inlineStr">
        <is>
          <t>Customer</t>
        </is>
      </c>
      <c r="C16" s="5" t="inlineStr">
        <is>
          <t>Subscription</t>
        </is>
      </c>
      <c r="D16" s="5" t="inlineStr">
        <is>
          <t>Downgrade</t>
        </is>
      </c>
      <c r="E16" s="5" t="inlineStr">
        <is>
          <t>Downgrade Subscription Plan</t>
        </is>
      </c>
      <c r="F16" s="5" t="inlineStr">
        <is>
          <t>1. Go to subscription page
2. Click Downgrade
3. Select lower tier</t>
        </is>
      </c>
      <c r="G16" s="5" t="inlineStr">
        <is>
          <t>Plan downgraded effective next billing cycle</t>
        </is>
      </c>
      <c r="H16" s="5">
        <f>IF(I16="","",IF(I16=G16,"PASS","FAIL"))</f>
        <v/>
      </c>
      <c r="I16" s="5" t="inlineStr"/>
      <c r="J16" s="5" t="inlineStr"/>
      <c r="K16" s="7" t="inlineStr">
        <is>
          <t>Medium</t>
        </is>
      </c>
      <c r="L16" s="5" t="inlineStr"/>
    </row>
    <row r="17">
      <c r="A17" s="5" t="inlineStr">
        <is>
          <t>TC016</t>
        </is>
      </c>
      <c r="B17" s="5" t="inlineStr">
        <is>
          <t>Customer</t>
        </is>
      </c>
      <c r="C17" s="5" t="inlineStr">
        <is>
          <t>Subscription</t>
        </is>
      </c>
      <c r="D17" s="5" t="inlineStr">
        <is>
          <t>Pause</t>
        </is>
      </c>
      <c r="E17" s="5" t="inlineStr">
        <is>
          <t>Pause Subscription</t>
        </is>
      </c>
      <c r="F17" s="5" t="inlineStr">
        <is>
          <t>1. Go to subscription
2. Click Pause
3. Confirm</t>
        </is>
      </c>
      <c r="G17" s="5" t="inlineStr">
        <is>
          <t>Subscription paused, no new orders possible</t>
        </is>
      </c>
      <c r="H17" s="5">
        <f>IF(I17="","",IF(I17=G17,"PASS","FAIL"))</f>
        <v/>
      </c>
      <c r="I17" s="5" t="inlineStr"/>
      <c r="J17" s="5" t="inlineStr"/>
      <c r="K17" s="7" t="inlineStr">
        <is>
          <t>Medium</t>
        </is>
      </c>
      <c r="L17" s="5" t="inlineStr"/>
    </row>
    <row r="18">
      <c r="A18" s="5" t="inlineStr">
        <is>
          <t>TC017</t>
        </is>
      </c>
      <c r="B18" s="5" t="inlineStr">
        <is>
          <t>Customer</t>
        </is>
      </c>
      <c r="C18" s="5" t="inlineStr">
        <is>
          <t>Subscription</t>
        </is>
      </c>
      <c r="D18" s="5" t="inlineStr">
        <is>
          <t>Resume</t>
        </is>
      </c>
      <c r="E18" s="5" t="inlineStr">
        <is>
          <t>Resume Subscription</t>
        </is>
      </c>
      <c r="F18" s="5" t="inlineStr">
        <is>
          <t>1. Go to subscription
2. Click Resume
3. Confirm</t>
        </is>
      </c>
      <c r="G18" s="5" t="inlineStr">
        <is>
          <t>Subscription resumed, can order again</t>
        </is>
      </c>
      <c r="H18" s="5">
        <f>IF(I18="","",IF(I18=G18,"PASS","FAIL"))</f>
        <v/>
      </c>
      <c r="I18" s="5" t="inlineStr"/>
      <c r="J18" s="5" t="inlineStr"/>
      <c r="K18" s="7" t="inlineStr">
        <is>
          <t>Medium</t>
        </is>
      </c>
      <c r="L18" s="5" t="inlineStr"/>
    </row>
    <row r="19">
      <c r="A19" s="5" t="inlineStr">
        <is>
          <t>TC018</t>
        </is>
      </c>
      <c r="B19" s="5" t="inlineStr">
        <is>
          <t>Customer</t>
        </is>
      </c>
      <c r="C19" s="5" t="inlineStr">
        <is>
          <t>Subscription</t>
        </is>
      </c>
      <c r="D19" s="5" t="inlineStr">
        <is>
          <t>Cancel</t>
        </is>
      </c>
      <c r="E19" s="5" t="inlineStr">
        <is>
          <t>Cancel Subscription</t>
        </is>
      </c>
      <c r="F19" s="5" t="inlineStr">
        <is>
          <t>1. Go to subscription
2. Click Cancel
3. Confirm cancellation</t>
        </is>
      </c>
      <c r="G19" s="5" t="inlineStr">
        <is>
          <t>Subscription cancelled, access until end date</t>
        </is>
      </c>
      <c r="H19" s="5">
        <f>IF(I19="","",IF(I19=G19,"PASS","FAIL"))</f>
        <v/>
      </c>
      <c r="I19" s="5" t="inlineStr"/>
      <c r="J19" s="5" t="inlineStr"/>
      <c r="K19" s="7" t="inlineStr">
        <is>
          <t>Medium</t>
        </is>
      </c>
      <c r="L19" s="5" t="inlineStr"/>
    </row>
    <row r="20">
      <c r="A20" s="5" t="inlineStr">
        <is>
          <t>TC019</t>
        </is>
      </c>
      <c r="B20" s="5" t="inlineStr">
        <is>
          <t>Customer</t>
        </is>
      </c>
      <c r="C20" s="5" t="inlineStr">
        <is>
          <t>Subscription</t>
        </is>
      </c>
      <c r="D20" s="5" t="inlineStr">
        <is>
          <t>Usage Display</t>
        </is>
      </c>
      <c r="E20" s="5" t="inlineStr">
        <is>
          <t>Check Weekly Meal Usage</t>
        </is>
      </c>
      <c r="F20" s="5" t="inlineStr">
        <is>
          <t>1. Go to dashboard
2. View meals remaining indicator</t>
        </is>
      </c>
      <c r="G20" s="5" t="inlineStr">
        <is>
          <t>Correct number of meals remaining displayed</t>
        </is>
      </c>
      <c r="H20" s="5">
        <f>IF(I20="","",IF(I20=G20,"PASS","FAIL"))</f>
        <v/>
      </c>
      <c r="I20" s="5" t="inlineStr"/>
      <c r="J20" s="5" t="inlineStr"/>
      <c r="K20" s="6" t="inlineStr">
        <is>
          <t>High</t>
        </is>
      </c>
      <c r="L20" s="5" t="inlineStr"/>
    </row>
    <row r="21">
      <c r="A21" s="5" t="inlineStr">
        <is>
          <t>TC020</t>
        </is>
      </c>
      <c r="B21" s="5" t="inlineStr">
        <is>
          <t>Customer</t>
        </is>
      </c>
      <c r="C21" s="5" t="inlineStr">
        <is>
          <t>Meals</t>
        </is>
      </c>
      <c r="D21" s="5" t="inlineStr">
        <is>
          <t>Browse</t>
        </is>
      </c>
      <c r="E21" s="5" t="inlineStr">
        <is>
          <t>Browse All Meals</t>
        </is>
      </c>
      <c r="F21" s="5" t="inlineStr">
        <is>
          <t>1. Navigate to /meals
2. View meal listings</t>
        </is>
      </c>
      <c r="G21" s="5" t="inlineStr">
        <is>
          <t>All available meals displayed with images, names, restaurants</t>
        </is>
      </c>
      <c r="H21" s="5">
        <f>IF(I21="","",IF(I21=G21,"PASS","FAIL"))</f>
        <v/>
      </c>
      <c r="I21" s="5" t="inlineStr"/>
      <c r="J21" s="5" t="inlineStr"/>
      <c r="K21" s="6" t="inlineStr">
        <is>
          <t>High</t>
        </is>
      </c>
      <c r="L21" s="5" t="inlineStr"/>
    </row>
    <row r="22">
      <c r="A22" s="5" t="inlineStr">
        <is>
          <t>TC021</t>
        </is>
      </c>
      <c r="B22" s="5" t="inlineStr">
        <is>
          <t>Customer</t>
        </is>
      </c>
      <c r="C22" s="5" t="inlineStr">
        <is>
          <t>Meals</t>
        </is>
      </c>
      <c r="D22" s="5" t="inlineStr">
        <is>
          <t>Filter Restaurant</t>
        </is>
      </c>
      <c r="E22" s="5" t="inlineStr">
        <is>
          <t>Filter by Restaurant</t>
        </is>
      </c>
      <c r="F22" s="5" t="inlineStr">
        <is>
          <t>1. On meals page
2. Click restaurant filter
3. Select specific restaurant</t>
        </is>
      </c>
      <c r="G22" s="5" t="inlineStr">
        <is>
          <t>Only meals from selected restaurant displayed</t>
        </is>
      </c>
      <c r="H22" s="5">
        <f>IF(I22="","",IF(I22=G22,"PASS","FAIL"))</f>
        <v/>
      </c>
      <c r="I22" s="5" t="inlineStr"/>
      <c r="J22" s="5" t="inlineStr"/>
      <c r="K22" s="6" t="inlineStr">
        <is>
          <t>High</t>
        </is>
      </c>
      <c r="L22" s="5" t="inlineStr"/>
    </row>
    <row r="23">
      <c r="A23" s="5" t="inlineStr">
        <is>
          <t>TC022</t>
        </is>
      </c>
      <c r="B23" s="5" t="inlineStr">
        <is>
          <t>Customer</t>
        </is>
      </c>
      <c r="C23" s="5" t="inlineStr">
        <is>
          <t>Meals</t>
        </is>
      </c>
      <c r="D23" s="5" t="inlineStr">
        <is>
          <t>Filter Diet</t>
        </is>
      </c>
      <c r="E23" s="5" t="inlineStr">
        <is>
          <t>Filter by Dietary Tags</t>
        </is>
      </c>
      <c r="F23" s="5" t="inlineStr">
        <is>
          <t>1. On meals page
2. Click diet filter
3. Select 'Keto'</t>
        </is>
      </c>
      <c r="G23" s="5" t="inlineStr">
        <is>
          <t>Only keto meals displayed</t>
        </is>
      </c>
      <c r="H23" s="5">
        <f>IF(I23="","",IF(I23=G23,"PASS","FAIL"))</f>
        <v/>
      </c>
      <c r="I23" s="5" t="inlineStr"/>
      <c r="J23" s="5" t="inlineStr"/>
      <c r="K23" s="6" t="inlineStr">
        <is>
          <t>High</t>
        </is>
      </c>
      <c r="L23" s="5" t="inlineStr"/>
    </row>
    <row r="24">
      <c r="A24" s="5" t="inlineStr">
        <is>
          <t>TC023</t>
        </is>
      </c>
      <c r="B24" s="5" t="inlineStr">
        <is>
          <t>Customer</t>
        </is>
      </c>
      <c r="C24" s="5" t="inlineStr">
        <is>
          <t>Meals</t>
        </is>
      </c>
      <c r="D24" s="5" t="inlineStr">
        <is>
          <t>Filter Calories</t>
        </is>
      </c>
      <c r="E24" s="5" t="inlineStr">
        <is>
          <t>Filter by Calories</t>
        </is>
      </c>
      <c r="F24" s="5" t="inlineStr">
        <is>
          <t>1. On meals page
2. Set calorie range
3. Apply filter</t>
        </is>
      </c>
      <c r="G24" s="5" t="inlineStr">
        <is>
          <t>Meals within calorie range displayed</t>
        </is>
      </c>
      <c r="H24" s="5">
        <f>IF(I24="","",IF(I24=G24,"PASS","FAIL"))</f>
        <v/>
      </c>
      <c r="I24" s="5" t="inlineStr"/>
      <c r="J24" s="5" t="inlineStr"/>
      <c r="K24" s="7" t="inlineStr">
        <is>
          <t>Medium</t>
        </is>
      </c>
      <c r="L24" s="5" t="inlineStr"/>
    </row>
    <row r="25">
      <c r="A25" s="5" t="inlineStr">
        <is>
          <t>TC024</t>
        </is>
      </c>
      <c r="B25" s="5" t="inlineStr">
        <is>
          <t>Customer</t>
        </is>
      </c>
      <c r="C25" s="5" t="inlineStr">
        <is>
          <t>Meals</t>
        </is>
      </c>
      <c r="D25" s="5" t="inlineStr">
        <is>
          <t>Search</t>
        </is>
      </c>
      <c r="E25" s="5" t="inlineStr">
        <is>
          <t>Search Meals</t>
        </is>
      </c>
      <c r="F25" s="5" t="inlineStr">
        <is>
          <t>1. Enter search term in search box
2. Press Enter</t>
        </is>
      </c>
      <c r="G25" s="5" t="inlineStr">
        <is>
          <t>Search results displayed matching query</t>
        </is>
      </c>
      <c r="H25" s="5">
        <f>IF(I25="","",IF(I25=G25,"PASS","FAIL"))</f>
        <v/>
      </c>
      <c r="I25" s="5" t="inlineStr"/>
      <c r="J25" s="5" t="inlineStr"/>
      <c r="K25" s="6" t="inlineStr">
        <is>
          <t>High</t>
        </is>
      </c>
      <c r="L25" s="5" t="inlineStr"/>
    </row>
    <row r="26">
      <c r="A26" s="5" t="inlineStr">
        <is>
          <t>TC025</t>
        </is>
      </c>
      <c r="B26" s="5" t="inlineStr">
        <is>
          <t>Customer</t>
        </is>
      </c>
      <c r="C26" s="5" t="inlineStr">
        <is>
          <t>Meals</t>
        </is>
      </c>
      <c r="D26" s="5" t="inlineStr">
        <is>
          <t>Meal Details</t>
        </is>
      </c>
      <c r="E26" s="5" t="inlineStr">
        <is>
          <t>View Meal Details</t>
        </is>
      </c>
      <c r="F26" s="5" t="inlineStr">
        <is>
          <t>1. Click on any meal card
2. View details page</t>
        </is>
      </c>
      <c r="G26" s="5" t="inlineStr">
        <is>
          <t>Full meal info displayed: ingredients, nutrition, prep time, restaurant</t>
        </is>
      </c>
      <c r="H26" s="5">
        <f>IF(I26="","",IF(I26=G26,"PASS","FAIL"))</f>
        <v/>
      </c>
      <c r="I26" s="5" t="inlineStr"/>
      <c r="J26" s="5" t="inlineStr"/>
      <c r="K26" s="6" t="inlineStr">
        <is>
          <t>High</t>
        </is>
      </c>
      <c r="L26" s="5" t="inlineStr"/>
    </row>
    <row r="27">
      <c r="A27" s="5" t="inlineStr">
        <is>
          <t>TC026</t>
        </is>
      </c>
      <c r="B27" s="5" t="inlineStr">
        <is>
          <t>Customer</t>
        </is>
      </c>
      <c r="C27" s="5" t="inlineStr">
        <is>
          <t>Meals</t>
        </is>
      </c>
      <c r="D27" s="5" t="inlineStr">
        <is>
          <t>Add to Order</t>
        </is>
      </c>
      <c r="E27" s="5" t="inlineStr">
        <is>
          <t>Add Meal to Order</t>
        </is>
      </c>
      <c r="F27" s="5" t="inlineStr">
        <is>
          <t>1. On meal details
2. Click 'Add to Order'
3. Select quantity</t>
        </is>
      </c>
      <c r="G27" s="5" t="inlineStr">
        <is>
          <t>Meal added to cart, confirmation shown</t>
        </is>
      </c>
      <c r="H27" s="5">
        <f>IF(I27="","",IF(I27=G27,"PASS","FAIL"))</f>
        <v/>
      </c>
      <c r="I27" s="5" t="inlineStr"/>
      <c r="J27" s="5" t="inlineStr"/>
      <c r="K27" s="6" t="inlineStr">
        <is>
          <t>High</t>
        </is>
      </c>
      <c r="L27" s="5" t="inlineStr"/>
    </row>
    <row r="28">
      <c r="A28" s="5" t="inlineStr">
        <is>
          <t>TC027</t>
        </is>
      </c>
      <c r="B28" s="5" t="inlineStr">
        <is>
          <t>Customer</t>
        </is>
      </c>
      <c r="C28" s="5" t="inlineStr">
        <is>
          <t>Meals</t>
        </is>
      </c>
      <c r="D28" s="5" t="inlineStr">
        <is>
          <t>Limit Check</t>
        </is>
      </c>
      <c r="E28" s="5" t="inlineStr">
        <is>
          <t>Order with Meal Limit</t>
        </is>
      </c>
      <c r="F28" s="5" t="inlineStr">
        <is>
          <t>1. Use all weekly meals
2. Try to add another meal</t>
        </is>
      </c>
      <c r="G28" s="5" t="inlineStr">
        <is>
          <t>'Add to Order' button disabled or warning shown</t>
        </is>
      </c>
      <c r="H28" s="5">
        <f>IF(I28="","",IF(I28=G28,"PASS","FAIL"))</f>
        <v/>
      </c>
      <c r="I28" s="5" t="inlineStr"/>
      <c r="J28" s="5" t="inlineStr"/>
      <c r="K28" s="6" t="inlineStr">
        <is>
          <t>High</t>
        </is>
      </c>
      <c r="L28" s="5" t="inlineStr"/>
    </row>
    <row r="29">
      <c r="A29" s="5" t="inlineStr">
        <is>
          <t>TC028</t>
        </is>
      </c>
      <c r="B29" s="5" t="inlineStr">
        <is>
          <t>Customer</t>
        </is>
      </c>
      <c r="C29" s="5" t="inlineStr">
        <is>
          <t>Meals</t>
        </is>
      </c>
      <c r="D29" s="5" t="inlineStr">
        <is>
          <t>Favorites</t>
        </is>
      </c>
      <c r="E29" s="5" t="inlineStr">
        <is>
          <t>Add to Favorites</t>
        </is>
      </c>
      <c r="F29" s="5" t="inlineStr">
        <is>
          <t>1. Click heart icon on meal
2. Go to favorites page</t>
        </is>
      </c>
      <c r="G29" s="5" t="inlineStr">
        <is>
          <t>Meal appears in favorites list</t>
        </is>
      </c>
      <c r="H29" s="5">
        <f>IF(I29="","",IF(I29=G29,"PASS","FAIL"))</f>
        <v/>
      </c>
      <c r="I29" s="5" t="inlineStr"/>
      <c r="J29" s="5" t="inlineStr"/>
      <c r="K29" s="5" t="inlineStr">
        <is>
          <t>Low</t>
        </is>
      </c>
      <c r="L29" s="5" t="inlineStr"/>
    </row>
    <row r="30">
      <c r="A30" s="5" t="inlineStr">
        <is>
          <t>TC029</t>
        </is>
      </c>
      <c r="B30" s="5" t="inlineStr">
        <is>
          <t>Customer</t>
        </is>
      </c>
      <c r="C30" s="5" t="inlineStr">
        <is>
          <t>Orders</t>
        </is>
      </c>
      <c r="D30" s="5" t="inlineStr">
        <is>
          <t>Place Order</t>
        </is>
      </c>
      <c r="E30" s="5" t="inlineStr">
        <is>
          <t>Complete Order Placement</t>
        </is>
      </c>
      <c r="F30" s="5" t="inlineStr">
        <is>
          <t>1. Add meals to cart
2. Go to checkout
3. Select delivery time
4. Confirm order</t>
        </is>
      </c>
      <c r="G30" s="5" t="inlineStr">
        <is>
          <t>Order placed successfully, confirmation shown</t>
        </is>
      </c>
      <c r="H30" s="5">
        <f>IF(I30="","",IF(I30=G30,"PASS","FAIL"))</f>
        <v/>
      </c>
      <c r="I30" s="5" t="inlineStr"/>
      <c r="J30" s="5" t="inlineStr"/>
      <c r="K30" s="8" t="inlineStr">
        <is>
          <t>Critical</t>
        </is>
      </c>
      <c r="L30" s="5" t="inlineStr"/>
    </row>
    <row r="31">
      <c r="A31" s="5" t="inlineStr">
        <is>
          <t>TC030</t>
        </is>
      </c>
      <c r="B31" s="5" t="inlineStr">
        <is>
          <t>Customer</t>
        </is>
      </c>
      <c r="C31" s="5" t="inlineStr">
        <is>
          <t>Orders</t>
        </is>
      </c>
      <c r="D31" s="5" t="inlineStr">
        <is>
          <t>View Orders</t>
        </is>
      </c>
      <c r="E31" s="5" t="inlineStr">
        <is>
          <t>View Order History</t>
        </is>
      </c>
      <c r="F31" s="5" t="inlineStr">
        <is>
          <t>1. Navigate to /orders
2. View order list</t>
        </is>
      </c>
      <c r="G31" s="5" t="inlineStr">
        <is>
          <t>All past orders displayed with status</t>
        </is>
      </c>
      <c r="H31" s="5">
        <f>IF(I31="","",IF(I31=G31,"PASS","FAIL"))</f>
        <v/>
      </c>
      <c r="I31" s="5" t="inlineStr"/>
      <c r="J31" s="5" t="inlineStr"/>
      <c r="K31" s="6" t="inlineStr">
        <is>
          <t>High</t>
        </is>
      </c>
      <c r="L31" s="5" t="inlineStr"/>
    </row>
    <row r="32">
      <c r="A32" s="5" t="inlineStr">
        <is>
          <t>TC031</t>
        </is>
      </c>
      <c r="B32" s="5" t="inlineStr">
        <is>
          <t>Customer</t>
        </is>
      </c>
      <c r="C32" s="5" t="inlineStr">
        <is>
          <t>Orders</t>
        </is>
      </c>
      <c r="D32" s="5" t="inlineStr">
        <is>
          <t>Order Details</t>
        </is>
      </c>
      <c r="E32" s="5" t="inlineStr">
        <is>
          <t>View Order Details</t>
        </is>
      </c>
      <c r="F32" s="5" t="inlineStr">
        <is>
          <t>1. Click on any order
2. View details</t>
        </is>
      </c>
      <c r="G32" s="5" t="inlineStr">
        <is>
          <t>Full order info: items, status, restaurant, total</t>
        </is>
      </c>
      <c r="H32" s="5">
        <f>IF(I32="","",IF(I32=G32,"PASS","FAIL"))</f>
        <v/>
      </c>
      <c r="I32" s="5" t="inlineStr"/>
      <c r="J32" s="5" t="inlineStr"/>
      <c r="K32" s="6" t="inlineStr">
        <is>
          <t>High</t>
        </is>
      </c>
      <c r="L32" s="5" t="inlineStr"/>
    </row>
    <row r="33">
      <c r="A33" s="5" t="inlineStr">
        <is>
          <t>TC032</t>
        </is>
      </c>
      <c r="B33" s="5" t="inlineStr">
        <is>
          <t>Customer</t>
        </is>
      </c>
      <c r="C33" s="5" t="inlineStr">
        <is>
          <t>Orders</t>
        </is>
      </c>
      <c r="D33" s="5" t="inlineStr">
        <is>
          <t>Track Order</t>
        </is>
      </c>
      <c r="E33" s="5" t="inlineStr">
        <is>
          <t>Track Order Status</t>
        </is>
      </c>
      <c r="F33" s="5" t="inlineStr">
        <is>
          <t>1. Go to active order
2. View status timeline</t>
        </is>
      </c>
      <c r="G33" s="5" t="inlineStr">
        <is>
          <t>Current status and history displayed</t>
        </is>
      </c>
      <c r="H33" s="5">
        <f>IF(I33="","",IF(I33=G33,"PASS","FAIL"))</f>
        <v/>
      </c>
      <c r="I33" s="5" t="inlineStr"/>
      <c r="J33" s="5" t="inlineStr"/>
      <c r="K33" s="6" t="inlineStr">
        <is>
          <t>High</t>
        </is>
      </c>
      <c r="L33" s="5" t="inlineStr"/>
    </row>
    <row r="34">
      <c r="A34" s="5" t="inlineStr">
        <is>
          <t>TC033</t>
        </is>
      </c>
      <c r="B34" s="5" t="inlineStr">
        <is>
          <t>Customer</t>
        </is>
      </c>
      <c r="C34" s="5" t="inlineStr">
        <is>
          <t>Orders</t>
        </is>
      </c>
      <c r="D34" s="5" t="inlineStr">
        <is>
          <t>Cancel Order</t>
        </is>
      </c>
      <c r="E34" s="5" t="inlineStr">
        <is>
          <t>Cancel Pending Order</t>
        </is>
      </c>
      <c r="F34" s="5" t="inlineStr">
        <is>
          <t>1. Go to order details
2. Click Cancel
3. Confirm</t>
        </is>
      </c>
      <c r="G34" s="5" t="inlineStr">
        <is>
          <t>Order cancelled, meals refunded to weekly limit</t>
        </is>
      </c>
      <c r="H34" s="5">
        <f>IF(I34="","",IF(I34=G34,"PASS","FAIL"))</f>
        <v/>
      </c>
      <c r="I34" s="5" t="inlineStr"/>
      <c r="J34" s="5" t="inlineStr"/>
      <c r="K34" s="7" t="inlineStr">
        <is>
          <t>Medium</t>
        </is>
      </c>
      <c r="L34" s="5" t="inlineStr"/>
    </row>
    <row r="35">
      <c r="A35" s="5" t="inlineStr">
        <is>
          <t>TC034</t>
        </is>
      </c>
      <c r="B35" s="5" t="inlineStr">
        <is>
          <t>Customer</t>
        </is>
      </c>
      <c r="C35" s="5" t="inlineStr">
        <is>
          <t>Orders</t>
        </is>
      </c>
      <c r="D35" s="5" t="inlineStr">
        <is>
          <t>Rate Order</t>
        </is>
      </c>
      <c r="E35" s="5" t="inlineStr">
        <is>
          <t>Rate Completed Order</t>
        </is>
      </c>
      <c r="F35" s="5" t="inlineStr">
        <is>
          <t>1. Go to completed order
2. Click Rate
3. Select stars
4. Add comment</t>
        </is>
      </c>
      <c r="G35" s="5" t="inlineStr">
        <is>
          <t>Rating submitted, thank you message shown</t>
        </is>
      </c>
      <c r="H35" s="5">
        <f>IF(I35="","",IF(I35=G35,"PASS","FAIL"))</f>
        <v/>
      </c>
      <c r="I35" s="5" t="inlineStr"/>
      <c r="J35" s="5" t="inlineStr"/>
      <c r="K35" s="7" t="inlineStr">
        <is>
          <t>Medium</t>
        </is>
      </c>
      <c r="L35" s="5" t="inlineStr"/>
    </row>
    <row r="36">
      <c r="A36" s="5" t="inlineStr">
        <is>
          <t>TC035</t>
        </is>
      </c>
      <c r="B36" s="5" t="inlineStr">
        <is>
          <t>Customer</t>
        </is>
      </c>
      <c r="C36" s="5" t="inlineStr">
        <is>
          <t>Orders</t>
        </is>
      </c>
      <c r="D36" s="5" t="inlineStr">
        <is>
          <t>Reorder</t>
        </is>
      </c>
      <c r="E36" s="5" t="inlineStr">
        <is>
          <t>Reorder Previous Order</t>
        </is>
      </c>
      <c r="F36" s="5" t="inlineStr">
        <is>
          <t>1. Go to past order
2. Click Reorder
3. Confirm</t>
        </is>
      </c>
      <c r="G36" s="5" t="inlineStr">
        <is>
          <t>Items added to cart, can modify before checkout</t>
        </is>
      </c>
      <c r="H36" s="5">
        <f>IF(I36="","",IF(I36=G36,"PASS","FAIL"))</f>
        <v/>
      </c>
      <c r="I36" s="5" t="inlineStr"/>
      <c r="J36" s="5" t="inlineStr"/>
      <c r="K36" s="7" t="inlineStr">
        <is>
          <t>Medium</t>
        </is>
      </c>
      <c r="L36" s="5" t="inlineStr"/>
    </row>
    <row r="37">
      <c r="A37" s="5" t="inlineStr">
        <is>
          <t>TC036</t>
        </is>
      </c>
      <c r="B37" s="5" t="inlineStr">
        <is>
          <t>Customer</t>
        </is>
      </c>
      <c r="C37" s="5" t="inlineStr">
        <is>
          <t>Profile</t>
        </is>
      </c>
      <c r="D37" s="5" t="inlineStr">
        <is>
          <t>View Profile</t>
        </is>
      </c>
      <c r="E37" s="5" t="inlineStr">
        <is>
          <t>View User Profile</t>
        </is>
      </c>
      <c r="F37" s="5" t="inlineStr">
        <is>
          <t>1. Click profile menu
2. View profile page</t>
        </is>
      </c>
      <c r="G37" s="5" t="inlineStr">
        <is>
          <t>Profile info displayed: name, email, subscription, referral code</t>
        </is>
      </c>
      <c r="H37" s="5">
        <f>IF(I37="","",IF(I37=G37,"PASS","FAIL"))</f>
        <v/>
      </c>
      <c r="I37" s="5" t="inlineStr"/>
      <c r="J37" s="5" t="inlineStr"/>
      <c r="K37" s="6" t="inlineStr">
        <is>
          <t>High</t>
        </is>
      </c>
      <c r="L37" s="5" t="inlineStr"/>
    </row>
    <row r="38">
      <c r="A38" s="5" t="inlineStr">
        <is>
          <t>TC037</t>
        </is>
      </c>
      <c r="B38" s="5" t="inlineStr">
        <is>
          <t>Customer</t>
        </is>
      </c>
      <c r="C38" s="5" t="inlineStr">
        <is>
          <t>Profile</t>
        </is>
      </c>
      <c r="D38" s="5" t="inlineStr">
        <is>
          <t>Edit Profile</t>
        </is>
      </c>
      <c r="E38" s="5" t="inlineStr">
        <is>
          <t>Edit Profile Information</t>
        </is>
      </c>
      <c r="F38" s="5" t="inlineStr">
        <is>
          <t>1. Go to profile
2. Click Edit
3. Change name/phone
4. Save</t>
        </is>
      </c>
      <c r="G38" s="5" t="inlineStr">
        <is>
          <t>Profile updated successfully</t>
        </is>
      </c>
      <c r="H38" s="5">
        <f>IF(I38="","",IF(I38=G38,"PASS","FAIL"))</f>
        <v/>
      </c>
      <c r="I38" s="5" t="inlineStr"/>
      <c r="J38" s="5" t="inlineStr"/>
      <c r="K38" s="7" t="inlineStr">
        <is>
          <t>Medium</t>
        </is>
      </c>
      <c r="L38" s="5" t="inlineStr"/>
    </row>
    <row r="39">
      <c r="A39" s="5" t="inlineStr">
        <is>
          <t>TC038</t>
        </is>
      </c>
      <c r="B39" s="5" t="inlineStr">
        <is>
          <t>Customer</t>
        </is>
      </c>
      <c r="C39" s="5" t="inlineStr">
        <is>
          <t>Profile</t>
        </is>
      </c>
      <c r="D39" s="5" t="inlineStr">
        <is>
          <t>Change Password</t>
        </is>
      </c>
      <c r="E39" s="5" t="inlineStr">
        <is>
          <t>Change Password</t>
        </is>
      </c>
      <c r="F39" s="5" t="inlineStr">
        <is>
          <t>1. Go to profile
2. Click Change Password
3. Enter old and new password
4. Save</t>
        </is>
      </c>
      <c r="G39" s="5" t="inlineStr">
        <is>
          <t>Password changed, confirmation shown</t>
        </is>
      </c>
      <c r="H39" s="5">
        <f>IF(I39="","",IF(I39=G39,"PASS","FAIL"))</f>
        <v/>
      </c>
      <c r="I39" s="5" t="inlineStr"/>
      <c r="J39" s="5" t="inlineStr"/>
      <c r="K39" s="7" t="inlineStr">
        <is>
          <t>Medium</t>
        </is>
      </c>
      <c r="L39" s="5" t="inlineStr"/>
    </row>
    <row r="40">
      <c r="A40" s="5" t="inlineStr">
        <is>
          <t>TC039</t>
        </is>
      </c>
      <c r="B40" s="5" t="inlineStr">
        <is>
          <t>Customer</t>
        </is>
      </c>
      <c r="C40" s="5" t="inlineStr">
        <is>
          <t>Profile</t>
        </is>
      </c>
      <c r="D40" s="5" t="inlineStr">
        <is>
          <t>Update Address</t>
        </is>
      </c>
      <c r="E40" s="5" t="inlineStr">
        <is>
          <t>Update Delivery Address</t>
        </is>
      </c>
      <c r="F40" s="5" t="inlineStr">
        <is>
          <t>1. Go to profile
2. Click Addresses
3. Add/Edit address
4. Save</t>
        </is>
      </c>
      <c r="G40" s="5" t="inlineStr">
        <is>
          <t>Address updated for future orders</t>
        </is>
      </c>
      <c r="H40" s="5">
        <f>IF(I40="","",IF(I40=G40,"PASS","FAIL"))</f>
        <v/>
      </c>
      <c r="I40" s="5" t="inlineStr"/>
      <c r="J40" s="5" t="inlineStr"/>
      <c r="K40" s="6" t="inlineStr">
        <is>
          <t>High</t>
        </is>
      </c>
      <c r="L40" s="5" t="inlineStr"/>
    </row>
    <row r="41">
      <c r="A41" s="5" t="inlineStr">
        <is>
          <t>TC040</t>
        </is>
      </c>
      <c r="B41" s="5" t="inlineStr">
        <is>
          <t>Customer</t>
        </is>
      </c>
      <c r="C41" s="5" t="inlineStr">
        <is>
          <t>Profile</t>
        </is>
      </c>
      <c r="D41" s="5" t="inlineStr">
        <is>
          <t>Dietary Preferences</t>
        </is>
      </c>
      <c r="E41" s="5" t="inlineStr">
        <is>
          <t>Set Dietary Preferences</t>
        </is>
      </c>
      <c r="F41" s="5" t="inlineStr">
        <is>
          <t>1. Go to profile
2. Click Preferences
3. Select dietary tags
4. Save</t>
        </is>
      </c>
      <c r="G41" s="5" t="inlineStr">
        <is>
          <t>Preferences saved, used for meal recommendations</t>
        </is>
      </c>
      <c r="H41" s="5">
        <f>IF(I41="","",IF(I41=G41,"PASS","FAIL"))</f>
        <v/>
      </c>
      <c r="I41" s="5" t="inlineStr"/>
      <c r="J41" s="5" t="inlineStr"/>
      <c r="K41" s="5" t="inlineStr">
        <is>
          <t>Low</t>
        </is>
      </c>
      <c r="L41" s="5" t="inlineStr"/>
    </row>
    <row r="42">
      <c r="A42" s="5" t="inlineStr">
        <is>
          <t>TC041</t>
        </is>
      </c>
      <c r="B42" s="5" t="inlineStr">
        <is>
          <t>Customer</t>
        </is>
      </c>
      <c r="C42" s="5" t="inlineStr">
        <is>
          <t>Profile</t>
        </is>
      </c>
      <c r="D42" s="5" t="inlineStr">
        <is>
          <t>View Referral</t>
        </is>
      </c>
      <c r="E42" s="5" t="inlineStr">
        <is>
          <t>View Referral Code</t>
        </is>
      </c>
      <c r="F42" s="5" t="inlineStr">
        <is>
          <t>1. Go to profile
2. View referral section</t>
        </is>
      </c>
      <c r="G42" s="5" t="inlineStr">
        <is>
          <t>Unique referral code displayed</t>
        </is>
      </c>
      <c r="H42" s="5">
        <f>IF(I42="","",IF(I42=G42,"PASS","FAIL"))</f>
        <v/>
      </c>
      <c r="I42" s="5" t="inlineStr"/>
      <c r="J42" s="5" t="inlineStr"/>
      <c r="K42" s="7" t="inlineStr">
        <is>
          <t>Medium</t>
        </is>
      </c>
      <c r="L42" s="5" t="inlineStr"/>
    </row>
    <row r="43">
      <c r="A43" s="5" t="inlineStr">
        <is>
          <t>TC042</t>
        </is>
      </c>
      <c r="B43" s="5" t="inlineStr">
        <is>
          <t>Customer</t>
        </is>
      </c>
      <c r="C43" s="5" t="inlineStr">
        <is>
          <t>Profile</t>
        </is>
      </c>
      <c r="D43" s="5" t="inlineStr">
        <is>
          <t>Share Referral</t>
        </is>
      </c>
      <c r="E43" s="5" t="inlineStr">
        <is>
          <t>Share Referral Code</t>
        </is>
      </c>
      <c r="F43" s="5" t="inlineStr">
        <is>
          <t>1. Click Share
2. Select WhatsApp
3. Send to contact</t>
        </is>
      </c>
      <c r="G43" s="5" t="inlineStr">
        <is>
          <t>Referral link shared via WhatsApp</t>
        </is>
      </c>
      <c r="H43" s="5">
        <f>IF(I43="","",IF(I43=G43,"PASS","FAIL"))</f>
        <v/>
      </c>
      <c r="I43" s="5" t="inlineStr"/>
      <c r="J43" s="5" t="inlineStr"/>
      <c r="K43" s="7" t="inlineStr">
        <is>
          <t>Medium</t>
        </is>
      </c>
      <c r="L43" s="5" t="inlineStr"/>
    </row>
    <row r="44">
      <c r="A44" s="5" t="inlineStr">
        <is>
          <t>TC043</t>
        </is>
      </c>
      <c r="B44" s="5" t="inlineStr">
        <is>
          <t>Customer</t>
        </is>
      </c>
      <c r="C44" s="5" t="inlineStr">
        <is>
          <t>Wallet</t>
        </is>
      </c>
      <c r="D44" s="5" t="inlineStr">
        <is>
          <t>View Wallet</t>
        </is>
      </c>
      <c r="E44" s="5" t="inlineStr">
        <is>
          <t>View Wallet Balance</t>
        </is>
      </c>
      <c r="F44" s="5" t="inlineStr">
        <is>
          <t>1. Navigate to /wallet
2. View balance</t>
        </is>
      </c>
      <c r="G44" s="5" t="inlineStr">
        <is>
          <t>Current balance displayed with transaction history</t>
        </is>
      </c>
      <c r="H44" s="5">
        <f>IF(I44="","",IF(I44=G44,"PASS","FAIL"))</f>
        <v/>
      </c>
      <c r="I44" s="5" t="inlineStr"/>
      <c r="J44" s="5" t="inlineStr"/>
      <c r="K44" s="7" t="inlineStr">
        <is>
          <t>Medium</t>
        </is>
      </c>
      <c r="L44" s="5" t="inlineStr"/>
    </row>
    <row r="45">
      <c r="A45" s="5" t="inlineStr">
        <is>
          <t>TC044</t>
        </is>
      </c>
      <c r="B45" s="5" t="inlineStr">
        <is>
          <t>Customer</t>
        </is>
      </c>
      <c r="C45" s="5" t="inlineStr">
        <is>
          <t>Wallet</t>
        </is>
      </c>
      <c r="D45" s="5" t="inlineStr">
        <is>
          <t>Add Funds</t>
        </is>
      </c>
      <c r="E45" s="5" t="inlineStr">
        <is>
          <t>Add Funds to Wallet</t>
        </is>
      </c>
      <c r="F45" s="5" t="inlineStr">
        <is>
          <t>1. Go to wallet
2. Click Add Funds
3. Enter amount
4. Complete payment</t>
        </is>
      </c>
      <c r="G45" s="5" t="inlineStr">
        <is>
          <t>Funds added, balance updated</t>
        </is>
      </c>
      <c r="H45" s="5">
        <f>IF(I45="","",IF(I45=G45,"PASS","FAIL"))</f>
        <v/>
      </c>
      <c r="I45" s="5" t="inlineStr"/>
      <c r="J45" s="5" t="inlineStr"/>
      <c r="K45" s="7" t="inlineStr">
        <is>
          <t>Medium</t>
        </is>
      </c>
      <c r="L45" s="5" t="inlineStr"/>
    </row>
    <row r="46">
      <c r="A46" s="5" t="inlineStr">
        <is>
          <t>TC045</t>
        </is>
      </c>
      <c r="B46" s="5" t="inlineStr">
        <is>
          <t>Customer</t>
        </is>
      </c>
      <c r="C46" s="5" t="inlineStr">
        <is>
          <t>Wallet</t>
        </is>
      </c>
      <c r="D46" s="5" t="inlineStr">
        <is>
          <t>Transaction History</t>
        </is>
      </c>
      <c r="E46" s="5" t="inlineStr">
        <is>
          <t>View Transaction History</t>
        </is>
      </c>
      <c r="F46" s="5" t="inlineStr">
        <is>
          <t>1. Go to wallet
2. View transactions tab</t>
        </is>
      </c>
      <c r="G46" s="5" t="inlineStr">
        <is>
          <t>All transactions listed with dates and amounts</t>
        </is>
      </c>
      <c r="H46" s="5">
        <f>IF(I46="","",IF(I46=G46,"PASS","FAIL"))</f>
        <v/>
      </c>
      <c r="I46" s="5" t="inlineStr"/>
      <c r="J46" s="5" t="inlineStr"/>
      <c r="K46" s="5" t="inlineStr">
        <is>
          <t>Low</t>
        </is>
      </c>
      <c r="L46" s="5" t="inlineStr"/>
    </row>
    <row r="47">
      <c r="A47" s="5" t="inlineStr">
        <is>
          <t>TC046</t>
        </is>
      </c>
      <c r="B47" s="5" t="inlineStr">
        <is>
          <t>Partner</t>
        </is>
      </c>
      <c r="C47" s="5" t="inlineStr">
        <is>
          <t>Auth</t>
        </is>
      </c>
      <c r="D47" s="5" t="inlineStr">
        <is>
          <t>Login</t>
        </is>
      </c>
      <c r="E47" s="5" t="inlineStr">
        <is>
          <t>Partner Login</t>
        </is>
      </c>
      <c r="F47" s="5" t="inlineStr">
        <is>
          <t>1. Navigate to /partner/auth
2. Enter partner email
3. Enter password
4. Click Sign In</t>
        </is>
      </c>
      <c r="G47" s="5" t="inlineStr">
        <is>
          <t>Partner logged in, redirected to partner dashboard</t>
        </is>
      </c>
      <c r="H47" s="5">
        <f>IF(I47="","",IF(I47=G47,"PASS","FAIL"))</f>
        <v/>
      </c>
      <c r="I47" s="5" t="inlineStr"/>
      <c r="J47" s="5" t="inlineStr"/>
      <c r="K47" s="6" t="inlineStr">
        <is>
          <t>High</t>
        </is>
      </c>
      <c r="L47" s="5" t="inlineStr"/>
    </row>
    <row r="48">
      <c r="A48" s="5" t="inlineStr">
        <is>
          <t>TC047</t>
        </is>
      </c>
      <c r="B48" s="5" t="inlineStr">
        <is>
          <t>Partner</t>
        </is>
      </c>
      <c r="C48" s="5" t="inlineStr">
        <is>
          <t>Auth</t>
        </is>
      </c>
      <c r="D48" s="5" t="inlineStr">
        <is>
          <t>Invalid Login</t>
        </is>
      </c>
      <c r="E48" s="5" t="inlineStr">
        <is>
          <t>Partner Login - Invalid Credentials</t>
        </is>
      </c>
      <c r="F48" s="5" t="inlineStr">
        <is>
          <t>1. Enter wrong password
2. Click Sign In</t>
        </is>
      </c>
      <c r="G48" s="5" t="inlineStr">
        <is>
          <t>Error message displayed</t>
        </is>
      </c>
      <c r="H48" s="5">
        <f>IF(I48="","",IF(I48=G48,"PASS","FAIL"))</f>
        <v/>
      </c>
      <c r="I48" s="5" t="inlineStr"/>
      <c r="J48" s="5" t="inlineStr"/>
      <c r="K48" s="6" t="inlineStr">
        <is>
          <t>High</t>
        </is>
      </c>
      <c r="L48" s="5" t="inlineStr"/>
    </row>
    <row r="49">
      <c r="A49" s="5" t="inlineStr">
        <is>
          <t>TC048</t>
        </is>
      </c>
      <c r="B49" s="5" t="inlineStr">
        <is>
          <t>Partner</t>
        </is>
      </c>
      <c r="C49" s="5" t="inlineStr">
        <is>
          <t>Auth</t>
        </is>
      </c>
      <c r="D49" s="5" t="inlineStr">
        <is>
          <t>Logout</t>
        </is>
      </c>
      <c r="E49" s="5" t="inlineStr">
        <is>
          <t>Partner Logout</t>
        </is>
      </c>
      <c r="F49" s="5" t="inlineStr">
        <is>
          <t>1. Click user menu
2. Click Logout</t>
        </is>
      </c>
      <c r="G49" s="5" t="inlineStr">
        <is>
          <t>Logged out, redirected to login page</t>
        </is>
      </c>
      <c r="H49" s="5">
        <f>IF(I49="","",IF(I49=G49,"PASS","FAIL"))</f>
        <v/>
      </c>
      <c r="I49" s="5" t="inlineStr"/>
      <c r="J49" s="5" t="inlineStr"/>
      <c r="K49" s="6" t="inlineStr">
        <is>
          <t>High</t>
        </is>
      </c>
      <c r="L49" s="5" t="inlineStr"/>
    </row>
    <row r="50">
      <c r="A50" s="5" t="inlineStr">
        <is>
          <t>TC049</t>
        </is>
      </c>
      <c r="B50" s="5" t="inlineStr">
        <is>
          <t>Partner</t>
        </is>
      </c>
      <c r="C50" s="5" t="inlineStr">
        <is>
          <t>Dashboard</t>
        </is>
      </c>
      <c r="D50" s="5" t="inlineStr">
        <is>
          <t>View</t>
        </is>
      </c>
      <c r="E50" s="5" t="inlineStr">
        <is>
          <t>Partner Dashboard Load</t>
        </is>
      </c>
      <c r="F50" s="5" t="inlineStr">
        <is>
          <t>1. Login as partner
2. View dashboard</t>
        </is>
      </c>
      <c r="G50" s="5" t="inlineStr">
        <is>
          <t>Dashboard shows: today's orders, earnings, ratings, quick actions</t>
        </is>
      </c>
      <c r="H50" s="5">
        <f>IF(I50="","",IF(I50=G50,"PASS","FAIL"))</f>
        <v/>
      </c>
      <c r="I50" s="5" t="inlineStr"/>
      <c r="J50" s="5" t="inlineStr"/>
      <c r="K50" s="6" t="inlineStr">
        <is>
          <t>High</t>
        </is>
      </c>
      <c r="L50" s="5" t="inlineStr"/>
    </row>
    <row r="51">
      <c r="A51" s="5" t="inlineStr">
        <is>
          <t>TC050</t>
        </is>
      </c>
      <c r="B51" s="5" t="inlineStr">
        <is>
          <t>Partner</t>
        </is>
      </c>
      <c r="C51" s="5" t="inlineStr">
        <is>
          <t>Dashboard</t>
        </is>
      </c>
      <c r="D51" s="5" t="inlineStr">
        <is>
          <t>Stats</t>
        </is>
      </c>
      <c r="E51" s="5" t="inlineStr">
        <is>
          <t>Dashboard Statistics</t>
        </is>
      </c>
      <c r="F51" s="5" t="inlineStr">
        <is>
          <t>1. On dashboard
2. Verify stats accuracy</t>
        </is>
      </c>
      <c r="G51" s="5" t="inlineStr">
        <is>
          <t>Today's orders, weekly earnings, average rating correct</t>
        </is>
      </c>
      <c r="H51" s="5">
        <f>IF(I51="","",IF(I51=G51,"PASS","FAIL"))</f>
        <v/>
      </c>
      <c r="I51" s="5" t="inlineStr"/>
      <c r="J51" s="5" t="inlineStr"/>
      <c r="K51" s="6" t="inlineStr">
        <is>
          <t>High</t>
        </is>
      </c>
      <c r="L51" s="5" t="inlineStr"/>
    </row>
    <row r="52">
      <c r="A52" s="5" t="inlineStr">
        <is>
          <t>TC051</t>
        </is>
      </c>
      <c r="B52" s="5" t="inlineStr">
        <is>
          <t>Partner</t>
        </is>
      </c>
      <c r="C52" s="5" t="inlineStr">
        <is>
          <t>Dashboard</t>
        </is>
      </c>
      <c r="D52" s="5" t="inlineStr">
        <is>
          <t>Quick Actions</t>
        </is>
      </c>
      <c r="E52" s="5" t="inlineStr">
        <is>
          <t>Dashboard Quick Actions</t>
        </is>
      </c>
      <c r="F52" s="5" t="inlineStr">
        <is>
          <t>1. Click 'View Orders'
2. Click 'Update Menu'
3. Click 'View Earnings'</t>
        </is>
      </c>
      <c r="G52" s="5" t="inlineStr">
        <is>
          <t>Each button navigates to correct page</t>
        </is>
      </c>
      <c r="H52" s="5">
        <f>IF(I52="","",IF(I52=G52,"PASS","FAIL"))</f>
        <v/>
      </c>
      <c r="I52" s="5" t="inlineStr"/>
      <c r="J52" s="5" t="inlineStr"/>
      <c r="K52" s="7" t="inlineStr">
        <is>
          <t>Medium</t>
        </is>
      </c>
      <c r="L52" s="5" t="inlineStr"/>
    </row>
    <row r="53">
      <c r="A53" s="5" t="inlineStr">
        <is>
          <t>TC052</t>
        </is>
      </c>
      <c r="B53" s="5" t="inlineStr">
        <is>
          <t>Partner</t>
        </is>
      </c>
      <c r="C53" s="5" t="inlineStr">
        <is>
          <t>Orders</t>
        </is>
      </c>
      <c r="D53" s="5" t="inlineStr">
        <is>
          <t>View Active</t>
        </is>
      </c>
      <c r="E53" s="5" t="inlineStr">
        <is>
          <t>View Active Orders</t>
        </is>
      </c>
      <c r="F53" s="5" t="inlineStr">
        <is>
          <t>1. Go to Orders page
2. View active orders list</t>
        </is>
      </c>
      <c r="G53" s="5" t="inlineStr">
        <is>
          <t>All pending/preparing orders displayed with details</t>
        </is>
      </c>
      <c r="H53" s="5">
        <f>IF(I53="","",IF(I53=G53,"PASS","FAIL"))</f>
        <v/>
      </c>
      <c r="I53" s="5" t="inlineStr"/>
      <c r="J53" s="5" t="inlineStr"/>
      <c r="K53" s="8" t="inlineStr">
        <is>
          <t>Critical</t>
        </is>
      </c>
      <c r="L53" s="5" t="inlineStr"/>
    </row>
    <row r="54">
      <c r="A54" s="5" t="inlineStr">
        <is>
          <t>TC053</t>
        </is>
      </c>
      <c r="B54" s="5" t="inlineStr">
        <is>
          <t>Partner</t>
        </is>
      </c>
      <c r="C54" s="5" t="inlineStr">
        <is>
          <t>Orders</t>
        </is>
      </c>
      <c r="D54" s="5" t="inlineStr">
        <is>
          <t>View History</t>
        </is>
      </c>
      <c r="E54" s="5" t="inlineStr">
        <is>
          <t>View Order History</t>
        </is>
      </c>
      <c r="F54" s="5" t="inlineStr">
        <is>
          <t>1. Click History tab
2. View past orders</t>
        </is>
      </c>
      <c r="G54" s="5" t="inlineStr">
        <is>
          <t>Completed orders displayed with dates and amounts</t>
        </is>
      </c>
      <c r="H54" s="5">
        <f>IF(I54="","",IF(I54=G54,"PASS","FAIL"))</f>
        <v/>
      </c>
      <c r="I54" s="5" t="inlineStr"/>
      <c r="J54" s="5" t="inlineStr"/>
      <c r="K54" s="6" t="inlineStr">
        <is>
          <t>High</t>
        </is>
      </c>
      <c r="L54" s="5" t="inlineStr"/>
    </row>
    <row r="55">
      <c r="A55" s="5" t="inlineStr">
        <is>
          <t>TC054</t>
        </is>
      </c>
      <c r="B55" s="5" t="inlineStr">
        <is>
          <t>Partner</t>
        </is>
      </c>
      <c r="C55" s="5" t="inlineStr">
        <is>
          <t>Orders</t>
        </is>
      </c>
      <c r="D55" s="5" t="inlineStr">
        <is>
          <t>Accept Order</t>
        </is>
      </c>
      <c r="E55" s="5" t="inlineStr">
        <is>
          <t>Accept New Order</t>
        </is>
      </c>
      <c r="F55" s="5" t="inlineStr">
        <is>
          <t>1. New order notification received
2. Click Accept
3. Or wait for auto-accept</t>
        </is>
      </c>
      <c r="G55" s="5" t="inlineStr">
        <is>
          <t>Order status changes to Confirmed</t>
        </is>
      </c>
      <c r="H55" s="5">
        <f>IF(I55="","",IF(I55=G55,"PASS","FAIL"))</f>
        <v/>
      </c>
      <c r="I55" s="5" t="inlineStr"/>
      <c r="J55" s="5" t="inlineStr"/>
      <c r="K55" s="8" t="inlineStr">
        <is>
          <t>Critical</t>
        </is>
      </c>
      <c r="L55" s="5" t="inlineStr"/>
    </row>
    <row r="56">
      <c r="A56" s="5" t="inlineStr">
        <is>
          <t>TC055</t>
        </is>
      </c>
      <c r="B56" s="5" t="inlineStr">
        <is>
          <t>Partner</t>
        </is>
      </c>
      <c r="C56" s="5" t="inlineStr">
        <is>
          <t>Orders</t>
        </is>
      </c>
      <c r="D56" s="5" t="inlineStr">
        <is>
          <t>Update Status</t>
        </is>
      </c>
      <c r="E56" s="5" t="inlineStr">
        <is>
          <t>Update Order Status</t>
        </is>
      </c>
      <c r="F56" s="5" t="inlineStr">
        <is>
          <t>1. Click on active order
2. Click 'Mark as Preparing'
3. Later click 'Mark as Ready'</t>
        </is>
      </c>
      <c r="G56" s="5" t="inlineStr">
        <is>
          <t>Status updates, customer receives notification</t>
        </is>
      </c>
      <c r="H56" s="5">
        <f>IF(I56="","",IF(I56=G56,"PASS","FAIL"))</f>
        <v/>
      </c>
      <c r="I56" s="5" t="inlineStr"/>
      <c r="J56" s="5" t="inlineStr"/>
      <c r="K56" s="8" t="inlineStr">
        <is>
          <t>Critical</t>
        </is>
      </c>
      <c r="L56" s="5" t="inlineStr"/>
    </row>
    <row r="57">
      <c r="A57" s="5" t="inlineStr">
        <is>
          <t>TC056</t>
        </is>
      </c>
      <c r="B57" s="5" t="inlineStr">
        <is>
          <t>Partner</t>
        </is>
      </c>
      <c r="C57" s="5" t="inlineStr">
        <is>
          <t>Orders</t>
        </is>
      </c>
      <c r="D57" s="5" t="inlineStr">
        <is>
          <t>Order Details</t>
        </is>
      </c>
      <c r="E57" s="5" t="inlineStr">
        <is>
          <t>View Order Details</t>
        </is>
      </c>
      <c r="F57" s="5" t="inlineStr">
        <is>
          <t>1. Click on any order
2. View full details</t>
        </is>
      </c>
      <c r="G57" s="5" t="inlineStr">
        <is>
          <t>Order items, customer info, delivery address, special instructions displayed</t>
        </is>
      </c>
      <c r="H57" s="5">
        <f>IF(I57="","",IF(I57=G57,"PASS","FAIL"))</f>
        <v/>
      </c>
      <c r="I57" s="5" t="inlineStr"/>
      <c r="J57" s="5" t="inlineStr"/>
      <c r="K57" s="6" t="inlineStr">
        <is>
          <t>High</t>
        </is>
      </c>
      <c r="L57" s="5" t="inlineStr"/>
    </row>
    <row r="58">
      <c r="A58" s="5" t="inlineStr">
        <is>
          <t>TC057</t>
        </is>
      </c>
      <c r="B58" s="5" t="inlineStr">
        <is>
          <t>Partner</t>
        </is>
      </c>
      <c r="C58" s="5" t="inlineStr">
        <is>
          <t>Orders</t>
        </is>
      </c>
      <c r="D58" s="5" t="inlineStr">
        <is>
          <t>Print Order</t>
        </is>
      </c>
      <c r="E58" s="5" t="inlineStr">
        <is>
          <t>Print Order Ticket</t>
        </is>
      </c>
      <c r="F58" s="5" t="inlineStr">
        <is>
          <t>1. Open order details
2. Click Print</t>
        </is>
      </c>
      <c r="G58" s="5" t="inlineStr">
        <is>
          <t>Order prints with kitchen ticket format</t>
        </is>
      </c>
      <c r="H58" s="5">
        <f>IF(I58="","",IF(I58=G58,"PASS","FAIL"))</f>
        <v/>
      </c>
      <c r="I58" s="5" t="inlineStr"/>
      <c r="J58" s="5" t="inlineStr"/>
      <c r="K58" s="5" t="inlineStr">
        <is>
          <t>Low</t>
        </is>
      </c>
      <c r="L58" s="5" t="inlineStr"/>
    </row>
    <row r="59">
      <c r="A59" s="5" t="inlineStr">
        <is>
          <t>TC058</t>
        </is>
      </c>
      <c r="B59" s="5" t="inlineStr">
        <is>
          <t>Partner</t>
        </is>
      </c>
      <c r="C59" s="5" t="inlineStr">
        <is>
          <t>Menu</t>
        </is>
      </c>
      <c r="D59" s="5" t="inlineStr">
        <is>
          <t>View Menu</t>
        </is>
      </c>
      <c r="E59" s="5" t="inlineStr">
        <is>
          <t>View Current Menu</t>
        </is>
      </c>
      <c r="F59" s="5" t="inlineStr">
        <is>
          <t>1. Navigate to Menu page
2. View all items</t>
        </is>
      </c>
      <c r="G59" s="5" t="inlineStr">
        <is>
          <t>All menu items displayed with photos and status</t>
        </is>
      </c>
      <c r="H59" s="5">
        <f>IF(I59="","",IF(I59=G59,"PASS","FAIL"))</f>
        <v/>
      </c>
      <c r="I59" s="5" t="inlineStr"/>
      <c r="J59" s="5" t="inlineStr"/>
      <c r="K59" s="6" t="inlineStr">
        <is>
          <t>High</t>
        </is>
      </c>
      <c r="L59" s="5" t="inlineStr"/>
    </row>
    <row r="60">
      <c r="A60" s="5" t="inlineStr">
        <is>
          <t>TC059</t>
        </is>
      </c>
      <c r="B60" s="5" t="inlineStr">
        <is>
          <t>Partner</t>
        </is>
      </c>
      <c r="C60" s="5" t="inlineStr">
        <is>
          <t>Menu</t>
        </is>
      </c>
      <c r="D60" s="5" t="inlineStr">
        <is>
          <t>Add Item</t>
        </is>
      </c>
      <c r="E60" s="5" t="inlineStr">
        <is>
          <t>Add New Menu Item</t>
        </is>
      </c>
      <c r="F60" s="5" t="inlineStr">
        <is>
          <t>1. Click 'Add New Meal'
2. Fill all fields (name, desc, nutrition, photo)
3. Click Save</t>
        </is>
      </c>
      <c r="G60" s="5" t="inlineStr">
        <is>
          <t>Item added to menu, visible to customers</t>
        </is>
      </c>
      <c r="H60" s="5">
        <f>IF(I60="","",IF(I60=G60,"PASS","FAIL"))</f>
        <v/>
      </c>
      <c r="I60" s="5" t="inlineStr"/>
      <c r="J60" s="5" t="inlineStr"/>
      <c r="K60" s="6" t="inlineStr">
        <is>
          <t>High</t>
        </is>
      </c>
      <c r="L60" s="5" t="inlineStr"/>
    </row>
    <row r="61">
      <c r="A61" s="5" t="inlineStr">
        <is>
          <t>TC060</t>
        </is>
      </c>
      <c r="B61" s="5" t="inlineStr">
        <is>
          <t>Partner</t>
        </is>
      </c>
      <c r="C61" s="5" t="inlineStr">
        <is>
          <t>Menu</t>
        </is>
      </c>
      <c r="D61" s="5" t="inlineStr">
        <is>
          <t>Edit Item</t>
        </is>
      </c>
      <c r="E61" s="5" t="inlineStr">
        <is>
          <t>Edit Menu Item</t>
        </is>
      </c>
      <c r="F61" s="5" t="inlineStr">
        <is>
          <t>1. Click on menu item
2. Click Edit
3. Change details
4. Save</t>
        </is>
      </c>
      <c r="G61" s="5" t="inlineStr">
        <is>
          <t>Item updated with new information</t>
        </is>
      </c>
      <c r="H61" s="5">
        <f>IF(I61="","",IF(I61=G61,"PASS","FAIL"))</f>
        <v/>
      </c>
      <c r="I61" s="5" t="inlineStr"/>
      <c r="J61" s="5" t="inlineStr"/>
      <c r="K61" s="6" t="inlineStr">
        <is>
          <t>High</t>
        </is>
      </c>
      <c r="L61" s="5" t="inlineStr"/>
    </row>
    <row r="62">
      <c r="A62" s="5" t="inlineStr">
        <is>
          <t>TC061</t>
        </is>
      </c>
      <c r="B62" s="5" t="inlineStr">
        <is>
          <t>Partner</t>
        </is>
      </c>
      <c r="C62" s="5" t="inlineStr">
        <is>
          <t>Menu</t>
        </is>
      </c>
      <c r="D62" s="5" t="inlineStr">
        <is>
          <t>Delete Item</t>
        </is>
      </c>
      <c r="E62" s="5" t="inlineStr">
        <is>
          <t>Delete Menu Item</t>
        </is>
      </c>
      <c r="F62" s="5" t="inlineStr">
        <is>
          <t>1. Click on menu item
2. Click Delete
3. Confirm</t>
        </is>
      </c>
      <c r="G62" s="5" t="inlineStr">
        <is>
          <t>Item removed from menu</t>
        </is>
      </c>
      <c r="H62" s="5">
        <f>IF(I62="","",IF(I62=G62,"PASS","FAIL"))</f>
        <v/>
      </c>
      <c r="I62" s="5" t="inlineStr"/>
      <c r="J62" s="5" t="inlineStr"/>
      <c r="K62" s="7" t="inlineStr">
        <is>
          <t>Medium</t>
        </is>
      </c>
      <c r="L62" s="5" t="inlineStr"/>
    </row>
    <row r="63">
      <c r="A63" s="5" t="inlineStr">
        <is>
          <t>TC062</t>
        </is>
      </c>
      <c r="B63" s="5" t="inlineStr">
        <is>
          <t>Partner</t>
        </is>
      </c>
      <c r="C63" s="5" t="inlineStr">
        <is>
          <t>Menu</t>
        </is>
      </c>
      <c r="D63" s="5" t="inlineStr">
        <is>
          <t>Toggle Availability</t>
        </is>
      </c>
      <c r="E63" s="5" t="inlineStr">
        <is>
          <t>Toggle Item Availability</t>
        </is>
      </c>
      <c r="F63" s="5" t="inlineStr">
        <is>
          <t>1. Find menu item
2. Toggle 'Available' switch
3. Verify status change</t>
        </is>
      </c>
      <c r="G63" s="5" t="inlineStr">
        <is>
          <t>Item availability changes, customers see/hide item</t>
        </is>
      </c>
      <c r="H63" s="5">
        <f>IF(I63="","",IF(I63=G63,"PASS","FAIL"))</f>
        <v/>
      </c>
      <c r="I63" s="5" t="inlineStr"/>
      <c r="J63" s="5" t="inlineStr"/>
      <c r="K63" s="6" t="inlineStr">
        <is>
          <t>High</t>
        </is>
      </c>
      <c r="L63" s="5" t="inlineStr"/>
    </row>
    <row r="64">
      <c r="A64" s="5" t="inlineStr">
        <is>
          <t>TC063</t>
        </is>
      </c>
      <c r="B64" s="5" t="inlineStr">
        <is>
          <t>Partner</t>
        </is>
      </c>
      <c r="C64" s="5" t="inlineStr">
        <is>
          <t>Menu</t>
        </is>
      </c>
      <c r="D64" s="5" t="inlineStr">
        <is>
          <t>Upload Photo</t>
        </is>
      </c>
      <c r="E64" s="5" t="inlineStr">
        <is>
          <t>Upload Meal Photo</t>
        </is>
      </c>
      <c r="F64" s="5" t="inlineStr">
        <is>
          <t>1. Add/Edit meal
2. Click Upload Photo
3. Select image
4. Save</t>
        </is>
      </c>
      <c r="G64" s="5" t="inlineStr">
        <is>
          <t>Photo uploaded and displayed on meal card</t>
        </is>
      </c>
      <c r="H64" s="5">
        <f>IF(I64="","",IF(I64=G64,"PASS","FAIL"))</f>
        <v/>
      </c>
      <c r="I64" s="5" t="inlineStr"/>
      <c r="J64" s="5" t="inlineStr"/>
      <c r="K64" s="7" t="inlineStr">
        <is>
          <t>Medium</t>
        </is>
      </c>
      <c r="L64" s="5" t="inlineStr"/>
    </row>
    <row r="65">
      <c r="A65" s="5" t="inlineStr">
        <is>
          <t>TC064</t>
        </is>
      </c>
      <c r="B65" s="5" t="inlineStr">
        <is>
          <t>Partner</t>
        </is>
      </c>
      <c r="C65" s="5" t="inlineStr">
        <is>
          <t>Menu</t>
        </is>
      </c>
      <c r="D65" s="5" t="inlineStr">
        <is>
          <t>Nutrition Info</t>
        </is>
      </c>
      <c r="E65" s="5" t="inlineStr">
        <is>
          <t>Add Nutrition Information</t>
        </is>
      </c>
      <c r="F65" s="5" t="inlineStr">
        <is>
          <t>1. Edit meal
2. Add calories, protein, carbs, fat
3. Save</t>
        </is>
      </c>
      <c r="G65" s="5" t="inlineStr">
        <is>
          <t>Nutrition info saved and displayed to customers</t>
        </is>
      </c>
      <c r="H65" s="5">
        <f>IF(I65="","",IF(I65=G65,"PASS","FAIL"))</f>
        <v/>
      </c>
      <c r="I65" s="5" t="inlineStr"/>
      <c r="J65" s="5" t="inlineStr"/>
      <c r="K65" s="7" t="inlineStr">
        <is>
          <t>Medium</t>
        </is>
      </c>
      <c r="L65" s="5" t="inlineStr"/>
    </row>
    <row r="66">
      <c r="A66" s="5" t="inlineStr">
        <is>
          <t>TC065</t>
        </is>
      </c>
      <c r="B66" s="5" t="inlineStr">
        <is>
          <t>Partner</t>
        </is>
      </c>
      <c r="C66" s="5" t="inlineStr">
        <is>
          <t>Earnings</t>
        </is>
      </c>
      <c r="D66" s="5" t="inlineStr">
        <is>
          <t>View Earnings</t>
        </is>
      </c>
      <c r="E66" s="5" t="inlineStr">
        <is>
          <t>View Earnings Dashboard</t>
        </is>
      </c>
      <c r="F66" s="5" t="inlineStr">
        <is>
          <t>1. Go to Earnings page
2. View summary</t>
        </is>
      </c>
      <c r="G66" s="5" t="inlineStr">
        <is>
          <t>Today's earnings, weekly, monthly totals displayed</t>
        </is>
      </c>
      <c r="H66" s="5">
        <f>IF(I66="","",IF(I66=G66,"PASS","FAIL"))</f>
        <v/>
      </c>
      <c r="I66" s="5" t="inlineStr"/>
      <c r="J66" s="5" t="inlineStr"/>
      <c r="K66" s="6" t="inlineStr">
        <is>
          <t>High</t>
        </is>
      </c>
      <c r="L66" s="5" t="inlineStr"/>
    </row>
    <row r="67">
      <c r="A67" s="5" t="inlineStr">
        <is>
          <t>TC066</t>
        </is>
      </c>
      <c r="B67" s="5" t="inlineStr">
        <is>
          <t>Partner</t>
        </is>
      </c>
      <c r="C67" s="5" t="inlineStr">
        <is>
          <t>Earnings</t>
        </is>
      </c>
      <c r="D67" s="5" t="inlineStr">
        <is>
          <t>View Payout History</t>
        </is>
      </c>
      <c r="E67" s="5" t="inlineStr">
        <is>
          <t>View Payout History</t>
        </is>
      </c>
      <c r="F67" s="5" t="inlineStr">
        <is>
          <t>1. Click Payout History
2. View past payouts</t>
        </is>
      </c>
      <c r="G67" s="5" t="inlineStr">
        <is>
          <t>All weekly payouts listed with dates and amounts</t>
        </is>
      </c>
      <c r="H67" s="5">
        <f>IF(I67="","",IF(I67=G67,"PASS","FAIL"))</f>
        <v/>
      </c>
      <c r="I67" s="5" t="inlineStr"/>
      <c r="J67" s="5" t="inlineStr"/>
      <c r="K67" s="6" t="inlineStr">
        <is>
          <t>High</t>
        </is>
      </c>
      <c r="L67" s="5" t="inlineStr"/>
    </row>
    <row r="68">
      <c r="A68" s="5" t="inlineStr">
        <is>
          <t>TC067</t>
        </is>
      </c>
      <c r="B68" s="5" t="inlineStr">
        <is>
          <t>Partner</t>
        </is>
      </c>
      <c r="C68" s="5" t="inlineStr">
        <is>
          <t>Earnings</t>
        </is>
      </c>
      <c r="D68" s="5" t="inlineStr">
        <is>
          <t>Payout Details</t>
        </is>
      </c>
      <c r="E68" s="5" t="inlineStr">
        <is>
          <t>View Payout Details</t>
        </is>
      </c>
      <c r="F68" s="5" t="inlineStr">
        <is>
          <t>1. Click on payout
2. View breakdown</t>
        </is>
      </c>
      <c r="G68" s="5" t="inlineStr">
        <is>
          <t>Daily breakdown of orders and earnings shown</t>
        </is>
      </c>
      <c r="H68" s="5">
        <f>IF(I68="","",IF(I68=G68,"PASS","FAIL"))</f>
        <v/>
      </c>
      <c r="I68" s="5" t="inlineStr"/>
      <c r="J68" s="5" t="inlineStr"/>
      <c r="K68" s="7" t="inlineStr">
        <is>
          <t>Medium</t>
        </is>
      </c>
      <c r="L68" s="5" t="inlineStr"/>
    </row>
    <row r="69">
      <c r="A69" s="5" t="inlineStr">
        <is>
          <t>TC068</t>
        </is>
      </c>
      <c r="B69" s="5" t="inlineStr">
        <is>
          <t>Partner</t>
        </is>
      </c>
      <c r="C69" s="5" t="inlineStr">
        <is>
          <t>Earnings</t>
        </is>
      </c>
      <c r="D69" s="5" t="inlineStr">
        <is>
          <t>Stats</t>
        </is>
      </c>
      <c r="E69" s="5" t="inlineStr">
        <is>
          <t>View Performance Stats</t>
        </is>
      </c>
      <c r="F69" s="5" t="inlineStr">
        <is>
          <t>1. View statistics section
2. Check meals served and ratings</t>
        </is>
      </c>
      <c r="G69" s="5" t="inlineStr">
        <is>
          <t>Accurate statistics displayed</t>
        </is>
      </c>
      <c r="H69" s="5">
        <f>IF(I69="","",IF(I69=G69,"PASS","FAIL"))</f>
        <v/>
      </c>
      <c r="I69" s="5" t="inlineStr"/>
      <c r="J69" s="5" t="inlineStr"/>
      <c r="K69" s="7" t="inlineStr">
        <is>
          <t>Medium</t>
        </is>
      </c>
      <c r="L69" s="5" t="inlineStr"/>
    </row>
    <row r="70">
      <c r="A70" s="5" t="inlineStr">
        <is>
          <t>TC069</t>
        </is>
      </c>
      <c r="B70" s="5" t="inlineStr">
        <is>
          <t>Partner</t>
        </is>
      </c>
      <c r="C70" s="5" t="inlineStr">
        <is>
          <t>Profile</t>
        </is>
      </c>
      <c r="D70" s="5" t="inlineStr">
        <is>
          <t>View Profile</t>
        </is>
      </c>
      <c r="E70" s="5" t="inlineStr">
        <is>
          <t>View Restaurant Profile</t>
        </is>
      </c>
      <c r="F70" s="5" t="inlineStr">
        <is>
          <t>1. Go to Profile page
2. View info</t>
        </is>
      </c>
      <c r="G70" s="5" t="inlineStr">
        <is>
          <t>Restaurant details, hours, capacity displayed</t>
        </is>
      </c>
      <c r="H70" s="5">
        <f>IF(I70="","",IF(I70=G70,"PASS","FAIL"))</f>
        <v/>
      </c>
      <c r="I70" s="5" t="inlineStr"/>
      <c r="J70" s="5" t="inlineStr"/>
      <c r="K70" s="6" t="inlineStr">
        <is>
          <t>High</t>
        </is>
      </c>
      <c r="L70" s="5" t="inlineStr"/>
    </row>
    <row r="71">
      <c r="A71" s="5" t="inlineStr">
        <is>
          <t>TC070</t>
        </is>
      </c>
      <c r="B71" s="5" t="inlineStr">
        <is>
          <t>Partner</t>
        </is>
      </c>
      <c r="C71" s="5" t="inlineStr">
        <is>
          <t>Profile</t>
        </is>
      </c>
      <c r="D71" s="5" t="inlineStr">
        <is>
          <t>Edit Profile</t>
        </is>
      </c>
      <c r="E71" s="5" t="inlineStr">
        <is>
          <t>Edit Restaurant Info</t>
        </is>
      </c>
      <c r="F71" s="5" t="inlineStr">
        <is>
          <t>1. Click Edit
2. Change description, hours
3. Save</t>
        </is>
      </c>
      <c r="G71" s="5" t="inlineStr">
        <is>
          <t>Profile updated successfully</t>
        </is>
      </c>
      <c r="H71" s="5">
        <f>IF(I71="","",IF(I71=G71,"PASS","FAIL"))</f>
        <v/>
      </c>
      <c r="I71" s="5" t="inlineStr"/>
      <c r="J71" s="5" t="inlineStr"/>
      <c r="K71" s="7" t="inlineStr">
        <is>
          <t>Medium</t>
        </is>
      </c>
      <c r="L71" s="5" t="inlineStr"/>
    </row>
    <row r="72">
      <c r="A72" s="5" t="inlineStr">
        <is>
          <t>TC071</t>
        </is>
      </c>
      <c r="B72" s="5" t="inlineStr">
        <is>
          <t>Partner</t>
        </is>
      </c>
      <c r="C72" s="5" t="inlineStr">
        <is>
          <t>Profile</t>
        </is>
      </c>
      <c r="D72" s="5" t="inlineStr">
        <is>
          <t>Update Bank</t>
        </is>
      </c>
      <c r="E72" s="5" t="inlineStr">
        <is>
          <t>Update Bank Details</t>
        </is>
      </c>
      <c r="F72" s="5" t="inlineStr">
        <is>
          <t>1. Go to Profile
2. Edit bank account info
3. Save</t>
        </is>
      </c>
      <c r="G72" s="5" t="inlineStr">
        <is>
          <t>Bank details updated for future payouts</t>
        </is>
      </c>
      <c r="H72" s="5">
        <f>IF(I72="","",IF(I72=G72,"PASS","FAIL"))</f>
        <v/>
      </c>
      <c r="I72" s="5" t="inlineStr"/>
      <c r="J72" s="5" t="inlineStr"/>
      <c r="K72" s="6" t="inlineStr">
        <is>
          <t>High</t>
        </is>
      </c>
      <c r="L72" s="5" t="inlineStr"/>
    </row>
    <row r="73">
      <c r="A73" s="5" t="inlineStr">
        <is>
          <t>TC072</t>
        </is>
      </c>
      <c r="B73" s="5" t="inlineStr">
        <is>
          <t>Partner</t>
        </is>
      </c>
      <c r="C73" s="5" t="inlineStr">
        <is>
          <t>Profile</t>
        </is>
      </c>
      <c r="D73" s="5" t="inlineStr">
        <is>
          <t>Set Capacity</t>
        </is>
      </c>
      <c r="E73" s="5" t="inlineStr">
        <is>
          <t>Set Daily Capacity</t>
        </is>
      </c>
      <c r="F73" s="5" t="inlineStr">
        <is>
          <t>1. Go to Profile
2. Change daily capacity
3. Save</t>
        </is>
      </c>
      <c r="G73" s="5" t="inlineStr">
        <is>
          <t>Capacity updated, affects order acceptance</t>
        </is>
      </c>
      <c r="H73" s="5">
        <f>IF(I73="","",IF(I73=G73,"PASS","FAIL"))</f>
        <v/>
      </c>
      <c r="I73" s="5" t="inlineStr"/>
      <c r="J73" s="5" t="inlineStr"/>
      <c r="K73" s="6" t="inlineStr">
        <is>
          <t>High</t>
        </is>
      </c>
      <c r="L73" s="5" t="inlineStr"/>
    </row>
    <row r="74">
      <c r="A74" s="5" t="inlineStr">
        <is>
          <t>TC073</t>
        </is>
      </c>
      <c r="B74" s="5" t="inlineStr">
        <is>
          <t>Partner</t>
        </is>
      </c>
      <c r="C74" s="5" t="inlineStr">
        <is>
          <t>Profile</t>
        </is>
      </c>
      <c r="D74" s="5" t="inlineStr">
        <is>
          <t>Toggle Orders</t>
        </is>
      </c>
      <c r="E74" s="5" t="inlineStr">
        <is>
          <t>Toggle Accepting Orders</t>
        </is>
      </c>
      <c r="F74" s="5" t="inlineStr">
        <is>
          <t>1. Go to Profile
2. Toggle 'Accepting Orders'
3. Save</t>
        </is>
      </c>
      <c r="G74" s="5" t="inlineStr">
        <is>
          <t>Status changes, customers can/cannot place orders</t>
        </is>
      </c>
      <c r="H74" s="5">
        <f>IF(I74="","",IF(I74=G74,"PASS","FAIL"))</f>
        <v/>
      </c>
      <c r="I74" s="5" t="inlineStr"/>
      <c r="J74" s="5" t="inlineStr"/>
      <c r="K74" s="6" t="inlineStr">
        <is>
          <t>High</t>
        </is>
      </c>
      <c r="L74" s="5" t="inlineStr"/>
    </row>
    <row r="75">
      <c r="A75" s="5" t="inlineStr">
        <is>
          <t>TC074</t>
        </is>
      </c>
      <c r="B75" s="5" t="inlineStr">
        <is>
          <t>Partner</t>
        </is>
      </c>
      <c r="C75" s="5" t="inlineStr">
        <is>
          <t>Profile</t>
        </is>
      </c>
      <c r="D75" s="5" t="inlineStr">
        <is>
          <t>Update Logo</t>
        </is>
      </c>
      <c r="E75" s="5" t="inlineStr">
        <is>
          <t>Update Restaurant Logo</t>
        </is>
      </c>
      <c r="F75" s="5" t="inlineStr">
        <is>
          <t>1. Go to Profile
2. Click Update Logo
3. Upload new image
4. Save</t>
        </is>
      </c>
      <c r="G75" s="5" t="inlineStr">
        <is>
          <t>Logo updated across platform</t>
        </is>
      </c>
      <c r="H75" s="5">
        <f>IF(I75="","",IF(I75=G75,"PASS","FAIL"))</f>
        <v/>
      </c>
      <c r="I75" s="5" t="inlineStr"/>
      <c r="J75" s="5" t="inlineStr"/>
      <c r="K75" s="5" t="inlineStr">
        <is>
          <t>Low</t>
        </is>
      </c>
      <c r="L75" s="5" t="inlineStr"/>
    </row>
    <row r="76">
      <c r="A76" s="5" t="inlineStr">
        <is>
          <t>TC075</t>
        </is>
      </c>
      <c r="B76" s="5" t="inlineStr">
        <is>
          <t>Partner</t>
        </is>
      </c>
      <c r="C76" s="5" t="inlineStr">
        <is>
          <t>Profile</t>
        </is>
      </c>
      <c r="D76" s="5" t="inlineStr">
        <is>
          <t>Update Photos</t>
        </is>
      </c>
      <c r="E76" s="5" t="inlineStr">
        <is>
          <t>Update Restaurant Photos</t>
        </is>
      </c>
      <c r="F76" s="5" t="inlineStr">
        <is>
          <t>1. Go to Profile
2. Add/Remove photos
3. Save</t>
        </is>
      </c>
      <c r="G76" s="5" t="inlineStr">
        <is>
          <t>Photo gallery updated</t>
        </is>
      </c>
      <c r="H76" s="5">
        <f>IF(I76="","",IF(I76=G76,"PASS","FAIL"))</f>
        <v/>
      </c>
      <c r="I76" s="5" t="inlineStr"/>
      <c r="J76" s="5" t="inlineStr"/>
      <c r="K76" s="5" t="inlineStr">
        <is>
          <t>Low</t>
        </is>
      </c>
      <c r="L76" s="5" t="inlineStr"/>
    </row>
    <row r="77">
      <c r="A77" s="5" t="inlineStr">
        <is>
          <t>TC076</t>
        </is>
      </c>
      <c r="B77" s="5" t="inlineStr">
        <is>
          <t>Admin</t>
        </is>
      </c>
      <c r="C77" s="5" t="inlineStr">
        <is>
          <t>Auth</t>
        </is>
      </c>
      <c r="D77" s="5" t="inlineStr">
        <is>
          <t>Login</t>
        </is>
      </c>
      <c r="E77" s="5" t="inlineStr">
        <is>
          <t>Admin Login</t>
        </is>
      </c>
      <c r="F77" s="5" t="inlineStr">
        <is>
          <t>1. Navigate to /admin
2. Enter admin credentials
3. Login</t>
        </is>
      </c>
      <c r="G77" s="5" t="inlineStr">
        <is>
          <t>Admin logged in, dashboard displayed</t>
        </is>
      </c>
      <c r="H77" s="5">
        <f>IF(I77="","",IF(I77=G77,"PASS","FAIL"))</f>
        <v/>
      </c>
      <c r="I77" s="5" t="inlineStr"/>
      <c r="J77" s="5" t="inlineStr"/>
      <c r="K77" s="6" t="inlineStr">
        <is>
          <t>High</t>
        </is>
      </c>
      <c r="L77" s="5" t="inlineStr"/>
    </row>
    <row r="78">
      <c r="A78" s="5" t="inlineStr">
        <is>
          <t>TC077</t>
        </is>
      </c>
      <c r="B78" s="5" t="inlineStr">
        <is>
          <t>Admin</t>
        </is>
      </c>
      <c r="C78" s="5" t="inlineStr">
        <is>
          <t>Auth</t>
        </is>
      </c>
      <c r="D78" s="5" t="inlineStr">
        <is>
          <t>Invalid Login</t>
        </is>
      </c>
      <c r="E78" s="5" t="inlineStr">
        <is>
          <t>Admin Login - Invalid</t>
        </is>
      </c>
      <c r="F78" s="5" t="inlineStr">
        <is>
          <t>1. Enter wrong password
2. Try to login</t>
        </is>
      </c>
      <c r="G78" s="5" t="inlineStr">
        <is>
          <t>Access denied, error shown</t>
        </is>
      </c>
      <c r="H78" s="5">
        <f>IF(I78="","",IF(I78=G78,"PASS","FAIL"))</f>
        <v/>
      </c>
      <c r="I78" s="5" t="inlineStr"/>
      <c r="J78" s="5" t="inlineStr"/>
      <c r="K78" s="6" t="inlineStr">
        <is>
          <t>High</t>
        </is>
      </c>
      <c r="L78" s="5" t="inlineStr"/>
    </row>
    <row r="79">
      <c r="A79" s="5" t="inlineStr">
        <is>
          <t>TC078</t>
        </is>
      </c>
      <c r="B79" s="5" t="inlineStr">
        <is>
          <t>Admin</t>
        </is>
      </c>
      <c r="C79" s="5" t="inlineStr">
        <is>
          <t>Auth</t>
        </is>
      </c>
      <c r="D79" s="5" t="inlineStr">
        <is>
          <t>Logout</t>
        </is>
      </c>
      <c r="E79" s="5" t="inlineStr">
        <is>
          <t>Admin Logout</t>
        </is>
      </c>
      <c r="F79" s="5" t="inlineStr">
        <is>
          <t>1. Click Logout</t>
        </is>
      </c>
      <c r="G79" s="5" t="inlineStr">
        <is>
          <t>Logged out, redirected to login</t>
        </is>
      </c>
      <c r="H79" s="5">
        <f>IF(I79="","",IF(I79=G79,"PASS","FAIL"))</f>
        <v/>
      </c>
      <c r="I79" s="5" t="inlineStr"/>
      <c r="J79" s="5" t="inlineStr"/>
      <c r="K79" s="6" t="inlineStr">
        <is>
          <t>High</t>
        </is>
      </c>
      <c r="L79" s="5" t="inlineStr"/>
    </row>
    <row r="80">
      <c r="A80" s="5" t="inlineStr">
        <is>
          <t>TC079</t>
        </is>
      </c>
      <c r="B80" s="5" t="inlineStr">
        <is>
          <t>Admin</t>
        </is>
      </c>
      <c r="C80" s="5" t="inlineStr">
        <is>
          <t>Auth</t>
        </is>
      </c>
      <c r="D80" s="5" t="inlineStr">
        <is>
          <t>Role Check</t>
        </is>
      </c>
      <c r="E80" s="5" t="inlineStr">
        <is>
          <t>Non-Admin Access Denied</t>
        </is>
      </c>
      <c r="F80" s="5" t="inlineStr">
        <is>
          <t>1. Login as customer
2. Try to access /admin</t>
        </is>
      </c>
      <c r="G80" s="5" t="inlineStr">
        <is>
          <t>Access denied, redirected to dashboard</t>
        </is>
      </c>
      <c r="H80" s="5">
        <f>IF(I80="","",IF(I80=G80,"PASS","FAIL"))</f>
        <v/>
      </c>
      <c r="I80" s="5" t="inlineStr"/>
      <c r="J80" s="5" t="inlineStr"/>
      <c r="K80" s="8" t="inlineStr">
        <is>
          <t>Critical</t>
        </is>
      </c>
      <c r="L80" s="5" t="inlineStr"/>
    </row>
    <row r="81">
      <c r="A81" s="5" t="inlineStr">
        <is>
          <t>TC080</t>
        </is>
      </c>
      <c r="B81" s="5" t="inlineStr">
        <is>
          <t>Admin</t>
        </is>
      </c>
      <c r="C81" s="5" t="inlineStr">
        <is>
          <t>Dashboard</t>
        </is>
      </c>
      <c r="D81" s="5" t="inlineStr">
        <is>
          <t>View</t>
        </is>
      </c>
      <c r="E81" s="5" t="inlineStr">
        <is>
          <t>Admin Dashboard Load</t>
        </is>
      </c>
      <c r="F81" s="5" t="inlineStr">
        <is>
          <t>1. Login as admin
2. View dashboard</t>
        </is>
      </c>
      <c r="G81" s="5" t="inlineStr">
        <is>
          <t>Dashboard shows: total users, orders, revenue, restaurants</t>
        </is>
      </c>
      <c r="H81" s="5">
        <f>IF(I81="","",IF(I81=G81,"PASS","FAIL"))</f>
        <v/>
      </c>
      <c r="I81" s="5" t="inlineStr"/>
      <c r="J81" s="5" t="inlineStr"/>
      <c r="K81" s="6" t="inlineStr">
        <is>
          <t>High</t>
        </is>
      </c>
      <c r="L81" s="5" t="inlineStr"/>
    </row>
    <row r="82">
      <c r="A82" s="5" t="inlineStr">
        <is>
          <t>TC081</t>
        </is>
      </c>
      <c r="B82" s="5" t="inlineStr">
        <is>
          <t>Admin</t>
        </is>
      </c>
      <c r="C82" s="5" t="inlineStr">
        <is>
          <t>Dashboard</t>
        </is>
      </c>
      <c r="D82" s="5" t="inlineStr">
        <is>
          <t>Stats</t>
        </is>
      </c>
      <c r="E82" s="5" t="inlineStr">
        <is>
          <t>Dashboard Statistics</t>
        </is>
      </c>
      <c r="F82" s="5" t="inlineStr">
        <is>
          <t>1. Verify all stats
2. Check graphs/charts</t>
        </is>
      </c>
      <c r="G82" s="5" t="inlineStr">
        <is>
          <t>All metrics accurate and up-to-date</t>
        </is>
      </c>
      <c r="H82" s="5">
        <f>IF(I82="","",IF(I82=G82,"PASS","FAIL"))</f>
        <v/>
      </c>
      <c r="I82" s="5" t="inlineStr"/>
      <c r="J82" s="5" t="inlineStr"/>
      <c r="K82" s="6" t="inlineStr">
        <is>
          <t>High</t>
        </is>
      </c>
      <c r="L82" s="5" t="inlineStr"/>
    </row>
    <row r="83">
      <c r="A83" s="5" t="inlineStr">
        <is>
          <t>TC082</t>
        </is>
      </c>
      <c r="B83" s="5" t="inlineStr">
        <is>
          <t>Admin</t>
        </is>
      </c>
      <c r="C83" s="5" t="inlineStr">
        <is>
          <t>Dashboard</t>
        </is>
      </c>
      <c r="D83" s="5" t="inlineStr">
        <is>
          <t>Quick Actions</t>
        </is>
      </c>
      <c r="E83" s="5" t="inlineStr">
        <is>
          <t>Admin Quick Actions</t>
        </is>
      </c>
      <c r="F83" s="5" t="inlineStr">
        <is>
          <t>1. Click on each quick action button</t>
        </is>
      </c>
      <c r="G83" s="5" t="inlineStr">
        <is>
          <t>Navigates to correct section</t>
        </is>
      </c>
      <c r="H83" s="5">
        <f>IF(I83="","",IF(I83=G83,"PASS","FAIL"))</f>
        <v/>
      </c>
      <c r="I83" s="5" t="inlineStr"/>
      <c r="J83" s="5" t="inlineStr"/>
      <c r="K83" s="7" t="inlineStr">
        <is>
          <t>Medium</t>
        </is>
      </c>
      <c r="L83" s="5" t="inlineStr"/>
    </row>
    <row r="84">
      <c r="A84" s="5" t="inlineStr">
        <is>
          <t>TC083</t>
        </is>
      </c>
      <c r="B84" s="5" t="inlineStr">
        <is>
          <t>Admin</t>
        </is>
      </c>
      <c r="C84" s="5" t="inlineStr">
        <is>
          <t>Dashboard</t>
        </is>
      </c>
      <c r="D84" s="5" t="inlineStr">
        <is>
          <t>Recent Activity</t>
        </is>
      </c>
      <c r="E84" s="5" t="inlineStr">
        <is>
          <t>View Recent Activity</t>
        </is>
      </c>
      <c r="F84" s="5" t="inlineStr">
        <is>
          <t>1. Scroll to recent activity
2. View latest actions</t>
        </is>
      </c>
      <c r="G84" s="5" t="inlineStr">
        <is>
          <t>Recent orders, signups, restaurant applications shown</t>
        </is>
      </c>
      <c r="H84" s="5">
        <f>IF(I84="","",IF(I84=G84,"PASS","FAIL"))</f>
        <v/>
      </c>
      <c r="I84" s="5" t="inlineStr"/>
      <c r="J84" s="5" t="inlineStr"/>
      <c r="K84" s="7" t="inlineStr">
        <is>
          <t>Medium</t>
        </is>
      </c>
      <c r="L84" s="5" t="inlineStr"/>
    </row>
    <row r="85">
      <c r="A85" s="5" t="inlineStr">
        <is>
          <t>TC084</t>
        </is>
      </c>
      <c r="B85" s="5" t="inlineStr">
        <is>
          <t>Admin</t>
        </is>
      </c>
      <c r="C85" s="5" t="inlineStr">
        <is>
          <t>Users</t>
        </is>
      </c>
      <c r="D85" s="5" t="inlineStr">
        <is>
          <t>View Users</t>
        </is>
      </c>
      <c r="E85" s="5" t="inlineStr">
        <is>
          <t>View All Users</t>
        </is>
      </c>
      <c r="F85" s="5" t="inlineStr">
        <is>
          <t>1. Go to Users page
2. View user list</t>
        </is>
      </c>
      <c r="G85" s="5" t="inlineStr">
        <is>
          <t>All users displayed with roles, status, subscription</t>
        </is>
      </c>
      <c r="H85" s="5">
        <f>IF(I85="","",IF(I85=G85,"PASS","FAIL"))</f>
        <v/>
      </c>
      <c r="I85" s="5" t="inlineStr"/>
      <c r="J85" s="5" t="inlineStr"/>
      <c r="K85" s="6" t="inlineStr">
        <is>
          <t>High</t>
        </is>
      </c>
      <c r="L85" s="5" t="inlineStr"/>
    </row>
    <row r="86">
      <c r="A86" s="5" t="inlineStr">
        <is>
          <t>TC085</t>
        </is>
      </c>
      <c r="B86" s="5" t="inlineStr">
        <is>
          <t>Admin</t>
        </is>
      </c>
      <c r="C86" s="5" t="inlineStr">
        <is>
          <t>Users</t>
        </is>
      </c>
      <c r="D86" s="5" t="inlineStr">
        <is>
          <t>Search User</t>
        </is>
      </c>
      <c r="E86" s="5" t="inlineStr">
        <is>
          <t>Search for User</t>
        </is>
      </c>
      <c r="F86" s="5" t="inlineStr">
        <is>
          <t>1. Enter name/email in search
2. Press Enter</t>
        </is>
      </c>
      <c r="G86" s="5" t="inlineStr">
        <is>
          <t>Matching users displayed</t>
        </is>
      </c>
      <c r="H86" s="5">
        <f>IF(I86="","",IF(I86=G86,"PASS","FAIL"))</f>
        <v/>
      </c>
      <c r="I86" s="5" t="inlineStr"/>
      <c r="J86" s="5" t="inlineStr"/>
      <c r="K86" s="6" t="inlineStr">
        <is>
          <t>High</t>
        </is>
      </c>
      <c r="L86" s="5" t="inlineStr"/>
    </row>
    <row r="87">
      <c r="A87" s="5" t="inlineStr">
        <is>
          <t>TC086</t>
        </is>
      </c>
      <c r="B87" s="5" t="inlineStr">
        <is>
          <t>Admin</t>
        </is>
      </c>
      <c r="C87" s="5" t="inlineStr">
        <is>
          <t>Users</t>
        </is>
      </c>
      <c r="D87" s="5" t="inlineStr">
        <is>
          <t>Filter Users</t>
        </is>
      </c>
      <c r="E87" s="5" t="inlineStr">
        <is>
          <t>Filter Users by Status</t>
        </is>
      </c>
      <c r="F87" s="5" t="inlineStr">
        <is>
          <t>1. Select filter (Active/Inactive/Subscribed)
2. Apply</t>
        </is>
      </c>
      <c r="G87" s="5" t="inlineStr">
        <is>
          <t>Filtered user list displayed</t>
        </is>
      </c>
      <c r="H87" s="5">
        <f>IF(I87="","",IF(I87=G87,"PASS","FAIL"))</f>
        <v/>
      </c>
      <c r="I87" s="5" t="inlineStr"/>
      <c r="J87" s="5" t="inlineStr"/>
      <c r="K87" s="7" t="inlineStr">
        <is>
          <t>Medium</t>
        </is>
      </c>
      <c r="L87" s="5" t="inlineStr"/>
    </row>
    <row r="88">
      <c r="A88" s="5" t="inlineStr">
        <is>
          <t>TC087</t>
        </is>
      </c>
      <c r="B88" s="5" t="inlineStr">
        <is>
          <t>Admin</t>
        </is>
      </c>
      <c r="C88" s="5" t="inlineStr">
        <is>
          <t>Users</t>
        </is>
      </c>
      <c r="D88" s="5" t="inlineStr">
        <is>
          <t>View User Details</t>
        </is>
      </c>
      <c r="E88" s="5" t="inlineStr">
        <is>
          <t>View User Details</t>
        </is>
      </c>
      <c r="F88" s="5" t="inlineStr">
        <is>
          <t>1. Click on user
2. View details page</t>
        </is>
      </c>
      <c r="G88" s="5" t="inlineStr">
        <is>
          <t>Full user info: profile, orders, subscription, referrals</t>
        </is>
      </c>
      <c r="H88" s="5">
        <f>IF(I88="","",IF(I88=G88,"PASS","FAIL"))</f>
        <v/>
      </c>
      <c r="I88" s="5" t="inlineStr"/>
      <c r="J88" s="5" t="inlineStr"/>
      <c r="K88" s="6" t="inlineStr">
        <is>
          <t>High</t>
        </is>
      </c>
      <c r="L88" s="5" t="inlineStr"/>
    </row>
    <row r="89">
      <c r="A89" s="5" t="inlineStr">
        <is>
          <t>TC088</t>
        </is>
      </c>
      <c r="B89" s="5" t="inlineStr">
        <is>
          <t>Admin</t>
        </is>
      </c>
      <c r="C89" s="5" t="inlineStr">
        <is>
          <t>Users</t>
        </is>
      </c>
      <c r="D89" s="5" t="inlineStr">
        <is>
          <t>Edit User</t>
        </is>
      </c>
      <c r="E89" s="5" t="inlineStr">
        <is>
          <t>Edit User Information</t>
        </is>
      </c>
      <c r="F89" s="5" t="inlineStr">
        <is>
          <t>1. Open user details
2. Click Edit
3. Change info
4. Save</t>
        </is>
      </c>
      <c r="G89" s="5" t="inlineStr">
        <is>
          <t>User information updated</t>
        </is>
      </c>
      <c r="H89" s="5">
        <f>IF(I89="","",IF(I89=G89,"PASS","FAIL"))</f>
        <v/>
      </c>
      <c r="I89" s="5" t="inlineStr"/>
      <c r="J89" s="5" t="inlineStr"/>
      <c r="K89" s="7" t="inlineStr">
        <is>
          <t>Medium</t>
        </is>
      </c>
      <c r="L89" s="5" t="inlineStr"/>
    </row>
    <row r="90">
      <c r="A90" s="5" t="inlineStr">
        <is>
          <t>TC089</t>
        </is>
      </c>
      <c r="B90" s="5" t="inlineStr">
        <is>
          <t>Admin</t>
        </is>
      </c>
      <c r="C90" s="5" t="inlineStr">
        <is>
          <t>Users</t>
        </is>
      </c>
      <c r="D90" s="5" t="inlineStr">
        <is>
          <t>Deactivate User</t>
        </is>
      </c>
      <c r="E90" s="5" t="inlineStr">
        <is>
          <t>Deactivate User Account</t>
        </is>
      </c>
      <c r="F90" s="5" t="inlineStr">
        <is>
          <t>1. Find user
2. Click Deactivate
3. Confirm</t>
        </is>
      </c>
      <c r="G90" s="5" t="inlineStr">
        <is>
          <t>User account deactivated</t>
        </is>
      </c>
      <c r="H90" s="5">
        <f>IF(I90="","",IF(I90=G90,"PASS","FAIL"))</f>
        <v/>
      </c>
      <c r="I90" s="5" t="inlineStr"/>
      <c r="J90" s="5" t="inlineStr"/>
      <c r="K90" s="7" t="inlineStr">
        <is>
          <t>Medium</t>
        </is>
      </c>
      <c r="L90" s="5" t="inlineStr"/>
    </row>
    <row r="91">
      <c r="A91" s="5" t="inlineStr">
        <is>
          <t>TC090</t>
        </is>
      </c>
      <c r="B91" s="5" t="inlineStr">
        <is>
          <t>Admin</t>
        </is>
      </c>
      <c r="C91" s="5" t="inlineStr">
        <is>
          <t>Users</t>
        </is>
      </c>
      <c r="D91" s="5" t="inlineStr">
        <is>
          <t>Delete User</t>
        </is>
      </c>
      <c r="E91" s="5" t="inlineStr">
        <is>
          <t>Delete User Account</t>
        </is>
      </c>
      <c r="F91" s="5" t="inlineStr">
        <is>
          <t>1. Find user
2. Click Delete
3. Confirm deletion</t>
        </is>
      </c>
      <c r="G91" s="5" t="inlineStr">
        <is>
          <t>User permanently deleted</t>
        </is>
      </c>
      <c r="H91" s="5">
        <f>IF(I91="","",IF(I91=G91,"PASS","FAIL"))</f>
        <v/>
      </c>
      <c r="I91" s="5" t="inlineStr"/>
      <c r="J91" s="5" t="inlineStr"/>
      <c r="K91" s="7" t="inlineStr">
        <is>
          <t>Medium</t>
        </is>
      </c>
      <c r="L91" s="5" t="inlineStr"/>
    </row>
    <row r="92">
      <c r="A92" s="5" t="inlineStr">
        <is>
          <t>TC091</t>
        </is>
      </c>
      <c r="B92" s="5" t="inlineStr">
        <is>
          <t>Admin</t>
        </is>
      </c>
      <c r="C92" s="5" t="inlineStr">
        <is>
          <t>Restaurants</t>
        </is>
      </c>
      <c r="D92" s="5" t="inlineStr">
        <is>
          <t>View All</t>
        </is>
      </c>
      <c r="E92" s="5" t="inlineStr">
        <is>
          <t>View All Restaurants</t>
        </is>
      </c>
      <c r="F92" s="5" t="inlineStr">
        <is>
          <t>1. Go to Restaurants page
2. View list</t>
        </is>
      </c>
      <c r="G92" s="5" t="inlineStr">
        <is>
          <t>All restaurants displayed with status, ratings, earnings</t>
        </is>
      </c>
      <c r="H92" s="5">
        <f>IF(I92="","",IF(I92=G92,"PASS","FAIL"))</f>
        <v/>
      </c>
      <c r="I92" s="5" t="inlineStr"/>
      <c r="J92" s="5" t="inlineStr"/>
      <c r="K92" s="6" t="inlineStr">
        <is>
          <t>High</t>
        </is>
      </c>
      <c r="L92" s="5" t="inlineStr"/>
    </row>
    <row r="93">
      <c r="A93" s="5" t="inlineStr">
        <is>
          <t>TC092</t>
        </is>
      </c>
      <c r="B93" s="5" t="inlineStr">
        <is>
          <t>Admin</t>
        </is>
      </c>
      <c r="C93" s="5" t="inlineStr">
        <is>
          <t>Restaurants</t>
        </is>
      </c>
      <c r="D93" s="5" t="inlineStr">
        <is>
          <t>View Pending</t>
        </is>
      </c>
      <c r="E93" s="5" t="inlineStr">
        <is>
          <t>View Pending Applications</t>
        </is>
      </c>
      <c r="F93" s="5" t="inlineStr">
        <is>
          <t>1. Click Pending tab
2. View pending restaurants</t>
        </is>
      </c>
      <c r="G93" s="5" t="inlineStr">
        <is>
          <t>All pending applications displayed</t>
        </is>
      </c>
      <c r="H93" s="5">
        <f>IF(I93="","",IF(I93=G93,"PASS","FAIL"))</f>
        <v/>
      </c>
      <c r="I93" s="5" t="inlineStr"/>
      <c r="J93" s="5" t="inlineStr"/>
      <c r="K93" s="6" t="inlineStr">
        <is>
          <t>High</t>
        </is>
      </c>
      <c r="L93" s="5" t="inlineStr"/>
    </row>
    <row r="94">
      <c r="A94" s="5" t="inlineStr">
        <is>
          <t>TC093</t>
        </is>
      </c>
      <c r="B94" s="5" t="inlineStr">
        <is>
          <t>Admin</t>
        </is>
      </c>
      <c r="C94" s="5" t="inlineStr">
        <is>
          <t>Restaurants</t>
        </is>
      </c>
      <c r="D94" s="5" t="inlineStr">
        <is>
          <t>Approve</t>
        </is>
      </c>
      <c r="E94" s="5" t="inlineStr">
        <is>
          <t>Approve Restaurant</t>
        </is>
      </c>
      <c r="F94" s="5" t="inlineStr">
        <is>
          <t>1. Open pending restaurant
2. Review details
3. Set payout rate
4. Click Approve</t>
        </is>
      </c>
      <c r="G94" s="5" t="inlineStr">
        <is>
          <t>Restaurant approved, status changes to active</t>
        </is>
      </c>
      <c r="H94" s="5">
        <f>IF(I94="","",IF(I94=G94,"PASS","FAIL"))</f>
        <v/>
      </c>
      <c r="I94" s="5" t="inlineStr"/>
      <c r="J94" s="5" t="inlineStr"/>
      <c r="K94" s="8" t="inlineStr">
        <is>
          <t>Critical</t>
        </is>
      </c>
      <c r="L94" s="5" t="inlineStr"/>
    </row>
    <row r="95">
      <c r="A95" s="5" t="inlineStr">
        <is>
          <t>TC094</t>
        </is>
      </c>
      <c r="B95" s="5" t="inlineStr">
        <is>
          <t>Admin</t>
        </is>
      </c>
      <c r="C95" s="5" t="inlineStr">
        <is>
          <t>Restaurants</t>
        </is>
      </c>
      <c r="D95" s="5" t="inlineStr">
        <is>
          <t>Reject</t>
        </is>
      </c>
      <c r="E95" s="5" t="inlineStr">
        <is>
          <t>Reject Restaurant Application</t>
        </is>
      </c>
      <c r="F95" s="5" t="inlineStr">
        <is>
          <t>1. Open pending restaurant
2. Click Reject
3. Add reason
4. Confirm</t>
        </is>
      </c>
      <c r="G95" s="5" t="inlineStr">
        <is>
          <t>Application rejected, restaurant notified</t>
        </is>
      </c>
      <c r="H95" s="5">
        <f>IF(I95="","",IF(I95=G95,"PASS","FAIL"))</f>
        <v/>
      </c>
      <c r="I95" s="5" t="inlineStr"/>
      <c r="J95" s="5" t="inlineStr"/>
      <c r="K95" s="6" t="inlineStr">
        <is>
          <t>High</t>
        </is>
      </c>
      <c r="L95" s="5" t="inlineStr"/>
    </row>
    <row r="96">
      <c r="A96" s="5" t="inlineStr">
        <is>
          <t>TC095</t>
        </is>
      </c>
      <c r="B96" s="5" t="inlineStr">
        <is>
          <t>Admin</t>
        </is>
      </c>
      <c r="C96" s="5" t="inlineStr">
        <is>
          <t>Restaurants</t>
        </is>
      </c>
      <c r="D96" s="5" t="inlineStr">
        <is>
          <t>View Details</t>
        </is>
      </c>
      <c r="E96" s="5" t="inlineStr">
        <is>
          <t>View Restaurant Details</t>
        </is>
      </c>
      <c r="F96" s="5" t="inlineStr">
        <is>
          <t>1. Click on restaurant
2. View full profile</t>
        </is>
      </c>
      <c r="G96" s="5" t="inlineStr">
        <is>
          <t>All restaurant info: orders, earnings, ratings, menu</t>
        </is>
      </c>
      <c r="H96" s="5">
        <f>IF(I96="","",IF(I96=G96,"PASS","FAIL"))</f>
        <v/>
      </c>
      <c r="I96" s="5" t="inlineStr"/>
      <c r="J96" s="5" t="inlineStr"/>
      <c r="K96" s="6" t="inlineStr">
        <is>
          <t>High</t>
        </is>
      </c>
      <c r="L96" s="5" t="inlineStr"/>
    </row>
    <row r="97">
      <c r="A97" s="5" t="inlineStr">
        <is>
          <t>TC096</t>
        </is>
      </c>
      <c r="B97" s="5" t="inlineStr">
        <is>
          <t>Admin</t>
        </is>
      </c>
      <c r="C97" s="5" t="inlineStr">
        <is>
          <t>Restaurants</t>
        </is>
      </c>
      <c r="D97" s="5" t="inlineStr">
        <is>
          <t>Edit Restaurant</t>
        </is>
      </c>
      <c r="E97" s="5" t="inlineStr">
        <is>
          <t>Edit Restaurant Information</t>
        </is>
      </c>
      <c r="F97" s="5" t="inlineStr">
        <is>
          <t>1. Open restaurant
2. Click Edit
3. Modify details
4. Save</t>
        </is>
      </c>
      <c r="G97" s="5" t="inlineStr">
        <is>
          <t>Restaurant information updated</t>
        </is>
      </c>
      <c r="H97" s="5">
        <f>IF(I97="","",IF(I97=G97,"PASS","FAIL"))</f>
        <v/>
      </c>
      <c r="I97" s="5" t="inlineStr"/>
      <c r="J97" s="5" t="inlineStr"/>
      <c r="K97" s="7" t="inlineStr">
        <is>
          <t>Medium</t>
        </is>
      </c>
      <c r="L97" s="5" t="inlineStr"/>
    </row>
    <row r="98">
      <c r="A98" s="5" t="inlineStr">
        <is>
          <t>TC097</t>
        </is>
      </c>
      <c r="B98" s="5" t="inlineStr">
        <is>
          <t>Admin</t>
        </is>
      </c>
      <c r="C98" s="5" t="inlineStr">
        <is>
          <t>Restaurants</t>
        </is>
      </c>
      <c r="D98" s="5" t="inlineStr">
        <is>
          <t>Set Payout</t>
        </is>
      </c>
      <c r="E98" s="5" t="inlineStr">
        <is>
          <t>Set Restaurant Payout Rate</t>
        </is>
      </c>
      <c r="F98" s="5" t="inlineStr">
        <is>
          <t>1. Open restaurant
2. Edit payout rate
3. Save</t>
        </is>
      </c>
      <c r="G98" s="5" t="inlineStr">
        <is>
          <t>New payout rate applied</t>
        </is>
      </c>
      <c r="H98" s="5">
        <f>IF(I98="","",IF(I98=G98,"PASS","FAIL"))</f>
        <v/>
      </c>
      <c r="I98" s="5" t="inlineStr"/>
      <c r="J98" s="5" t="inlineStr"/>
      <c r="K98" s="6" t="inlineStr">
        <is>
          <t>High</t>
        </is>
      </c>
      <c r="L98" s="5" t="inlineStr"/>
    </row>
    <row r="99">
      <c r="A99" s="5" t="inlineStr">
        <is>
          <t>TC098</t>
        </is>
      </c>
      <c r="B99" s="5" t="inlineStr">
        <is>
          <t>Admin</t>
        </is>
      </c>
      <c r="C99" s="5" t="inlineStr">
        <is>
          <t>Restaurants</t>
        </is>
      </c>
      <c r="D99" s="5" t="inlineStr">
        <is>
          <t>Suspend</t>
        </is>
      </c>
      <c r="E99" s="5" t="inlineStr">
        <is>
          <t>Suspend Restaurant</t>
        </is>
      </c>
      <c r="F99" s="5" t="inlineStr">
        <is>
          <t>1. Find restaurant
2. Click Suspend
3. Add reason
4. Confirm</t>
        </is>
      </c>
      <c r="G99" s="5" t="inlineStr">
        <is>
          <t>Restaurant suspended, cannot receive orders</t>
        </is>
      </c>
      <c r="H99" s="5">
        <f>IF(I99="","",IF(I99=G99,"PASS","FAIL"))</f>
        <v/>
      </c>
      <c r="I99" s="5" t="inlineStr"/>
      <c r="J99" s="5" t="inlineStr"/>
      <c r="K99" s="6" t="inlineStr">
        <is>
          <t>High</t>
        </is>
      </c>
      <c r="L99" s="5" t="inlineStr"/>
    </row>
    <row r="100">
      <c r="A100" s="5" t="inlineStr">
        <is>
          <t>TC099</t>
        </is>
      </c>
      <c r="B100" s="5" t="inlineStr">
        <is>
          <t>Admin</t>
        </is>
      </c>
      <c r="C100" s="5" t="inlineStr">
        <is>
          <t>Restaurants</t>
        </is>
      </c>
      <c r="D100" s="5" t="inlineStr">
        <is>
          <t>Reactivate</t>
        </is>
      </c>
      <c r="E100" s="5" t="inlineStr">
        <is>
          <t>Reactivate Restaurant</t>
        </is>
      </c>
      <c r="F100" s="5" t="inlineStr">
        <is>
          <t>1. Find suspended restaurant
2. Click Reactivate
3. Confirm</t>
        </is>
      </c>
      <c r="G100" s="5" t="inlineStr">
        <is>
          <t>Restaurant reactivated, can receive orders</t>
        </is>
      </c>
      <c r="H100" s="5">
        <f>IF(I100="","",IF(I100=G100,"PASS","FAIL"))</f>
        <v/>
      </c>
      <c r="I100" s="5" t="inlineStr"/>
      <c r="J100" s="5" t="inlineStr"/>
      <c r="K100" s="6" t="inlineStr">
        <is>
          <t>High</t>
        </is>
      </c>
      <c r="L100" s="5" t="inlineStr"/>
    </row>
    <row r="101">
      <c r="A101" s="5" t="inlineStr">
        <is>
          <t>TC100</t>
        </is>
      </c>
      <c r="B101" s="5" t="inlineStr">
        <is>
          <t>Admin</t>
        </is>
      </c>
      <c r="C101" s="5" t="inlineStr">
        <is>
          <t>Restaurants</t>
        </is>
      </c>
      <c r="D101" s="5" t="inlineStr">
        <is>
          <t>Delete</t>
        </is>
      </c>
      <c r="E101" s="5" t="inlineStr">
        <is>
          <t>Delete Restaurant</t>
        </is>
      </c>
      <c r="F101" s="5" t="inlineStr">
        <is>
          <t>1. Find restaurant
2. Click Delete
3. Confirm</t>
        </is>
      </c>
      <c r="G101" s="5" t="inlineStr">
        <is>
          <t>Restaurant removed from platform</t>
        </is>
      </c>
      <c r="H101" s="5">
        <f>IF(I101="","",IF(I101=G101,"PASS","FAIL"))</f>
        <v/>
      </c>
      <c r="I101" s="5" t="inlineStr"/>
      <c r="J101" s="5" t="inlineStr"/>
      <c r="K101" s="7" t="inlineStr">
        <is>
          <t>Medium</t>
        </is>
      </c>
      <c r="L101" s="5" t="inlineStr"/>
    </row>
    <row r="102">
      <c r="A102" s="5" t="inlineStr">
        <is>
          <t>TC101</t>
        </is>
      </c>
      <c r="B102" s="5" t="inlineStr">
        <is>
          <t>Admin</t>
        </is>
      </c>
      <c r="C102" s="5" t="inlineStr">
        <is>
          <t>Orders</t>
        </is>
      </c>
      <c r="D102" s="5" t="inlineStr">
        <is>
          <t>View All</t>
        </is>
      </c>
      <c r="E102" s="5" t="inlineStr">
        <is>
          <t>View All Orders</t>
        </is>
      </c>
      <c r="F102" s="5" t="inlineStr">
        <is>
          <t>1. Go to Orders page
2. View all orders</t>
        </is>
      </c>
      <c r="G102" s="5" t="inlineStr">
        <is>
          <t>All orders displayed with filters and search</t>
        </is>
      </c>
      <c r="H102" s="5">
        <f>IF(I102="","",IF(I102=G102,"PASS","FAIL"))</f>
        <v/>
      </c>
      <c r="I102" s="5" t="inlineStr"/>
      <c r="J102" s="5" t="inlineStr"/>
      <c r="K102" s="6" t="inlineStr">
        <is>
          <t>High</t>
        </is>
      </c>
      <c r="L102" s="5" t="inlineStr"/>
    </row>
    <row r="103">
      <c r="A103" s="5" t="inlineStr">
        <is>
          <t>TC102</t>
        </is>
      </c>
      <c r="B103" s="5" t="inlineStr">
        <is>
          <t>Admin</t>
        </is>
      </c>
      <c r="C103" s="5" t="inlineStr">
        <is>
          <t>Orders</t>
        </is>
      </c>
      <c r="D103" s="5" t="inlineStr">
        <is>
          <t>Filter Status</t>
        </is>
      </c>
      <c r="E103" s="5" t="inlineStr">
        <is>
          <t>Filter by Order Status</t>
        </is>
      </c>
      <c r="F103" s="5" t="inlineStr">
        <is>
          <t>1. Select status filter
2. Apply</t>
        </is>
      </c>
      <c r="G103" s="5" t="inlineStr">
        <is>
          <t>Orders filtered by status</t>
        </is>
      </c>
      <c r="H103" s="5">
        <f>IF(I103="","",IF(I103=G103,"PASS","FAIL"))</f>
        <v/>
      </c>
      <c r="I103" s="5" t="inlineStr"/>
      <c r="J103" s="5" t="inlineStr"/>
      <c r="K103" s="6" t="inlineStr">
        <is>
          <t>High</t>
        </is>
      </c>
      <c r="L103" s="5" t="inlineStr"/>
    </row>
    <row r="104">
      <c r="A104" s="5" t="inlineStr">
        <is>
          <t>TC103</t>
        </is>
      </c>
      <c r="B104" s="5" t="inlineStr">
        <is>
          <t>Admin</t>
        </is>
      </c>
      <c r="C104" s="5" t="inlineStr">
        <is>
          <t>Orders</t>
        </is>
      </c>
      <c r="D104" s="5" t="inlineStr">
        <is>
          <t>Search Order</t>
        </is>
      </c>
      <c r="E104" s="5" t="inlineStr">
        <is>
          <t>Search for Order</t>
        </is>
      </c>
      <c r="F104" s="5" t="inlineStr">
        <is>
          <t>1. Enter order ID or customer
2. Search</t>
        </is>
      </c>
      <c r="G104" s="5" t="inlineStr">
        <is>
          <t>Matching orders displayed</t>
        </is>
      </c>
      <c r="H104" s="5">
        <f>IF(I104="","",IF(I104=G104,"PASS","FAIL"))</f>
        <v/>
      </c>
      <c r="I104" s="5" t="inlineStr"/>
      <c r="J104" s="5" t="inlineStr"/>
      <c r="K104" s="6" t="inlineStr">
        <is>
          <t>High</t>
        </is>
      </c>
      <c r="L104" s="5" t="inlineStr"/>
    </row>
    <row r="105">
      <c r="A105" s="5" t="inlineStr">
        <is>
          <t>TC104</t>
        </is>
      </c>
      <c r="B105" s="5" t="inlineStr">
        <is>
          <t>Admin</t>
        </is>
      </c>
      <c r="C105" s="5" t="inlineStr">
        <is>
          <t>Orders</t>
        </is>
      </c>
      <c r="D105" s="5" t="inlineStr">
        <is>
          <t>View Details</t>
        </is>
      </c>
      <c r="E105" s="5" t="inlineStr">
        <is>
          <t>View Order Details</t>
        </is>
      </c>
      <c r="F105" s="5" t="inlineStr">
        <is>
          <t>1. Click on order
2. View details</t>
        </is>
      </c>
      <c r="G105" s="5" t="inlineStr">
        <is>
          <t>Full order info: items, customer, restaurant, status, payment</t>
        </is>
      </c>
      <c r="H105" s="5">
        <f>IF(I105="","",IF(I105=G105,"PASS","FAIL"))</f>
        <v/>
      </c>
      <c r="I105" s="5" t="inlineStr"/>
      <c r="J105" s="5" t="inlineStr"/>
      <c r="K105" s="6" t="inlineStr">
        <is>
          <t>High</t>
        </is>
      </c>
      <c r="L105" s="5" t="inlineStr"/>
    </row>
    <row r="106">
      <c r="A106" s="5" t="inlineStr">
        <is>
          <t>TC105</t>
        </is>
      </c>
      <c r="B106" s="5" t="inlineStr">
        <is>
          <t>Admin</t>
        </is>
      </c>
      <c r="C106" s="5" t="inlineStr">
        <is>
          <t>Orders</t>
        </is>
      </c>
      <c r="D106" s="5" t="inlineStr">
        <is>
          <t>Update Status</t>
        </is>
      </c>
      <c r="E106" s="5" t="inlineStr">
        <is>
          <t>Update Order Status</t>
        </is>
      </c>
      <c r="F106" s="5" t="inlineStr">
        <is>
          <t>1. Open order
2. Change status
3. Save</t>
        </is>
      </c>
      <c r="G106" s="5" t="inlineStr">
        <is>
          <t>Order status updated</t>
        </is>
      </c>
      <c r="H106" s="5">
        <f>IF(I106="","",IF(I106=G106,"PASS","FAIL"))</f>
        <v/>
      </c>
      <c r="I106" s="5" t="inlineStr"/>
      <c r="J106" s="5" t="inlineStr"/>
      <c r="K106" s="7" t="inlineStr">
        <is>
          <t>Medium</t>
        </is>
      </c>
      <c r="L106" s="5" t="inlineStr"/>
    </row>
    <row r="107">
      <c r="A107" s="5" t="inlineStr">
        <is>
          <t>TC106</t>
        </is>
      </c>
      <c r="B107" s="5" t="inlineStr">
        <is>
          <t>Admin</t>
        </is>
      </c>
      <c r="C107" s="5" t="inlineStr">
        <is>
          <t>Orders</t>
        </is>
      </c>
      <c r="D107" s="5" t="inlineStr">
        <is>
          <t>Cancel Order</t>
        </is>
      </c>
      <c r="E107" s="5" t="inlineStr">
        <is>
          <t>Cancel Order</t>
        </is>
      </c>
      <c r="F107" s="5" t="inlineStr">
        <is>
          <t>1. Open order
2. Click Cancel
3. Add reason
4. Confirm</t>
        </is>
      </c>
      <c r="G107" s="5" t="inlineStr">
        <is>
          <t>Order cancelled, refund processed</t>
        </is>
      </c>
      <c r="H107" s="5">
        <f>IF(I107="","",IF(I107=G107,"PASS","FAIL"))</f>
        <v/>
      </c>
      <c r="I107" s="5" t="inlineStr"/>
      <c r="J107" s="5" t="inlineStr"/>
      <c r="K107" s="7" t="inlineStr">
        <is>
          <t>Medium</t>
        </is>
      </c>
      <c r="L107" s="5" t="inlineStr"/>
    </row>
    <row r="108">
      <c r="A108" s="5" t="inlineStr">
        <is>
          <t>TC107</t>
        </is>
      </c>
      <c r="B108" s="5" t="inlineStr">
        <is>
          <t>Admin</t>
        </is>
      </c>
      <c r="C108" s="5" t="inlineStr">
        <is>
          <t>Orders</t>
        </is>
      </c>
      <c r="D108" s="5" t="inlineStr">
        <is>
          <t>Refund</t>
        </is>
      </c>
      <c r="E108" s="5" t="inlineStr">
        <is>
          <t>Process Refund</t>
        </is>
      </c>
      <c r="F108" s="5" t="inlineStr">
        <is>
          <t>1. Open order
2. Click Refund
3. Enter amount
4. Confirm</t>
        </is>
      </c>
      <c r="G108" s="5" t="inlineStr">
        <is>
          <t>Refund processed, customer notified</t>
        </is>
      </c>
      <c r="H108" s="5">
        <f>IF(I108="","",IF(I108=G108,"PASS","FAIL"))</f>
        <v/>
      </c>
      <c r="I108" s="5" t="inlineStr"/>
      <c r="J108" s="5" t="inlineStr"/>
      <c r="K108" s="6" t="inlineStr">
        <is>
          <t>High</t>
        </is>
      </c>
      <c r="L108" s="5" t="inlineStr"/>
    </row>
    <row r="109">
      <c r="A109" s="5" t="inlineStr">
        <is>
          <t>TC108</t>
        </is>
      </c>
      <c r="B109" s="5" t="inlineStr">
        <is>
          <t>Admin</t>
        </is>
      </c>
      <c r="C109" s="5" t="inlineStr">
        <is>
          <t>Orders</t>
        </is>
      </c>
      <c r="D109" s="5" t="inlineStr">
        <is>
          <t>Assign Driver</t>
        </is>
      </c>
      <c r="E109" s="5" t="inlineStr">
        <is>
          <t>Assign Driver to Order</t>
        </is>
      </c>
      <c r="F109" s="5" t="inlineStr">
        <is>
          <t>1. Open order
2. Click Assign Driver
3. Select driver
4. Save</t>
        </is>
      </c>
      <c r="G109" s="5" t="inlineStr">
        <is>
          <t>Driver assigned, notified</t>
        </is>
      </c>
      <c r="H109" s="5">
        <f>IF(I109="","",IF(I109=G109,"PASS","FAIL"))</f>
        <v/>
      </c>
      <c r="I109" s="5" t="inlineStr"/>
      <c r="J109" s="5" t="inlineStr"/>
      <c r="K109" s="7" t="inlineStr">
        <is>
          <t>Medium</t>
        </is>
      </c>
      <c r="L109" s="5" t="inlineStr"/>
    </row>
    <row r="110">
      <c r="A110" s="5" t="inlineStr">
        <is>
          <t>TC109</t>
        </is>
      </c>
      <c r="B110" s="5" t="inlineStr">
        <is>
          <t>Admin</t>
        </is>
      </c>
      <c r="C110" s="5" t="inlineStr">
        <is>
          <t>Subscriptions</t>
        </is>
      </c>
      <c r="D110" s="5" t="inlineStr">
        <is>
          <t>View All</t>
        </is>
      </c>
      <c r="E110" s="5" t="inlineStr">
        <is>
          <t>View All Subscriptions</t>
        </is>
      </c>
      <c r="F110" s="5" t="inlineStr">
        <is>
          <t>1. Go to Subscriptions page
2. View list</t>
        </is>
      </c>
      <c r="G110" s="5" t="inlineStr">
        <is>
          <t>All active subscriptions displayed</t>
        </is>
      </c>
      <c r="H110" s="5">
        <f>IF(I110="","",IF(I110=G110,"PASS","FAIL"))</f>
        <v/>
      </c>
      <c r="I110" s="5" t="inlineStr"/>
      <c r="J110" s="5" t="inlineStr"/>
      <c r="K110" s="6" t="inlineStr">
        <is>
          <t>High</t>
        </is>
      </c>
      <c r="L110" s="5" t="inlineStr"/>
    </row>
    <row r="111">
      <c r="A111" s="5" t="inlineStr">
        <is>
          <t>TC110</t>
        </is>
      </c>
      <c r="B111" s="5" t="inlineStr">
        <is>
          <t>Admin</t>
        </is>
      </c>
      <c r="C111" s="5" t="inlineStr">
        <is>
          <t>Subscriptions</t>
        </is>
      </c>
      <c r="D111" s="5" t="inlineStr">
        <is>
          <t>View Plans</t>
        </is>
      </c>
      <c r="E111" s="5" t="inlineStr">
        <is>
          <t>View Subscription Plans</t>
        </is>
      </c>
      <c r="F111" s="5" t="inlineStr">
        <is>
          <t>1. Click Plans tab
2. View all tiers</t>
        </is>
      </c>
      <c r="G111" s="5" t="inlineStr">
        <is>
          <t>All plans with pricing displayed</t>
        </is>
      </c>
      <c r="H111" s="5">
        <f>IF(I111="","",IF(I111=G111,"PASS","FAIL"))</f>
        <v/>
      </c>
      <c r="I111" s="5" t="inlineStr"/>
      <c r="J111" s="5" t="inlineStr"/>
      <c r="K111" s="6" t="inlineStr">
        <is>
          <t>High</t>
        </is>
      </c>
      <c r="L111" s="5" t="inlineStr"/>
    </row>
    <row r="112">
      <c r="A112" s="5" t="inlineStr">
        <is>
          <t>TC111</t>
        </is>
      </c>
      <c r="B112" s="5" t="inlineStr">
        <is>
          <t>Admin</t>
        </is>
      </c>
      <c r="C112" s="5" t="inlineStr">
        <is>
          <t>Subscriptions</t>
        </is>
      </c>
      <c r="D112" s="5" t="inlineStr">
        <is>
          <t>Edit Plan</t>
        </is>
      </c>
      <c r="E112" s="5" t="inlineStr">
        <is>
          <t>Edit Subscription Plan</t>
        </is>
      </c>
      <c r="F112" s="5" t="inlineStr">
        <is>
          <t>1. Click on plan
2. Edit price/features
3. Save</t>
        </is>
      </c>
      <c r="G112" s="5" t="inlineStr">
        <is>
          <t>Plan updated</t>
        </is>
      </c>
      <c r="H112" s="5">
        <f>IF(I112="","",IF(I112=G112,"PASS","FAIL"))</f>
        <v/>
      </c>
      <c r="I112" s="5" t="inlineStr"/>
      <c r="J112" s="5" t="inlineStr"/>
      <c r="K112" s="7" t="inlineStr">
        <is>
          <t>Medium</t>
        </is>
      </c>
      <c r="L112" s="5" t="inlineStr"/>
    </row>
    <row r="113">
      <c r="A113" s="5" t="inlineStr">
        <is>
          <t>TC112</t>
        </is>
      </c>
      <c r="B113" s="5" t="inlineStr">
        <is>
          <t>Admin</t>
        </is>
      </c>
      <c r="C113" s="5" t="inlineStr">
        <is>
          <t>Subscriptions</t>
        </is>
      </c>
      <c r="D113" s="5" t="inlineStr">
        <is>
          <t>Add Plan</t>
        </is>
      </c>
      <c r="E113" s="5" t="inlineStr">
        <is>
          <t>Add New Subscription Plan</t>
        </is>
      </c>
      <c r="F113" s="5" t="inlineStr">
        <is>
          <t>1. Click Add Plan
2. Fill details
3. Save</t>
        </is>
      </c>
      <c r="G113" s="5" t="inlineStr">
        <is>
          <t>New plan created</t>
        </is>
      </c>
      <c r="H113" s="5">
        <f>IF(I113="","",IF(I113=G113,"PASS","FAIL"))</f>
        <v/>
      </c>
      <c r="I113" s="5" t="inlineStr"/>
      <c r="J113" s="5" t="inlineStr"/>
      <c r="K113" s="5" t="inlineStr">
        <is>
          <t>Low</t>
        </is>
      </c>
      <c r="L113" s="5" t="inlineStr"/>
    </row>
    <row r="114">
      <c r="A114" s="5" t="inlineStr">
        <is>
          <t>TC113</t>
        </is>
      </c>
      <c r="B114" s="5" t="inlineStr">
        <is>
          <t>Admin</t>
        </is>
      </c>
      <c r="C114" s="5" t="inlineStr">
        <is>
          <t>Subscriptions</t>
        </is>
      </c>
      <c r="D114" s="5" t="inlineStr">
        <is>
          <t>Cancel Sub</t>
        </is>
      </c>
      <c r="E114" s="5" t="inlineStr">
        <is>
          <t>Cancel Customer Subscription</t>
        </is>
      </c>
      <c r="F114" s="5" t="inlineStr">
        <is>
          <t>1. Find subscription
2. Click Cancel
3. Confirm</t>
        </is>
      </c>
      <c r="G114" s="5" t="inlineStr">
        <is>
          <t>Subscription cancelled</t>
        </is>
      </c>
      <c r="H114" s="5">
        <f>IF(I114="","",IF(I114=G114,"PASS","FAIL"))</f>
        <v/>
      </c>
      <c r="I114" s="5" t="inlineStr"/>
      <c r="J114" s="5" t="inlineStr"/>
      <c r="K114" s="7" t="inlineStr">
        <is>
          <t>Medium</t>
        </is>
      </c>
      <c r="L114" s="5" t="inlineStr"/>
    </row>
    <row r="115">
      <c r="A115" s="5" t="inlineStr">
        <is>
          <t>TC114</t>
        </is>
      </c>
      <c r="B115" s="5" t="inlineStr">
        <is>
          <t>Admin</t>
        </is>
      </c>
      <c r="C115" s="5" t="inlineStr">
        <is>
          <t>Subscriptions</t>
        </is>
      </c>
      <c r="D115" s="5" t="inlineStr">
        <is>
          <t>Extend</t>
        </is>
      </c>
      <c r="E115" s="5" t="inlineStr">
        <is>
          <t>Extend Subscription</t>
        </is>
      </c>
      <c r="F115" s="5" t="inlineStr">
        <is>
          <t>1. Open subscription
2. Add extension days
3. Save</t>
        </is>
      </c>
      <c r="G115" s="5" t="inlineStr">
        <is>
          <t>Subscription extended</t>
        </is>
      </c>
      <c r="H115" s="5">
        <f>IF(I115="","",IF(I115=G115,"PASS","FAIL"))</f>
        <v/>
      </c>
      <c r="I115" s="5" t="inlineStr"/>
      <c r="J115" s="5" t="inlineStr"/>
      <c r="K115" s="5" t="inlineStr">
        <is>
          <t>Low</t>
        </is>
      </c>
      <c r="L115" s="5" t="inlineStr"/>
    </row>
    <row r="116">
      <c r="A116" s="5" t="inlineStr">
        <is>
          <t>TC115</t>
        </is>
      </c>
      <c r="B116" s="5" t="inlineStr">
        <is>
          <t>Admin</t>
        </is>
      </c>
      <c r="C116" s="5" t="inlineStr">
        <is>
          <t>Content</t>
        </is>
      </c>
      <c r="D116" s="5" t="inlineStr">
        <is>
          <t>View Meals</t>
        </is>
      </c>
      <c r="E116" s="5" t="inlineStr">
        <is>
          <t>View All Meals</t>
        </is>
      </c>
      <c r="F116" s="5" t="inlineStr">
        <is>
          <t>1. Go to Content &gt; Meals
2. View all meals</t>
        </is>
      </c>
      <c r="G116" s="5" t="inlineStr">
        <is>
          <t>All meals from all restaurants displayed</t>
        </is>
      </c>
      <c r="H116" s="5">
        <f>IF(I116="","",IF(I116=G116,"PASS","FAIL"))</f>
        <v/>
      </c>
      <c r="I116" s="5" t="inlineStr"/>
      <c r="J116" s="5" t="inlineStr"/>
      <c r="K116" s="7" t="inlineStr">
        <is>
          <t>Medium</t>
        </is>
      </c>
      <c r="L116" s="5" t="inlineStr"/>
    </row>
    <row r="117">
      <c r="A117" s="5" t="inlineStr">
        <is>
          <t>TC116</t>
        </is>
      </c>
      <c r="B117" s="5" t="inlineStr">
        <is>
          <t>Admin</t>
        </is>
      </c>
      <c r="C117" s="5" t="inlineStr">
        <is>
          <t>Content</t>
        </is>
      </c>
      <c r="D117" s="5" t="inlineStr">
        <is>
          <t>Edit Meal</t>
        </is>
      </c>
      <c r="E117" s="5" t="inlineStr">
        <is>
          <t>Edit Any Meal</t>
        </is>
      </c>
      <c r="F117" s="5" t="inlineStr">
        <is>
          <t>1. Find meal
2. Click Edit
3. Modify
4. Save</t>
        </is>
      </c>
      <c r="G117" s="5" t="inlineStr">
        <is>
          <t>Meal updated</t>
        </is>
      </c>
      <c r="H117" s="5">
        <f>IF(I117="","",IF(I117=G117,"PASS","FAIL"))</f>
        <v/>
      </c>
      <c r="I117" s="5" t="inlineStr"/>
      <c r="J117" s="5" t="inlineStr"/>
      <c r="K117" s="7" t="inlineStr">
        <is>
          <t>Medium</t>
        </is>
      </c>
      <c r="L117" s="5" t="inlineStr"/>
    </row>
    <row r="118">
      <c r="A118" s="5" t="inlineStr">
        <is>
          <t>TC117</t>
        </is>
      </c>
      <c r="B118" s="5" t="inlineStr">
        <is>
          <t>Admin</t>
        </is>
      </c>
      <c r="C118" s="5" t="inlineStr">
        <is>
          <t>Content</t>
        </is>
      </c>
      <c r="D118" s="5" t="inlineStr">
        <is>
          <t>Delete Meal</t>
        </is>
      </c>
      <c r="E118" s="5" t="inlineStr">
        <is>
          <t>Delete Meal</t>
        </is>
      </c>
      <c r="F118" s="5" t="inlineStr">
        <is>
          <t>1. Find meal
2. Click Delete
3. Confirm</t>
        </is>
      </c>
      <c r="G118" s="5" t="inlineStr">
        <is>
          <t>Meal deleted</t>
        </is>
      </c>
      <c r="H118" s="5">
        <f>IF(I118="","",IF(I118=G118,"PASS","FAIL"))</f>
        <v/>
      </c>
      <c r="I118" s="5" t="inlineStr"/>
      <c r="J118" s="5" t="inlineStr"/>
      <c r="K118" s="7" t="inlineStr">
        <is>
          <t>Medium</t>
        </is>
      </c>
      <c r="L118" s="5" t="inlineStr"/>
    </row>
    <row r="119">
      <c r="A119" s="5" t="inlineStr">
        <is>
          <t>TC118</t>
        </is>
      </c>
      <c r="B119" s="5" t="inlineStr">
        <is>
          <t>Admin</t>
        </is>
      </c>
      <c r="C119" s="5" t="inlineStr">
        <is>
          <t>Content</t>
        </is>
      </c>
      <c r="D119" s="5" t="inlineStr">
        <is>
          <t>Diet Tags</t>
        </is>
      </c>
      <c r="E119" s="5" t="inlineStr">
        <is>
          <t>Manage Diet Tags</t>
        </is>
      </c>
      <c r="F119" s="5" t="inlineStr">
        <is>
          <t>1. Go to Diet Tags
2. Add/Edit/Delete tags</t>
        </is>
      </c>
      <c r="G119" s="5" t="inlineStr">
        <is>
          <t>Tags updated across platform</t>
        </is>
      </c>
      <c r="H119" s="5">
        <f>IF(I119="","",IF(I119=G119,"PASS","FAIL"))</f>
        <v/>
      </c>
      <c r="I119" s="5" t="inlineStr"/>
      <c r="J119" s="5" t="inlineStr"/>
      <c r="K119" s="5" t="inlineStr">
        <is>
          <t>Low</t>
        </is>
      </c>
      <c r="L119" s="5" t="inlineStr"/>
    </row>
    <row r="120">
      <c r="A120" s="5" t="inlineStr">
        <is>
          <t>TC119</t>
        </is>
      </c>
      <c r="B120" s="5" t="inlineStr">
        <is>
          <t>Admin</t>
        </is>
      </c>
      <c r="C120" s="5" t="inlineStr">
        <is>
          <t>Content</t>
        </is>
      </c>
      <c r="D120" s="5" t="inlineStr">
        <is>
          <t>Announcements</t>
        </is>
      </c>
      <c r="E120" s="5" t="inlineStr">
        <is>
          <t>Create Announcement</t>
        </is>
      </c>
      <c r="F120" s="5" t="inlineStr">
        <is>
          <t>1. Go to Announcements
2. Create new
3. Publish</t>
        </is>
      </c>
      <c r="G120" s="5" t="inlineStr">
        <is>
          <t>Announcement visible to users</t>
        </is>
      </c>
      <c r="H120" s="5">
        <f>IF(I120="","",IF(I120=G120,"PASS","FAIL"))</f>
        <v/>
      </c>
      <c r="I120" s="5" t="inlineStr"/>
      <c r="J120" s="5" t="inlineStr"/>
      <c r="K120" s="5" t="inlineStr">
        <is>
          <t>Low</t>
        </is>
      </c>
      <c r="L120" s="5" t="inlineStr"/>
    </row>
    <row r="121">
      <c r="A121" s="5" t="inlineStr">
        <is>
          <t>TC120</t>
        </is>
      </c>
      <c r="B121" s="5" t="inlineStr">
        <is>
          <t>Admin</t>
        </is>
      </c>
      <c r="C121" s="5" t="inlineStr">
        <is>
          <t>Reports</t>
        </is>
      </c>
      <c r="D121" s="5" t="inlineStr">
        <is>
          <t>View Reports</t>
        </is>
      </c>
      <c r="E121" s="5" t="inlineStr">
        <is>
          <t>View Analytics Reports</t>
        </is>
      </c>
      <c r="F121" s="5" t="inlineStr">
        <is>
          <t>1. Go to Reports page
2. View charts and data</t>
        </is>
      </c>
      <c r="G121" s="5" t="inlineStr">
        <is>
          <t>Analytics displayed: revenue, orders, users, growth</t>
        </is>
      </c>
      <c r="H121" s="5">
        <f>IF(I121="","",IF(I121=G121,"PASS","FAIL"))</f>
        <v/>
      </c>
      <c r="I121" s="5" t="inlineStr"/>
      <c r="J121" s="5" t="inlineStr"/>
      <c r="K121" s="7" t="inlineStr">
        <is>
          <t>Medium</t>
        </is>
      </c>
      <c r="L121" s="5" t="inlineStr"/>
    </row>
    <row r="122">
      <c r="A122" s="5" t="inlineStr">
        <is>
          <t>TC121</t>
        </is>
      </c>
      <c r="B122" s="5" t="inlineStr">
        <is>
          <t>Admin</t>
        </is>
      </c>
      <c r="C122" s="5" t="inlineStr">
        <is>
          <t>Reports</t>
        </is>
      </c>
      <c r="D122" s="5" t="inlineStr">
        <is>
          <t>Revenue Report</t>
        </is>
      </c>
      <c r="E122" s="5" t="inlineStr">
        <is>
          <t>Generate Revenue Report</t>
        </is>
      </c>
      <c r="F122" s="5" t="inlineStr">
        <is>
          <t>1. Select date range
2. Click Generate
3. View report</t>
        </is>
      </c>
      <c r="G122" s="5" t="inlineStr">
        <is>
          <t>Revenue report generated</t>
        </is>
      </c>
      <c r="H122" s="5">
        <f>IF(I122="","",IF(I122=G122,"PASS","FAIL"))</f>
        <v/>
      </c>
      <c r="I122" s="5" t="inlineStr"/>
      <c r="J122" s="5" t="inlineStr"/>
      <c r="K122" s="7" t="inlineStr">
        <is>
          <t>Medium</t>
        </is>
      </c>
      <c r="L122" s="5" t="inlineStr"/>
    </row>
    <row r="123">
      <c r="A123" s="5" t="inlineStr">
        <is>
          <t>TC122</t>
        </is>
      </c>
      <c r="B123" s="5" t="inlineStr">
        <is>
          <t>Admin</t>
        </is>
      </c>
      <c r="C123" s="5" t="inlineStr">
        <is>
          <t>Reports</t>
        </is>
      </c>
      <c r="D123" s="5" t="inlineStr">
        <is>
          <t>Export</t>
        </is>
      </c>
      <c r="E123" s="5" t="inlineStr">
        <is>
          <t>Export Report to CSV/Excel</t>
        </is>
      </c>
      <c r="F123" s="5" t="inlineStr">
        <is>
          <t>1. Generate report
2. Click Export
3. Select format
4. Download</t>
        </is>
      </c>
      <c r="G123" s="5" t="inlineStr">
        <is>
          <t>Report downloaded</t>
        </is>
      </c>
      <c r="H123" s="5">
        <f>IF(I123="","",IF(I123=G123,"PASS","FAIL"))</f>
        <v/>
      </c>
      <c r="I123" s="5" t="inlineStr"/>
      <c r="J123" s="5" t="inlineStr"/>
      <c r="K123" s="5" t="inlineStr">
        <is>
          <t>Low</t>
        </is>
      </c>
      <c r="L123" s="5" t="inlineStr"/>
    </row>
    <row r="124">
      <c r="A124" s="5" t="inlineStr">
        <is>
          <t>TC123</t>
        </is>
      </c>
      <c r="B124" s="5" t="inlineStr">
        <is>
          <t>Admin</t>
        </is>
      </c>
      <c r="C124" s="5" t="inlineStr">
        <is>
          <t>Reports</t>
        </is>
      </c>
      <c r="D124" s="5" t="inlineStr">
        <is>
          <t>Restaurant Performance</t>
        </is>
      </c>
      <c r="E124" s="5" t="inlineStr">
        <is>
          <t>View Restaurant Performance</t>
        </is>
      </c>
      <c r="F124" s="5" t="inlineStr">
        <is>
          <t>1. Go to Restaurant Reports
2. View performance metrics</t>
        </is>
      </c>
      <c r="G124" s="5" t="inlineStr">
        <is>
          <t>Per-restaurant stats displayed</t>
        </is>
      </c>
      <c r="H124" s="5">
        <f>IF(I124="","",IF(I124=G124,"PASS","FAIL"))</f>
        <v/>
      </c>
      <c r="I124" s="5" t="inlineStr"/>
      <c r="J124" s="5" t="inlineStr"/>
      <c r="K124" s="7" t="inlineStr">
        <is>
          <t>Medium</t>
        </is>
      </c>
      <c r="L124" s="5" t="inlineStr"/>
    </row>
    <row r="125">
      <c r="A125" s="5" t="inlineStr">
        <is>
          <t>TC124</t>
        </is>
      </c>
      <c r="B125" s="5" t="inlineStr">
        <is>
          <t>Admin</t>
        </is>
      </c>
      <c r="C125" s="5" t="inlineStr">
        <is>
          <t>Payouts</t>
        </is>
      </c>
      <c r="D125" s="5" t="inlineStr">
        <is>
          <t>View Pending</t>
        </is>
      </c>
      <c r="E125" s="5" t="inlineStr">
        <is>
          <t>View Pending Payouts</t>
        </is>
      </c>
      <c r="F125" s="5" t="inlineStr">
        <is>
          <t>1. Go to Payouts page
2. View pending list</t>
        </is>
      </c>
      <c r="G125" s="5" t="inlineStr">
        <is>
          <t>All pending payouts displayed</t>
        </is>
      </c>
      <c r="H125" s="5">
        <f>IF(I125="","",IF(I125=G125,"PASS","FAIL"))</f>
        <v/>
      </c>
      <c r="I125" s="5" t="inlineStr"/>
      <c r="J125" s="5" t="inlineStr"/>
      <c r="K125" s="6" t="inlineStr">
        <is>
          <t>High</t>
        </is>
      </c>
      <c r="L125" s="5" t="inlineStr"/>
    </row>
    <row r="126">
      <c r="A126" s="5" t="inlineStr">
        <is>
          <t>TC125</t>
        </is>
      </c>
      <c r="B126" s="5" t="inlineStr">
        <is>
          <t>Admin</t>
        </is>
      </c>
      <c r="C126" s="5" t="inlineStr">
        <is>
          <t>Payouts</t>
        </is>
      </c>
      <c r="D126" s="5" t="inlineStr">
        <is>
          <t>Process Payout</t>
        </is>
      </c>
      <c r="E126" s="5" t="inlineStr">
        <is>
          <t>Process Weekly Payout</t>
        </is>
      </c>
      <c r="F126" s="5" t="inlineStr">
        <is>
          <t>1. Select restaurants
2. Click Process
3. Confirm</t>
        </is>
      </c>
      <c r="G126" s="5" t="inlineStr">
        <is>
          <t>Payouts processed, restaurants notified</t>
        </is>
      </c>
      <c r="H126" s="5">
        <f>IF(I126="","",IF(I126=G126,"PASS","FAIL"))</f>
        <v/>
      </c>
      <c r="I126" s="5" t="inlineStr"/>
      <c r="J126" s="5" t="inlineStr"/>
      <c r="K126" s="8" t="inlineStr">
        <is>
          <t>Critical</t>
        </is>
      </c>
      <c r="L126" s="5" t="inlineStr"/>
    </row>
    <row r="127">
      <c r="A127" s="5" t="inlineStr">
        <is>
          <t>TC126</t>
        </is>
      </c>
      <c r="B127" s="5" t="inlineStr">
        <is>
          <t>Admin</t>
        </is>
      </c>
      <c r="C127" s="5" t="inlineStr">
        <is>
          <t>Payouts</t>
        </is>
      </c>
      <c r="D127" s="5" t="inlineStr">
        <is>
          <t>View History</t>
        </is>
      </c>
      <c r="E127" s="5" t="inlineStr">
        <is>
          <t>View Payout History</t>
        </is>
      </c>
      <c r="F127" s="5" t="inlineStr">
        <is>
          <t>1. Click History
2. View past payouts</t>
        </is>
      </c>
      <c r="G127" s="5" t="inlineStr">
        <is>
          <t>All processed payouts listed</t>
        </is>
      </c>
      <c r="H127" s="5">
        <f>IF(I127="","",IF(I127=G127,"PASS","FAIL"))</f>
        <v/>
      </c>
      <c r="I127" s="5" t="inlineStr"/>
      <c r="J127" s="5" t="inlineStr"/>
      <c r="K127" s="7" t="inlineStr">
        <is>
          <t>Medium</t>
        </is>
      </c>
      <c r="L127" s="5" t="inlineStr"/>
    </row>
    <row r="128">
      <c r="A128" s="5" t="inlineStr">
        <is>
          <t>TC127</t>
        </is>
      </c>
      <c r="B128" s="5" t="inlineStr">
        <is>
          <t>Admin</t>
        </is>
      </c>
      <c r="C128" s="5" t="inlineStr">
        <is>
          <t>Payouts</t>
        </is>
      </c>
      <c r="D128" s="5" t="inlineStr">
        <is>
          <t>Adjust Payout</t>
        </is>
      </c>
      <c r="E128" s="5" t="inlineStr">
        <is>
          <t>Adjust Restaurant Payout</t>
        </is>
      </c>
      <c r="F128" s="5" t="inlineStr">
        <is>
          <t>1. Find restaurant
2. Edit payout amount
3. Add note
4. Save</t>
        </is>
      </c>
      <c r="G128" s="5" t="inlineStr">
        <is>
          <t>Payout adjusted with audit trail</t>
        </is>
      </c>
      <c r="H128" s="5">
        <f>IF(I128="","",IF(I128=G128,"PASS","FAIL"))</f>
        <v/>
      </c>
      <c r="I128" s="5" t="inlineStr"/>
      <c r="J128" s="5" t="inlineStr"/>
      <c r="K128" s="7" t="inlineStr">
        <is>
          <t>Medium</t>
        </is>
      </c>
      <c r="L128" s="5" t="inlineStr"/>
    </row>
    <row r="129">
      <c r="A129" s="5" t="inlineStr">
        <is>
          <t>TC128</t>
        </is>
      </c>
      <c r="B129" s="5" t="inlineStr">
        <is>
          <t>Admin</t>
        </is>
      </c>
      <c r="C129" s="5" t="inlineStr">
        <is>
          <t>Settings</t>
        </is>
      </c>
      <c r="D129" s="5" t="inlineStr">
        <is>
          <t>General</t>
        </is>
      </c>
      <c r="E129" s="5" t="inlineStr">
        <is>
          <t>General Settings</t>
        </is>
      </c>
      <c r="F129" s="5" t="inlineStr">
        <is>
          <t>1. Go to Settings
2. Modify general settings
3. Save</t>
        </is>
      </c>
      <c r="G129" s="5" t="inlineStr">
        <is>
          <t>Settings saved</t>
        </is>
      </c>
      <c r="H129" s="5">
        <f>IF(I129="","",IF(I129=G129,"PASS","FAIL"))</f>
        <v/>
      </c>
      <c r="I129" s="5" t="inlineStr"/>
      <c r="J129" s="5" t="inlineStr"/>
      <c r="K129" s="7" t="inlineStr">
        <is>
          <t>Medium</t>
        </is>
      </c>
      <c r="L129" s="5" t="inlineStr"/>
    </row>
    <row r="130">
      <c r="A130" s="5" t="inlineStr">
        <is>
          <t>TC129</t>
        </is>
      </c>
      <c r="B130" s="5" t="inlineStr">
        <is>
          <t>Admin</t>
        </is>
      </c>
      <c r="C130" s="5" t="inlineStr">
        <is>
          <t>Settings</t>
        </is>
      </c>
      <c r="D130" s="5" t="inlineStr">
        <is>
          <t>Payment</t>
        </is>
      </c>
      <c r="E130" s="5" t="inlineStr">
        <is>
          <t>Payment Settings</t>
        </is>
      </c>
      <c r="F130" s="5" t="inlineStr">
        <is>
          <t>1. Go to Payment Settings
2. Configure Sadad
3. Save</t>
        </is>
      </c>
      <c r="G130" s="5" t="inlineStr">
        <is>
          <t>Payment settings updated</t>
        </is>
      </c>
      <c r="H130" s="5">
        <f>IF(I130="","",IF(I130=G130,"PASS","FAIL"))</f>
        <v/>
      </c>
      <c r="I130" s="5" t="inlineStr"/>
      <c r="J130" s="5" t="inlineStr"/>
      <c r="K130" s="6" t="inlineStr">
        <is>
          <t>High</t>
        </is>
      </c>
      <c r="L130" s="5" t="inlineStr"/>
    </row>
    <row r="131">
      <c r="A131" s="5" t="inlineStr">
        <is>
          <t>TC130</t>
        </is>
      </c>
      <c r="B131" s="5" t="inlineStr">
        <is>
          <t>Admin</t>
        </is>
      </c>
      <c r="C131" s="5" t="inlineStr">
        <is>
          <t>Settings</t>
        </is>
      </c>
      <c r="D131" s="5" t="inlineStr">
        <is>
          <t>Notifications</t>
        </is>
      </c>
      <c r="E131" s="5" t="inlineStr">
        <is>
          <t>Notification Settings</t>
        </is>
      </c>
      <c r="F131" s="5" t="inlineStr">
        <is>
          <t>1. Go to Notifications
2. Configure templates
3. Save</t>
        </is>
      </c>
      <c r="G131" s="5" t="inlineStr">
        <is>
          <t>Notification settings saved</t>
        </is>
      </c>
      <c r="H131" s="5">
        <f>IF(I131="","",IF(I131=G131,"PASS","FAIL"))</f>
        <v/>
      </c>
      <c r="I131" s="5" t="inlineStr"/>
      <c r="J131" s="5" t="inlineStr"/>
      <c r="K131" s="5" t="inlineStr">
        <is>
          <t>Low</t>
        </is>
      </c>
      <c r="L131" s="5" t="inlineStr"/>
    </row>
    <row r="132">
      <c r="A132" s="5" t="inlineStr">
        <is>
          <t>TC131</t>
        </is>
      </c>
      <c r="B132" s="5" t="inlineStr">
        <is>
          <t>Admin</t>
        </is>
      </c>
      <c r="C132" s="5" t="inlineStr">
        <is>
          <t>Settings</t>
        </is>
      </c>
      <c r="D132" s="5" t="inlineStr">
        <is>
          <t>Referral</t>
        </is>
      </c>
      <c r="E132" s="5" t="inlineStr">
        <is>
          <t>Referral Settings</t>
        </is>
      </c>
      <c r="F132" s="5" t="inlineStr">
        <is>
          <t>1. Go to Referral Settings
2. Set reward amounts
3. Save</t>
        </is>
      </c>
      <c r="G132" s="5" t="inlineStr">
        <is>
          <t>Referral settings updated</t>
        </is>
      </c>
      <c r="H132" s="5">
        <f>IF(I132="","",IF(I132=G132,"PASS","FAIL"))</f>
        <v/>
      </c>
      <c r="I132" s="5" t="inlineStr"/>
      <c r="J132" s="5" t="inlineStr"/>
      <c r="K132" s="5" t="inlineStr">
        <is>
          <t>Low</t>
        </is>
      </c>
      <c r="L132" s="5" t="inlineStr"/>
    </row>
    <row r="133">
      <c r="A133" s="5" t="inlineStr">
        <is>
          <t>TC132</t>
        </is>
      </c>
      <c r="B133" s="5" t="inlineStr">
        <is>
          <t>Driver</t>
        </is>
      </c>
      <c r="C133" s="5" t="inlineStr">
        <is>
          <t>Auth</t>
        </is>
      </c>
      <c r="D133" s="5" t="inlineStr">
        <is>
          <t>Login</t>
        </is>
      </c>
      <c r="E133" s="5" t="inlineStr">
        <is>
          <t>Driver Login</t>
        </is>
      </c>
      <c r="F133" s="5" t="inlineStr">
        <is>
          <t>1. Navigate to /driver/auth
2. Enter driver credentials
3. Login</t>
        </is>
      </c>
      <c r="G133" s="5" t="inlineStr">
        <is>
          <t>Driver logged in, dashboard displayed</t>
        </is>
      </c>
      <c r="H133" s="5">
        <f>IF(I133="","",IF(I133=G133,"PASS","FAIL"))</f>
        <v/>
      </c>
      <c r="I133" s="5" t="inlineStr"/>
      <c r="J133" s="5" t="inlineStr"/>
      <c r="K133" s="6" t="inlineStr">
        <is>
          <t>High</t>
        </is>
      </c>
      <c r="L133" s="5" t="inlineStr"/>
    </row>
    <row r="134">
      <c r="A134" s="5" t="inlineStr">
        <is>
          <t>TC133</t>
        </is>
      </c>
      <c r="B134" s="5" t="inlineStr">
        <is>
          <t>Driver</t>
        </is>
      </c>
      <c r="C134" s="5" t="inlineStr">
        <is>
          <t>Auth</t>
        </is>
      </c>
      <c r="D134" s="5" t="inlineStr">
        <is>
          <t>Logout</t>
        </is>
      </c>
      <c r="E134" s="5" t="inlineStr">
        <is>
          <t>Driver Logout</t>
        </is>
      </c>
      <c r="F134" s="5" t="inlineStr">
        <is>
          <t>1. Click Logout</t>
        </is>
      </c>
      <c r="G134" s="5" t="inlineStr">
        <is>
          <t>Driver logged out</t>
        </is>
      </c>
      <c r="H134" s="5">
        <f>IF(I134="","",IF(I134=G134,"PASS","FAIL"))</f>
        <v/>
      </c>
      <c r="I134" s="5" t="inlineStr"/>
      <c r="J134" s="5" t="inlineStr"/>
      <c r="K134" s="6" t="inlineStr">
        <is>
          <t>High</t>
        </is>
      </c>
      <c r="L134" s="5" t="inlineStr"/>
    </row>
    <row r="135">
      <c r="A135" s="5" t="inlineStr">
        <is>
          <t>TC134</t>
        </is>
      </c>
      <c r="B135" s="5" t="inlineStr">
        <is>
          <t>Driver</t>
        </is>
      </c>
      <c r="C135" s="5" t="inlineStr">
        <is>
          <t>Dashboard</t>
        </is>
      </c>
      <c r="D135" s="5" t="inlineStr">
        <is>
          <t>View</t>
        </is>
      </c>
      <c r="E135" s="5" t="inlineStr">
        <is>
          <t>Driver Dashboard Load</t>
        </is>
      </c>
      <c r="F135" s="5" t="inlineStr">
        <is>
          <t>1. Login as driver
2. View dashboard</t>
        </is>
      </c>
      <c r="G135" s="5" t="inlineStr">
        <is>
          <t>Dashboard shows: available orders, today's earnings, active deliveries</t>
        </is>
      </c>
      <c r="H135" s="5">
        <f>IF(I135="","",IF(I135=G135,"PASS","FAIL"))</f>
        <v/>
      </c>
      <c r="I135" s="5" t="inlineStr"/>
      <c r="J135" s="5" t="inlineStr"/>
      <c r="K135" s="6" t="inlineStr">
        <is>
          <t>High</t>
        </is>
      </c>
      <c r="L135" s="5" t="inlineStr"/>
    </row>
    <row r="136">
      <c r="A136" s="5" t="inlineStr">
        <is>
          <t>TC135</t>
        </is>
      </c>
      <c r="B136" s="5" t="inlineStr">
        <is>
          <t>Driver</t>
        </is>
      </c>
      <c r="C136" s="5" t="inlineStr">
        <is>
          <t>Dashboard</t>
        </is>
      </c>
      <c r="D136" s="5" t="inlineStr">
        <is>
          <t>Stats</t>
        </is>
      </c>
      <c r="E136" s="5" t="inlineStr">
        <is>
          <t>View Driver Stats</t>
        </is>
      </c>
      <c r="F136" s="5" t="inlineStr">
        <is>
          <t>1. Check today's stats
2. View earnings</t>
        </is>
      </c>
      <c r="G136" s="5" t="inlineStr">
        <is>
          <t>Correct stats displayed</t>
        </is>
      </c>
      <c r="H136" s="5">
        <f>IF(I136="","",IF(I136=G136,"PASS","FAIL"))</f>
        <v/>
      </c>
      <c r="I136" s="5" t="inlineStr"/>
      <c r="J136" s="5" t="inlineStr"/>
      <c r="K136" s="7" t="inlineStr">
        <is>
          <t>Medium</t>
        </is>
      </c>
      <c r="L136" s="5" t="inlineStr"/>
    </row>
    <row r="137">
      <c r="A137" s="5" t="inlineStr">
        <is>
          <t>TC136</t>
        </is>
      </c>
      <c r="B137" s="5" t="inlineStr">
        <is>
          <t>Driver</t>
        </is>
      </c>
      <c r="C137" s="5" t="inlineStr">
        <is>
          <t>Deliveries</t>
        </is>
      </c>
      <c r="D137" s="5" t="inlineStr">
        <is>
          <t>View Available</t>
        </is>
      </c>
      <c r="E137" s="5" t="inlineStr">
        <is>
          <t>View Available Deliveries</t>
        </is>
      </c>
      <c r="F137" s="5" t="inlineStr">
        <is>
          <t>1. Go to Deliveries
2. View available orders</t>
        </is>
      </c>
      <c r="G137" s="5" t="inlineStr">
        <is>
          <t>Orders ready for pickup displayed</t>
        </is>
      </c>
      <c r="H137" s="5">
        <f>IF(I137="","",IF(I137=G137,"PASS","FAIL"))</f>
        <v/>
      </c>
      <c r="I137" s="5" t="inlineStr"/>
      <c r="J137" s="5" t="inlineStr"/>
      <c r="K137" s="8" t="inlineStr">
        <is>
          <t>Critical</t>
        </is>
      </c>
      <c r="L137" s="5" t="inlineStr"/>
    </row>
    <row r="138">
      <c r="A138" s="5" t="inlineStr">
        <is>
          <t>TC137</t>
        </is>
      </c>
      <c r="B138" s="5" t="inlineStr">
        <is>
          <t>Driver</t>
        </is>
      </c>
      <c r="C138" s="5" t="inlineStr">
        <is>
          <t>Deliveries</t>
        </is>
      </c>
      <c r="D138" s="5" t="inlineStr">
        <is>
          <t>Accept Delivery</t>
        </is>
      </c>
      <c r="E138" s="5" t="inlineStr">
        <is>
          <t>Accept Delivery Order</t>
        </is>
      </c>
      <c r="F138" s="5" t="inlineStr">
        <is>
          <t>1. View available orders
2. Click Accept
3. Confirm</t>
        </is>
      </c>
      <c r="G138" s="5" t="inlineStr">
        <is>
          <t>Order assigned to driver</t>
        </is>
      </c>
      <c r="H138" s="5">
        <f>IF(I138="","",IF(I138=G138,"PASS","FAIL"))</f>
        <v/>
      </c>
      <c r="I138" s="5" t="inlineStr"/>
      <c r="J138" s="5" t="inlineStr"/>
      <c r="K138" s="8" t="inlineStr">
        <is>
          <t>Critical</t>
        </is>
      </c>
      <c r="L138" s="5" t="inlineStr"/>
    </row>
    <row r="139">
      <c r="A139" s="5" t="inlineStr">
        <is>
          <t>TC138</t>
        </is>
      </c>
      <c r="B139" s="5" t="inlineStr">
        <is>
          <t>Driver</t>
        </is>
      </c>
      <c r="C139" s="5" t="inlineStr">
        <is>
          <t>Deliveries</t>
        </is>
      </c>
      <c r="D139" s="5" t="inlineStr">
        <is>
          <t>View Active</t>
        </is>
      </c>
      <c r="E139" s="5" t="inlineStr">
        <is>
          <t>View Active Deliveries</t>
        </is>
      </c>
      <c r="F139" s="5" t="inlineStr">
        <is>
          <t>1. Go to Active tab
2. View current deliveries</t>
        </is>
      </c>
      <c r="G139" s="5" t="inlineStr">
        <is>
          <t>Accepted orders displayed with pickup details</t>
        </is>
      </c>
      <c r="H139" s="5">
        <f>IF(I139="","",IF(I139=G139,"PASS","FAIL"))</f>
        <v/>
      </c>
      <c r="I139" s="5" t="inlineStr"/>
      <c r="J139" s="5" t="inlineStr"/>
      <c r="K139" s="6" t="inlineStr">
        <is>
          <t>High</t>
        </is>
      </c>
      <c r="L139" s="5" t="inlineStr"/>
    </row>
    <row r="140">
      <c r="A140" s="5" t="inlineStr">
        <is>
          <t>TC139</t>
        </is>
      </c>
      <c r="B140" s="5" t="inlineStr">
        <is>
          <t>Driver</t>
        </is>
      </c>
      <c r="C140" s="5" t="inlineStr">
        <is>
          <t>Deliveries</t>
        </is>
      </c>
      <c r="D140" s="5" t="inlineStr">
        <is>
          <t>Navigate</t>
        </is>
      </c>
      <c r="E140" s="5" t="inlineStr">
        <is>
          <t>Navigate to Pickup</t>
        </is>
      </c>
      <c r="F140" s="5" t="inlineStr">
        <is>
          <t>1. Open active delivery
2. Click Navigate to Restaurant
3. Open maps</t>
        </is>
      </c>
      <c r="G140" s="5" t="inlineStr">
        <is>
          <t>Maps opens with route to restaurant</t>
        </is>
      </c>
      <c r="H140" s="5">
        <f>IF(I140="","",IF(I140=G140,"PASS","FAIL"))</f>
        <v/>
      </c>
      <c r="I140" s="5" t="inlineStr"/>
      <c r="J140" s="5" t="inlineStr"/>
      <c r="K140" s="6" t="inlineStr">
        <is>
          <t>High</t>
        </is>
      </c>
      <c r="L140" s="5" t="inlineStr"/>
    </row>
    <row r="141">
      <c r="A141" s="5" t="inlineStr">
        <is>
          <t>TC140</t>
        </is>
      </c>
      <c r="B141" s="5" t="inlineStr">
        <is>
          <t>Driver</t>
        </is>
      </c>
      <c r="C141" s="5" t="inlineStr">
        <is>
          <t>Deliveries</t>
        </is>
      </c>
      <c r="D141" s="5" t="inlineStr">
        <is>
          <t>Mark Picked Up</t>
        </is>
      </c>
      <c r="E141" s="5" t="inlineStr">
        <is>
          <t>Mark Order as Picked Up</t>
        </is>
      </c>
      <c r="F141" s="5" t="inlineStr">
        <is>
          <t>1. Arrive at restaurant
2. Pick up order
3. Click Picked Up</t>
        </is>
      </c>
      <c r="G141" s="5" t="inlineStr">
        <is>
          <t>Status updated, customer notified</t>
        </is>
      </c>
      <c r="H141" s="5">
        <f>IF(I141="","",IF(I141=G141,"PASS","FAIL"))</f>
        <v/>
      </c>
      <c r="I141" s="5" t="inlineStr"/>
      <c r="J141" s="5" t="inlineStr"/>
      <c r="K141" s="8" t="inlineStr">
        <is>
          <t>Critical</t>
        </is>
      </c>
      <c r="L141" s="5" t="inlineStr"/>
    </row>
    <row r="142">
      <c r="A142" s="5" t="inlineStr">
        <is>
          <t>TC141</t>
        </is>
      </c>
      <c r="B142" s="5" t="inlineStr">
        <is>
          <t>Driver</t>
        </is>
      </c>
      <c r="C142" s="5" t="inlineStr">
        <is>
          <t>Deliveries</t>
        </is>
      </c>
      <c r="D142" s="5" t="inlineStr">
        <is>
          <t>Navigate Delivery</t>
        </is>
      </c>
      <c r="E142" s="5" t="inlineStr">
        <is>
          <t>Navigate to Customer</t>
        </is>
      </c>
      <c r="F142" s="5" t="inlineStr">
        <is>
          <t>1. Click Navigate to Customer
2. Open maps</t>
        </is>
      </c>
      <c r="G142" s="5" t="inlineStr">
        <is>
          <t>Maps opens with route to customer</t>
        </is>
      </c>
      <c r="H142" s="5">
        <f>IF(I142="","",IF(I142=G142,"PASS","FAIL"))</f>
        <v/>
      </c>
      <c r="I142" s="5" t="inlineStr"/>
      <c r="J142" s="5" t="inlineStr"/>
      <c r="K142" s="6" t="inlineStr">
        <is>
          <t>High</t>
        </is>
      </c>
      <c r="L142" s="5" t="inlineStr"/>
    </row>
    <row r="143">
      <c r="A143" s="5" t="inlineStr">
        <is>
          <t>TC142</t>
        </is>
      </c>
      <c r="B143" s="5" t="inlineStr">
        <is>
          <t>Driver</t>
        </is>
      </c>
      <c r="C143" s="5" t="inlineStr">
        <is>
          <t>Deliveries</t>
        </is>
      </c>
      <c r="D143" s="5" t="inlineStr">
        <is>
          <t>Mark Delivered</t>
        </is>
      </c>
      <c r="E143" s="5" t="inlineStr">
        <is>
          <t>Mark Order as Delivered</t>
        </is>
      </c>
      <c r="F143" s="5" t="inlineStr">
        <is>
          <t>1. Arrive at customer
2. Deliver order
3. Click Delivered
4. Optional: Photo</t>
        </is>
      </c>
      <c r="G143" s="5" t="inlineStr">
        <is>
          <t>Status updated, delivery complete</t>
        </is>
      </c>
      <c r="H143" s="5">
        <f>IF(I143="","",IF(I143=G143,"PASS","FAIL"))</f>
        <v/>
      </c>
      <c r="I143" s="5" t="inlineStr"/>
      <c r="J143" s="5" t="inlineStr"/>
      <c r="K143" s="8" t="inlineStr">
        <is>
          <t>Critical</t>
        </is>
      </c>
      <c r="L143" s="5" t="inlineStr"/>
    </row>
    <row r="144">
      <c r="A144" s="5" t="inlineStr">
        <is>
          <t>TC143</t>
        </is>
      </c>
      <c r="B144" s="5" t="inlineStr">
        <is>
          <t>Driver</t>
        </is>
      </c>
      <c r="C144" s="5" t="inlineStr">
        <is>
          <t>Deliveries</t>
        </is>
      </c>
      <c r="D144" s="5" t="inlineStr">
        <is>
          <t>View History</t>
        </is>
      </c>
      <c r="E144" s="5" t="inlineStr">
        <is>
          <t>View Delivery History</t>
        </is>
      </c>
      <c r="F144" s="5" t="inlineStr">
        <is>
          <t>1. Go to History tab
2. View past deliveries</t>
        </is>
      </c>
      <c r="G144" s="5" t="inlineStr">
        <is>
          <t>Completed deliveries with earnings displayed</t>
        </is>
      </c>
      <c r="H144" s="5">
        <f>IF(I144="","",IF(I144=G144,"PASS","FAIL"))</f>
        <v/>
      </c>
      <c r="I144" s="5" t="inlineStr"/>
      <c r="J144" s="5" t="inlineStr"/>
      <c r="K144" s="7" t="inlineStr">
        <is>
          <t>Medium</t>
        </is>
      </c>
      <c r="L144" s="5" t="inlineStr"/>
    </row>
    <row r="145">
      <c r="A145" s="5" t="inlineStr">
        <is>
          <t>TC144</t>
        </is>
      </c>
      <c r="B145" s="5" t="inlineStr">
        <is>
          <t>Driver</t>
        </is>
      </c>
      <c r="C145" s="5" t="inlineStr">
        <is>
          <t>Deliveries</t>
        </is>
      </c>
      <c r="D145" s="5" t="inlineStr">
        <is>
          <t>Delivery Details</t>
        </is>
      </c>
      <c r="E145" s="5" t="inlineStr">
        <is>
          <t>View Delivery Details</t>
        </is>
      </c>
      <c r="F145" s="5" t="inlineStr">
        <is>
          <t>1. Click on any delivery
2. View details</t>
        </is>
      </c>
      <c r="G145" s="5" t="inlineStr">
        <is>
          <t>Full info: restaurant, customer, address, items, earnings</t>
        </is>
      </c>
      <c r="H145" s="5">
        <f>IF(I145="","",IF(I145=G145,"PASS","FAIL"))</f>
        <v/>
      </c>
      <c r="I145" s="5" t="inlineStr"/>
      <c r="J145" s="5" t="inlineStr"/>
      <c r="K145" s="7" t="inlineStr">
        <is>
          <t>Medium</t>
        </is>
      </c>
      <c r="L145" s="5" t="inlineStr"/>
    </row>
    <row r="146">
      <c r="A146" s="5" t="inlineStr">
        <is>
          <t>TC145</t>
        </is>
      </c>
      <c r="B146" s="5" t="inlineStr">
        <is>
          <t>Driver</t>
        </is>
      </c>
      <c r="C146" s="5" t="inlineStr">
        <is>
          <t>Earnings</t>
        </is>
      </c>
      <c r="D146" s="5" t="inlineStr">
        <is>
          <t>View</t>
        </is>
      </c>
      <c r="E146" s="5" t="inlineStr">
        <is>
          <t>View Earnings</t>
        </is>
      </c>
      <c r="F146" s="5" t="inlineStr">
        <is>
          <t>1. Go to Earnings page
2. View summary</t>
        </is>
      </c>
      <c r="G146" s="5" t="inlineStr">
        <is>
          <t>Today's earnings, weekly, total displayed</t>
        </is>
      </c>
      <c r="H146" s="5">
        <f>IF(I146="","",IF(I146=G146,"PASS","FAIL"))</f>
        <v/>
      </c>
      <c r="I146" s="5" t="inlineStr"/>
      <c r="J146" s="5" t="inlineStr"/>
      <c r="K146" s="6" t="inlineStr">
        <is>
          <t>High</t>
        </is>
      </c>
      <c r="L146" s="5" t="inlineStr"/>
    </row>
    <row r="147">
      <c r="A147" s="5" t="inlineStr">
        <is>
          <t>TC146</t>
        </is>
      </c>
      <c r="B147" s="5" t="inlineStr">
        <is>
          <t>Driver</t>
        </is>
      </c>
      <c r="C147" s="5" t="inlineStr">
        <is>
          <t>Earnings</t>
        </is>
      </c>
      <c r="D147" s="5" t="inlineStr">
        <is>
          <t>History</t>
        </is>
      </c>
      <c r="E147" s="5" t="inlineStr">
        <is>
          <t>View Earnings History</t>
        </is>
      </c>
      <c r="F147" s="5" t="inlineStr">
        <is>
          <t>1. View earnings breakdown
2. Check per-delivery earnings</t>
        </is>
      </c>
      <c r="G147" s="5" t="inlineStr">
        <is>
          <t>Accurate earnings history</t>
        </is>
      </c>
      <c r="H147" s="5">
        <f>IF(I147="","",IF(I147=G147,"PASS","FAIL"))</f>
        <v/>
      </c>
      <c r="I147" s="5" t="inlineStr"/>
      <c r="J147" s="5" t="inlineStr"/>
      <c r="K147" s="7" t="inlineStr">
        <is>
          <t>Medium</t>
        </is>
      </c>
      <c r="L147" s="5" t="inlineStr"/>
    </row>
    <row r="148">
      <c r="A148" s="5" t="inlineStr">
        <is>
          <t>TC147</t>
        </is>
      </c>
      <c r="B148" s="5" t="inlineStr">
        <is>
          <t>Driver</t>
        </is>
      </c>
      <c r="C148" s="5" t="inlineStr">
        <is>
          <t>Earnings</t>
        </is>
      </c>
      <c r="D148" s="5" t="inlineStr">
        <is>
          <t>Payout</t>
        </is>
      </c>
      <c r="E148" s="5" t="inlineStr">
        <is>
          <t>View Payout Status</t>
        </is>
      </c>
      <c r="F148" s="5" t="inlineStr">
        <is>
          <t>1. Check payout section
2. View pending/completed payouts</t>
        </is>
      </c>
      <c r="G148" s="5" t="inlineStr">
        <is>
          <t>Payout status displayed</t>
        </is>
      </c>
      <c r="H148" s="5">
        <f>IF(I148="","",IF(I148=G148,"PASS","FAIL"))</f>
        <v/>
      </c>
      <c r="I148" s="5" t="inlineStr"/>
      <c r="J148" s="5" t="inlineStr"/>
      <c r="K148" s="7" t="inlineStr">
        <is>
          <t>Medium</t>
        </is>
      </c>
      <c r="L148" s="5" t="inlineStr"/>
    </row>
    <row r="149">
      <c r="A149" s="5" t="inlineStr">
        <is>
          <t>TC148</t>
        </is>
      </c>
      <c r="B149" s="5" t="inlineStr">
        <is>
          <t>Driver</t>
        </is>
      </c>
      <c r="C149" s="5" t="inlineStr">
        <is>
          <t>Profile</t>
        </is>
      </c>
      <c r="D149" s="5" t="inlineStr">
        <is>
          <t>View</t>
        </is>
      </c>
      <c r="E149" s="5" t="inlineStr">
        <is>
          <t>View Driver Profile</t>
        </is>
      </c>
      <c r="F149" s="5" t="inlineStr">
        <is>
          <t>1. Go to Profile
2. View info</t>
        </is>
      </c>
      <c r="G149" s="5" t="inlineStr">
        <is>
          <t>Driver details, vehicle info, ratings displayed</t>
        </is>
      </c>
      <c r="H149" s="5">
        <f>IF(I149="","",IF(I149=G149,"PASS","FAIL"))</f>
        <v/>
      </c>
      <c r="I149" s="5" t="inlineStr"/>
      <c r="J149" s="5" t="inlineStr"/>
      <c r="K149" s="7" t="inlineStr">
        <is>
          <t>Medium</t>
        </is>
      </c>
      <c r="L149" s="5" t="inlineStr"/>
    </row>
    <row r="150">
      <c r="A150" s="5" t="inlineStr">
        <is>
          <t>TC149</t>
        </is>
      </c>
      <c r="B150" s="5" t="inlineStr">
        <is>
          <t>Driver</t>
        </is>
      </c>
      <c r="C150" s="5" t="inlineStr">
        <is>
          <t>Profile</t>
        </is>
      </c>
      <c r="D150" s="5" t="inlineStr">
        <is>
          <t>Edit</t>
        </is>
      </c>
      <c r="E150" s="5" t="inlineStr">
        <is>
          <t>Edit Profile</t>
        </is>
      </c>
      <c r="F150" s="5" t="inlineStr">
        <is>
          <t>1. Click Edit
2. Update info
3. Save</t>
        </is>
      </c>
      <c r="G150" s="5" t="inlineStr">
        <is>
          <t>Profile updated</t>
        </is>
      </c>
      <c r="H150" s="5">
        <f>IF(I150="","",IF(I150=G150,"PASS","FAIL"))</f>
        <v/>
      </c>
      <c r="I150" s="5" t="inlineStr"/>
      <c r="J150" s="5" t="inlineStr"/>
      <c r="K150" s="7" t="inlineStr">
        <is>
          <t>Medium</t>
        </is>
      </c>
      <c r="L150" s="5" t="inlineStr"/>
    </row>
    <row r="151">
      <c r="A151" s="5" t="inlineStr">
        <is>
          <t>TC150</t>
        </is>
      </c>
      <c r="B151" s="5" t="inlineStr">
        <is>
          <t>Driver</t>
        </is>
      </c>
      <c r="C151" s="5" t="inlineStr">
        <is>
          <t>Profile</t>
        </is>
      </c>
      <c r="D151" s="5" t="inlineStr">
        <is>
          <t>Update Vehicle</t>
        </is>
      </c>
      <c r="E151" s="5" t="inlineStr">
        <is>
          <t>Update Vehicle Information</t>
        </is>
      </c>
      <c r="F151" s="5" t="inlineStr">
        <is>
          <t>1. Edit vehicle details
2. Save</t>
        </is>
      </c>
      <c r="G151" s="5" t="inlineStr">
        <is>
          <t>Vehicle info updated</t>
        </is>
      </c>
      <c r="H151" s="5">
        <f>IF(I151="","",IF(I151=G151,"PASS","FAIL"))</f>
        <v/>
      </c>
      <c r="I151" s="5" t="inlineStr"/>
      <c r="J151" s="5" t="inlineStr"/>
      <c r="K151" s="5" t="inlineStr">
        <is>
          <t>Low</t>
        </is>
      </c>
      <c r="L151" s="5" t="inlineStr"/>
    </row>
    <row r="152">
      <c r="A152" s="5" t="inlineStr">
        <is>
          <t>TC151</t>
        </is>
      </c>
      <c r="B152" s="5" t="inlineStr">
        <is>
          <t>Driver</t>
        </is>
      </c>
      <c r="C152" s="5" t="inlineStr">
        <is>
          <t>Profile</t>
        </is>
      </c>
      <c r="D152" s="5" t="inlineStr">
        <is>
          <t>Set Status</t>
        </is>
      </c>
      <c r="E152" s="5" t="inlineStr">
        <is>
          <t>Set Driver Status</t>
        </is>
      </c>
      <c r="F152" s="5" t="inlineStr">
        <is>
          <t>1. Toggle Online/Offline
2. Confirm</t>
        </is>
      </c>
      <c r="G152" s="5" t="inlineStr">
        <is>
          <t>Status updated, affects order availability</t>
        </is>
      </c>
      <c r="H152" s="5">
        <f>IF(I152="","",IF(I152=G152,"PASS","FAIL"))</f>
        <v/>
      </c>
      <c r="I152" s="5" t="inlineStr"/>
      <c r="J152" s="5" t="inlineStr"/>
      <c r="K152" s="6" t="inlineStr">
        <is>
          <t>High</t>
        </is>
      </c>
      <c r="L152" s="5" t="inlineStr"/>
    </row>
    <row r="153">
      <c r="A153" s="5" t="inlineStr">
        <is>
          <t>TC152</t>
        </is>
      </c>
      <c r="B153" s="5" t="inlineStr">
        <is>
          <t>Driver</t>
        </is>
      </c>
      <c r="C153" s="5" t="inlineStr">
        <is>
          <t>Profile</t>
        </is>
      </c>
      <c r="D153" s="5" t="inlineStr">
        <is>
          <t>Bank Info</t>
        </is>
      </c>
      <c r="E153" s="5" t="inlineStr">
        <is>
          <t>Update Bank Details</t>
        </is>
      </c>
      <c r="F153" s="5" t="inlineStr">
        <is>
          <t>1. Edit bank info
2. Save</t>
        </is>
      </c>
      <c r="G153" s="5" t="inlineStr">
        <is>
          <t>Bank details updated for payouts</t>
        </is>
      </c>
      <c r="H153" s="5">
        <f>IF(I153="","",IF(I153=G153,"PASS","FAIL"))</f>
        <v/>
      </c>
      <c r="I153" s="5" t="inlineStr"/>
      <c r="J153" s="5" t="inlineStr"/>
      <c r="K153" s="6" t="inlineStr">
        <is>
          <t>High</t>
        </is>
      </c>
      <c r="L153" s="5" t="inlineStr"/>
    </row>
    <row r="154">
      <c r="A154" s="5" t="inlineStr">
        <is>
          <t>TC153</t>
        </is>
      </c>
      <c r="B154" s="5" t="inlineStr">
        <is>
          <t>System</t>
        </is>
      </c>
      <c r="C154" s="5" t="inlineStr">
        <is>
          <t>Notifications</t>
        </is>
      </c>
      <c r="D154" s="5" t="inlineStr">
        <is>
          <t>Email</t>
        </is>
      </c>
      <c r="E154" s="5" t="inlineStr">
        <is>
          <t>Email Notifications Sent</t>
        </is>
      </c>
      <c r="F154" s="5" t="inlineStr">
        <is>
          <t>1. Trigger events (order, signup, etc.)
2. Check email delivery</t>
        </is>
      </c>
      <c r="G154" s="5" t="inlineStr">
        <is>
          <t>Emails delivered correctly</t>
        </is>
      </c>
      <c r="H154" s="5">
        <f>IF(I154="","",IF(I154=G154,"PASS","FAIL"))</f>
        <v/>
      </c>
      <c r="I154" s="5" t="inlineStr"/>
      <c r="J154" s="5" t="inlineStr"/>
      <c r="K154" s="7" t="inlineStr">
        <is>
          <t>Medium</t>
        </is>
      </c>
      <c r="L154" s="5" t="inlineStr"/>
    </row>
    <row r="155">
      <c r="A155" s="5" t="inlineStr">
        <is>
          <t>TC154</t>
        </is>
      </c>
      <c r="B155" s="5" t="inlineStr">
        <is>
          <t>System</t>
        </is>
      </c>
      <c r="C155" s="5" t="inlineStr">
        <is>
          <t>Notifications</t>
        </is>
      </c>
      <c r="D155" s="5" t="inlineStr">
        <is>
          <t>WhatsApp</t>
        </is>
      </c>
      <c r="E155" s="5" t="inlineStr">
        <is>
          <t>WhatsApp Notifications Sent</t>
        </is>
      </c>
      <c r="F155" s="5" t="inlineStr">
        <is>
          <t>1. Trigger WhatsApp events
2. Verify delivery</t>
        </is>
      </c>
      <c r="G155" s="5" t="inlineStr">
        <is>
          <t>WhatsApp messages delivered</t>
        </is>
      </c>
      <c r="H155" s="5">
        <f>IF(I155="","",IF(I155=G155,"PASS","FAIL"))</f>
        <v/>
      </c>
      <c r="I155" s="5" t="inlineStr"/>
      <c r="J155" s="5" t="inlineStr"/>
      <c r="K155" s="6" t="inlineStr">
        <is>
          <t>High</t>
        </is>
      </c>
      <c r="L155" s="5" t="inlineStr"/>
    </row>
    <row r="156">
      <c r="A156" s="5" t="inlineStr">
        <is>
          <t>TC155</t>
        </is>
      </c>
      <c r="B156" s="5" t="inlineStr">
        <is>
          <t>System</t>
        </is>
      </c>
      <c r="C156" s="5" t="inlineStr">
        <is>
          <t>Notifications</t>
        </is>
      </c>
      <c r="D156" s="5" t="inlineStr">
        <is>
          <t>Push</t>
        </is>
      </c>
      <c r="E156" s="5" t="inlineStr">
        <is>
          <t>Push Notifications</t>
        </is>
      </c>
      <c r="F156" s="5" t="inlineStr">
        <is>
          <t>1. Trigger notification
2. Verify browser push</t>
        </is>
      </c>
      <c r="G156" s="5" t="inlineStr">
        <is>
          <t>Push notifications received</t>
        </is>
      </c>
      <c r="H156" s="5">
        <f>IF(I156="","",IF(I156=G156,"PASS","FAIL"))</f>
        <v/>
      </c>
      <c r="I156" s="5" t="inlineStr"/>
      <c r="J156" s="5" t="inlineStr"/>
      <c r="K156" s="5" t="inlineStr">
        <is>
          <t>Low</t>
        </is>
      </c>
      <c r="L156" s="5" t="inlineStr"/>
    </row>
    <row r="157">
      <c r="A157" s="5" t="inlineStr">
        <is>
          <t>TC156</t>
        </is>
      </c>
      <c r="B157" s="5" t="inlineStr">
        <is>
          <t>System</t>
        </is>
      </c>
      <c r="C157" s="5" t="inlineStr">
        <is>
          <t>Payments</t>
        </is>
      </c>
      <c r="D157" s="5" t="inlineStr">
        <is>
          <t>Sadad</t>
        </is>
      </c>
      <c r="E157" s="5" t="inlineStr">
        <is>
          <t>Sadad Payment Integration</t>
        </is>
      </c>
      <c r="F157" s="5" t="inlineStr">
        <is>
          <t>1. Checkout with Sadad
2. Complete payment
3. Verify webhook</t>
        </is>
      </c>
      <c r="G157" s="5" t="inlineStr">
        <is>
          <t>Payment processed, subscription activated</t>
        </is>
      </c>
      <c r="H157" s="5">
        <f>IF(I157="","",IF(I157=G157,"PASS","FAIL"))</f>
        <v/>
      </c>
      <c r="I157" s="5" t="inlineStr"/>
      <c r="J157" s="5" t="inlineStr"/>
      <c r="K157" s="8" t="inlineStr">
        <is>
          <t>Critical</t>
        </is>
      </c>
      <c r="L157" s="5" t="inlineStr"/>
    </row>
    <row r="158">
      <c r="A158" s="5" t="inlineStr">
        <is>
          <t>TC157</t>
        </is>
      </c>
      <c r="B158" s="5" t="inlineStr">
        <is>
          <t>System</t>
        </is>
      </c>
      <c r="C158" s="5" t="inlineStr">
        <is>
          <t>Payments</t>
        </is>
      </c>
      <c r="D158" s="5" t="inlineStr">
        <is>
          <t>Refund</t>
        </is>
      </c>
      <c r="E158" s="5" t="inlineStr">
        <is>
          <t>Refund Processing</t>
        </is>
      </c>
      <c r="F158" s="5" t="inlineStr">
        <is>
          <t>1. Process refund
2. Verify amount returned</t>
        </is>
      </c>
      <c r="G158" s="5" t="inlineStr">
        <is>
          <t>Refund processed correctly</t>
        </is>
      </c>
      <c r="H158" s="5">
        <f>IF(I158="","",IF(I158=G158,"PASS","FAIL"))</f>
        <v/>
      </c>
      <c r="I158" s="5" t="inlineStr"/>
      <c r="J158" s="5" t="inlineStr"/>
      <c r="K158" s="6" t="inlineStr">
        <is>
          <t>High</t>
        </is>
      </c>
      <c r="L158" s="5" t="inlineStr"/>
    </row>
    <row r="159">
      <c r="A159" s="5" t="inlineStr">
        <is>
          <t>TC158</t>
        </is>
      </c>
      <c r="B159" s="5" t="inlineStr">
        <is>
          <t>System</t>
        </is>
      </c>
      <c r="C159" s="5" t="inlineStr">
        <is>
          <t>Security</t>
        </is>
      </c>
      <c r="D159" s="5" t="inlineStr">
        <is>
          <t>RLS</t>
        </is>
      </c>
      <c r="E159" s="5" t="inlineStr">
        <is>
          <t>Row Level Security</t>
        </is>
      </c>
      <c r="F159" s="5" t="inlineStr">
        <is>
          <t>1. Login as different users
2. Try to access unauthorized data</t>
        </is>
      </c>
      <c r="G159" s="5" t="inlineStr">
        <is>
          <t>Access denied for unauthorized data</t>
        </is>
      </c>
      <c r="H159" s="5">
        <f>IF(I159="","",IF(I159=G159,"PASS","FAIL"))</f>
        <v/>
      </c>
      <c r="I159" s="5" t="inlineStr"/>
      <c r="J159" s="5" t="inlineStr"/>
      <c r="K159" s="8" t="inlineStr">
        <is>
          <t>Critical</t>
        </is>
      </c>
      <c r="L159" s="5" t="inlineStr"/>
    </row>
    <row r="160">
      <c r="A160" s="5" t="inlineStr">
        <is>
          <t>TC159</t>
        </is>
      </c>
      <c r="B160" s="5" t="inlineStr">
        <is>
          <t>System</t>
        </is>
      </c>
      <c r="C160" s="5" t="inlineStr">
        <is>
          <t>Security</t>
        </is>
      </c>
      <c r="D160" s="5" t="inlineStr">
        <is>
          <t>Auth</t>
        </is>
      </c>
      <c r="E160" s="5" t="inlineStr">
        <is>
          <t>Authentication Required</t>
        </is>
      </c>
      <c r="F160" s="5" t="inlineStr">
        <is>
          <t>1. Try to access protected routes without login
2. Verify redirect</t>
        </is>
      </c>
      <c r="G160" s="5" t="inlineStr">
        <is>
          <t>Redirected to login page</t>
        </is>
      </c>
      <c r="H160" s="5">
        <f>IF(I160="","",IF(I160=G160,"PASS","FAIL"))</f>
        <v/>
      </c>
      <c r="I160" s="5" t="inlineStr"/>
      <c r="J160" s="5" t="inlineStr"/>
      <c r="K160" s="8" t="inlineStr">
        <is>
          <t>Critical</t>
        </is>
      </c>
      <c r="L160" s="5" t="inlineStr"/>
    </row>
    <row r="161">
      <c r="A161" s="5" t="inlineStr">
        <is>
          <t>TC160</t>
        </is>
      </c>
      <c r="B161" s="5" t="inlineStr">
        <is>
          <t>System</t>
        </is>
      </c>
      <c r="C161" s="5" t="inlineStr">
        <is>
          <t>Performance</t>
        </is>
      </c>
      <c r="D161" s="5" t="inlineStr">
        <is>
          <t>Load Time</t>
        </is>
      </c>
      <c r="E161" s="5" t="inlineStr">
        <is>
          <t>Page Load Performance</t>
        </is>
      </c>
      <c r="F161" s="5" t="inlineStr">
        <is>
          <t>1. Measure load times for key pages
2. Verify under 3 seconds</t>
        </is>
      </c>
      <c r="G161" s="5" t="inlineStr">
        <is>
          <t>All pages load within acceptable time</t>
        </is>
      </c>
      <c r="H161" s="5">
        <f>IF(I161="","",IF(I161=G161,"PASS","FAIL"))</f>
        <v/>
      </c>
      <c r="I161" s="5" t="inlineStr"/>
      <c r="J161" s="5" t="inlineStr"/>
      <c r="K161" s="7" t="inlineStr">
        <is>
          <t>Medium</t>
        </is>
      </c>
      <c r="L161" s="5" t="inlineStr"/>
    </row>
    <row r="162">
      <c r="A162" s="5" t="inlineStr">
        <is>
          <t>TC161</t>
        </is>
      </c>
      <c r="B162" s="5" t="inlineStr">
        <is>
          <t>System</t>
        </is>
      </c>
      <c r="C162" s="5" t="inlineStr">
        <is>
          <t>Mobile</t>
        </is>
      </c>
      <c r="D162" s="5" t="inlineStr">
        <is>
          <t>Responsive</t>
        </is>
      </c>
      <c r="E162" s="5" t="inlineStr">
        <is>
          <t>Mobile Responsiveness</t>
        </is>
      </c>
      <c r="F162" s="5" t="inlineStr">
        <is>
          <t>1. Open site on mobile device
2. Test all features</t>
        </is>
      </c>
      <c r="G162" s="5" t="inlineStr">
        <is>
          <t>All features work on mobile</t>
        </is>
      </c>
      <c r="H162" s="5">
        <f>IF(I162="","",IF(I162=G162,"PASS","FAIL"))</f>
        <v/>
      </c>
      <c r="I162" s="5" t="inlineStr"/>
      <c r="J162" s="5" t="inlineStr"/>
      <c r="K162" s="6" t="inlineStr">
        <is>
          <t>High</t>
        </is>
      </c>
      <c r="L162" s="5" t="inlineStr"/>
    </row>
    <row r="163">
      <c r="A163" s="5" t="inlineStr">
        <is>
          <t>TC162</t>
        </is>
      </c>
      <c r="B163" s="5" t="inlineStr">
        <is>
          <t>System</t>
        </is>
      </c>
      <c r="C163" s="5" t="inlineStr">
        <is>
          <t>Data</t>
        </is>
      </c>
      <c r="D163" s="5" t="inlineStr">
        <is>
          <t>Backup</t>
        </is>
      </c>
      <c r="E163" s="5" t="inlineStr">
        <is>
          <t>Data Backup Verification</t>
        </is>
      </c>
      <c r="F163" s="5" t="inlineStr">
        <is>
          <t>1. Check backup logs
2. Verify recent backups</t>
        </is>
      </c>
      <c r="G163" s="5" t="inlineStr">
        <is>
          <t>Backups running successfully</t>
        </is>
      </c>
      <c r="H163" s="5">
        <f>IF(I163="","",IF(I163=G163,"PASS","FAIL"))</f>
        <v/>
      </c>
      <c r="I163" s="5" t="inlineStr"/>
      <c r="J163" s="5" t="inlineStr"/>
      <c r="K163" s="7" t="inlineStr">
        <is>
          <t>Medium</t>
        </is>
      </c>
      <c r="L163" s="5" t="inlineStr"/>
    </row>
    <row r="164">
      <c r="A164" s="5" t="inlineStr">
        <is>
          <t>TC153</t>
        </is>
      </c>
      <c r="B164" s="5" t="inlineStr">
        <is>
          <t>Partner</t>
        </is>
      </c>
      <c r="C164" s="5" t="inlineStr">
        <is>
          <t>Auth</t>
        </is>
      </c>
      <c r="D164" s="5" t="inlineStr">
        <is>
          <t>Password Reset</t>
        </is>
      </c>
      <c r="E164" s="5" t="inlineStr">
        <is>
          <t>Partner Password Reset Flow</t>
        </is>
      </c>
      <c r="F164" s="5" t="inlineStr">
        <is>
          <t>1. Click Forgot Password on partner login
2. Enter registered email
3. Check email for reset link
4. Click link and set new password
5. Login with new password</t>
        </is>
      </c>
      <c r="G164" s="5" t="inlineStr">
        <is>
          <t>Password reset successful, can login with new credentials</t>
        </is>
      </c>
      <c r="H164" s="5" t="inlineStr"/>
      <c r="I164" s="5" t="inlineStr"/>
      <c r="J164" s="5" t="inlineStr"/>
      <c r="K164" s="6" t="inlineStr">
        <is>
          <t>High</t>
        </is>
      </c>
      <c r="L164" s="5" t="inlineStr"/>
    </row>
    <row r="165">
      <c r="A165" s="5" t="inlineStr">
        <is>
          <t>TC154</t>
        </is>
      </c>
      <c r="B165" s="5" t="inlineStr">
        <is>
          <t>Partner</t>
        </is>
      </c>
      <c r="C165" s="5" t="inlineStr">
        <is>
          <t>Onboarding</t>
        </is>
      </c>
      <c r="D165" s="5" t="inlineStr">
        <is>
          <t>Wizard Step 1</t>
        </is>
      </c>
      <c r="E165" s="5" t="inlineStr">
        <is>
          <t>Complete Onboarding Step 1 - Basic Info</t>
        </is>
      </c>
      <c r="F165" s="5" t="inlineStr">
        <is>
          <t>1. Start partner registration
2. Fill restaurant name
3. Add description
4. Select cuisine type
5. Add dietary tags</t>
        </is>
      </c>
      <c r="G165" s="5" t="inlineStr">
        <is>
          <t>Step 1 saved, can proceed to Step 2</t>
        </is>
      </c>
      <c r="H165" s="5" t="inlineStr"/>
      <c r="I165" s="5" t="inlineStr"/>
      <c r="J165" s="5" t="inlineStr"/>
      <c r="K165" s="6" t="inlineStr">
        <is>
          <t>High</t>
        </is>
      </c>
      <c r="L165" s="5" t="inlineStr"/>
    </row>
    <row r="166">
      <c r="A166" s="5" t="inlineStr">
        <is>
          <t>TC155</t>
        </is>
      </c>
      <c r="B166" s="5" t="inlineStr">
        <is>
          <t>Partner</t>
        </is>
      </c>
      <c r="C166" s="5" t="inlineStr">
        <is>
          <t>Onboarding</t>
        </is>
      </c>
      <c r="D166" s="5" t="inlineStr">
        <is>
          <t>Wizard Step 2</t>
        </is>
      </c>
      <c r="E166" s="5" t="inlineStr">
        <is>
          <t>Complete Onboarding Step 2 - Location</t>
        </is>
      </c>
      <c r="F166" s="5" t="inlineStr">
        <is>
          <t>1. Enter address
2. Pin location on map
3. Add phone number
4. Add email
5. Set operating hours</t>
        </is>
      </c>
      <c r="G166" s="5" t="inlineStr">
        <is>
          <t>Step 2 saved, can proceed to Step 3</t>
        </is>
      </c>
      <c r="H166" s="5" t="inlineStr"/>
      <c r="I166" s="5" t="inlineStr"/>
      <c r="J166" s="5" t="inlineStr"/>
      <c r="K166" s="6" t="inlineStr">
        <is>
          <t>High</t>
        </is>
      </c>
      <c r="L166" s="5" t="inlineStr"/>
    </row>
    <row r="167">
      <c r="A167" s="5" t="inlineStr">
        <is>
          <t>TC156</t>
        </is>
      </c>
      <c r="B167" s="5" t="inlineStr">
        <is>
          <t>Partner</t>
        </is>
      </c>
      <c r="C167" s="5" t="inlineStr">
        <is>
          <t>Onboarding</t>
        </is>
      </c>
      <c r="D167" s="5" t="inlineStr">
        <is>
          <t>Wizard Step 3</t>
        </is>
      </c>
      <c r="E167" s="5" t="inlineStr">
        <is>
          <t>Complete Onboarding Step 3 - Media</t>
        </is>
      </c>
      <c r="F167" s="5" t="inlineStr">
        <is>
          <t>1. Upload logo (required)
2. Upload restaurant photos
3. Verify image preview
4. Check file size limits</t>
        </is>
      </c>
      <c r="G167" s="5" t="inlineStr">
        <is>
          <t>Images uploaded and preview shown</t>
        </is>
      </c>
      <c r="H167" s="5" t="inlineStr"/>
      <c r="I167" s="5" t="inlineStr"/>
      <c r="J167" s="5" t="inlineStr"/>
      <c r="K167" s="6" t="inlineStr">
        <is>
          <t>High</t>
        </is>
      </c>
      <c r="L167" s="5" t="inlineStr"/>
    </row>
    <row r="168">
      <c r="A168" s="5" t="inlineStr">
        <is>
          <t>TC157</t>
        </is>
      </c>
      <c r="B168" s="5" t="inlineStr">
        <is>
          <t>Partner</t>
        </is>
      </c>
      <c r="C168" s="5" t="inlineStr">
        <is>
          <t>Onboarding</t>
        </is>
      </c>
      <c r="D168" s="5" t="inlineStr">
        <is>
          <t>Wizard Step 4</t>
        </is>
      </c>
      <c r="E168" s="5" t="inlineStr">
        <is>
          <t>Complete Onboarding Step 4 - Kitchen Details</t>
        </is>
      </c>
      <c r="F168" s="5" t="inlineStr">
        <is>
          <t>1. Set average prep time
2. Set daily capacity
3. Add bank account info
4. Add bank name and IBAN</t>
        </is>
      </c>
      <c r="G168" s="5" t="inlineStr">
        <is>
          <t>Kitchen details saved, can proceed to Step 5</t>
        </is>
      </c>
      <c r="H168" s="5" t="inlineStr"/>
      <c r="I168" s="5" t="inlineStr"/>
      <c r="J168" s="5" t="inlineStr"/>
      <c r="K168" s="8" t="inlineStr">
        <is>
          <t>Critical</t>
        </is>
      </c>
      <c r="L168" s="5" t="inlineStr"/>
    </row>
    <row r="169">
      <c r="A169" s="5" t="inlineStr">
        <is>
          <t>TC158</t>
        </is>
      </c>
      <c r="B169" s="5" t="inlineStr">
        <is>
          <t>Partner</t>
        </is>
      </c>
      <c r="C169" s="5" t="inlineStr">
        <is>
          <t>Onboarding</t>
        </is>
      </c>
      <c r="D169" s="5" t="inlineStr">
        <is>
          <t>Wizard Step 5</t>
        </is>
      </c>
      <c r="E169" s="5" t="inlineStr">
        <is>
          <t>Complete Onboarding Step 5 - Review &amp; Submit</t>
        </is>
      </c>
      <c r="F169" s="5" t="inlineStr">
        <is>
          <t>1. Review all entered information
2. Check accuracy of details
3. Accept terms and conditions
4. Click Submit</t>
        </is>
      </c>
      <c r="G169" s="5" t="inlineStr">
        <is>
          <t>Application submitted, status shows 'pending_approval'</t>
        </is>
      </c>
      <c r="H169" s="5" t="inlineStr"/>
      <c r="I169" s="5" t="inlineStr"/>
      <c r="J169" s="5" t="inlineStr"/>
      <c r="K169" s="8" t="inlineStr">
        <is>
          <t>Critical</t>
        </is>
      </c>
      <c r="L169" s="5" t="inlineStr"/>
    </row>
    <row r="170">
      <c r="A170" s="5" t="inlineStr">
        <is>
          <t>TC159</t>
        </is>
      </c>
      <c r="B170" s="5" t="inlineStr">
        <is>
          <t>Partner</t>
        </is>
      </c>
      <c r="C170" s="5" t="inlineStr">
        <is>
          <t>Onboarding</t>
        </is>
      </c>
      <c r="D170" s="5" t="inlineStr">
        <is>
          <t>Save Progress</t>
        </is>
      </c>
      <c r="E170" s="5" t="inlineStr">
        <is>
          <t>Save Onboarding Progress</t>
        </is>
      </c>
      <c r="F170" s="5" t="inlineStr">
        <is>
          <t>1. Fill partial information
2. Click Save Progress
3. Logout
4. Login again
5. Continue from where left off</t>
        </is>
      </c>
      <c r="G170" s="5" t="inlineStr">
        <is>
          <t>Progress saved, can resume onboarding</t>
        </is>
      </c>
      <c r="H170" s="5" t="inlineStr"/>
      <c r="I170" s="5" t="inlineStr"/>
      <c r="J170" s="5" t="inlineStr"/>
      <c r="K170" s="7" t="inlineStr">
        <is>
          <t>Medium</t>
        </is>
      </c>
      <c r="L170" s="5" t="inlineStr"/>
    </row>
    <row r="171">
      <c r="A171" s="5" t="inlineStr">
        <is>
          <t>TC160</t>
        </is>
      </c>
      <c r="B171" s="5" t="inlineStr">
        <is>
          <t>Partner</t>
        </is>
      </c>
      <c r="C171" s="5" t="inlineStr">
        <is>
          <t>Dashboard</t>
        </is>
      </c>
      <c r="D171" s="5" t="inlineStr">
        <is>
          <t>Real-time Updates</t>
        </is>
      </c>
      <c r="E171" s="5" t="inlineStr">
        <is>
          <t>Dashboard Real-time Order Updates</t>
        </is>
      </c>
      <c r="F171" s="5" t="inlineStr">
        <is>
          <t>1. Keep dashboard open
2. Have customer place order
3. Verify order appears without refresh
4. Check notification received</t>
        </is>
      </c>
      <c r="G171" s="5" t="inlineStr">
        <is>
          <t>New order appears automatically on dashboard</t>
        </is>
      </c>
      <c r="H171" s="5" t="inlineStr"/>
      <c r="I171" s="5" t="inlineStr"/>
      <c r="J171" s="5" t="inlineStr"/>
      <c r="K171" s="6" t="inlineStr">
        <is>
          <t>High</t>
        </is>
      </c>
      <c r="L171" s="5" t="inlineStr"/>
    </row>
    <row r="172">
      <c r="A172" s="5" t="inlineStr">
        <is>
          <t>TC161</t>
        </is>
      </c>
      <c r="B172" s="5" t="inlineStr">
        <is>
          <t>Partner</t>
        </is>
      </c>
      <c r="C172" s="5" t="inlineStr">
        <is>
          <t>Dashboard</t>
        </is>
      </c>
      <c r="D172" s="5" t="inlineStr">
        <is>
          <t>Performance Chart</t>
        </is>
      </c>
      <c r="E172" s="5" t="inlineStr">
        <is>
          <t>View Performance Charts</t>
        </is>
      </c>
      <c r="F172" s="5" t="inlineStr">
        <is>
          <t>1. On dashboard, scroll to charts
2. View orders chart
3. View earnings chart
4. Hover for detailed values</t>
        </is>
      </c>
      <c r="G172" s="5" t="inlineStr">
        <is>
          <t>Charts display correctly with accurate data</t>
        </is>
      </c>
      <c r="H172" s="5" t="inlineStr"/>
      <c r="I172" s="5" t="inlineStr"/>
      <c r="J172" s="5" t="inlineStr"/>
      <c r="K172" s="5" t="inlineStr">
        <is>
          <t>Low</t>
        </is>
      </c>
      <c r="L172" s="5" t="inlineStr"/>
    </row>
    <row r="173">
      <c r="A173" s="5" t="inlineStr">
        <is>
          <t>TC162</t>
        </is>
      </c>
      <c r="B173" s="5" t="inlineStr">
        <is>
          <t>Partner</t>
        </is>
      </c>
      <c r="C173" s="5" t="inlineStr">
        <is>
          <t>Dashboard</t>
        </is>
      </c>
      <c r="D173" s="5" t="inlineStr">
        <is>
          <t>Recent Orders</t>
        </is>
      </c>
      <c r="E173" s="5" t="inlineStr">
        <is>
          <t>View Recent Orders on Dashboard</t>
        </is>
      </c>
      <c r="F173" s="5" t="inlineStr">
        <is>
          <t>1. Look at Recent Orders section
2. Click View All
3. Verify navigation to Orders page</t>
        </is>
      </c>
      <c r="G173" s="5" t="inlineStr">
        <is>
          <t>Recent orders displayed, click navigates to full orders page</t>
        </is>
      </c>
      <c r="H173" s="5" t="inlineStr"/>
      <c r="I173" s="5" t="inlineStr"/>
      <c r="J173" s="5" t="inlineStr"/>
      <c r="K173" s="7" t="inlineStr">
        <is>
          <t>Medium</t>
        </is>
      </c>
      <c r="L173" s="5" t="inlineStr"/>
    </row>
    <row r="174">
      <c r="A174" s="5" t="inlineStr">
        <is>
          <t>TC163</t>
        </is>
      </c>
      <c r="B174" s="5" t="inlineStr">
        <is>
          <t>Partner</t>
        </is>
      </c>
      <c r="C174" s="5" t="inlineStr">
        <is>
          <t>Dashboard</t>
        </is>
      </c>
      <c r="D174" s="5" t="inlineStr">
        <is>
          <t>Quick Stats</t>
        </is>
      </c>
      <c r="E174" s="5" t="inlineStr">
        <is>
          <t>Dashboard Quick Stats Cards</t>
        </is>
      </c>
      <c r="F174" s="5" t="inlineStr">
        <is>
          <t>1. Verify Today's Orders card
2. Verify Today's Earnings card
3. Verify Weekly Total card
4. Verify Rating card
5. Check all values are accurate</t>
        </is>
      </c>
      <c r="G174" s="5" t="inlineStr">
        <is>
          <t>All stat cards show correct information</t>
        </is>
      </c>
      <c r="H174" s="5" t="inlineStr"/>
      <c r="I174" s="5" t="inlineStr"/>
      <c r="J174" s="5" t="inlineStr"/>
      <c r="K174" s="6" t="inlineStr">
        <is>
          <t>High</t>
        </is>
      </c>
      <c r="L174" s="5" t="inlineStr"/>
    </row>
    <row r="175">
      <c r="A175" s="5" t="inlineStr">
        <is>
          <t>TC164</t>
        </is>
      </c>
      <c r="B175" s="5" t="inlineStr">
        <is>
          <t>Partner</t>
        </is>
      </c>
      <c r="C175" s="5" t="inlineStr">
        <is>
          <t>Orders</t>
        </is>
      </c>
      <c r="D175" s="5" t="inlineStr">
        <is>
          <t>Bulk Actions</t>
        </is>
      </c>
      <c r="E175" s="5" t="inlineStr">
        <is>
          <t>Bulk Order Actions</t>
        </is>
      </c>
      <c r="F175" s="5" t="inlineStr">
        <is>
          <t>1. Select multiple orders
2. Click bulk action
3. Mark all as preparing
4. Verify all updated</t>
        </is>
      </c>
      <c r="G175" s="5" t="inlineStr">
        <is>
          <t>All selected orders updated to new status</t>
        </is>
      </c>
      <c r="H175" s="5" t="inlineStr"/>
      <c r="I175" s="5" t="inlineStr"/>
      <c r="J175" s="5" t="inlineStr"/>
      <c r="K175" s="5" t="inlineStr">
        <is>
          <t>Low</t>
        </is>
      </c>
      <c r="L175" s="5" t="inlineStr"/>
    </row>
    <row r="176">
      <c r="A176" s="5" t="inlineStr">
        <is>
          <t>TC165</t>
        </is>
      </c>
      <c r="B176" s="5" t="inlineStr">
        <is>
          <t>Partner</t>
        </is>
      </c>
      <c r="C176" s="5" t="inlineStr">
        <is>
          <t>Orders</t>
        </is>
      </c>
      <c r="D176" s="5" t="inlineStr">
        <is>
          <t>Filter by Status</t>
        </is>
      </c>
      <c r="E176" s="5" t="inlineStr">
        <is>
          <t>Filter Orders by Status</t>
        </is>
      </c>
      <c r="F176" s="5" t="inlineStr">
        <is>
          <t>1. On orders page
2. Click filter dropdown
3. Select 'Preparing'
4. Verify only preparing orders shown</t>
        </is>
      </c>
      <c r="G176" s="5" t="inlineStr">
        <is>
          <t>Orders filtered by selected status</t>
        </is>
      </c>
      <c r="H176" s="5" t="inlineStr"/>
      <c r="I176" s="5" t="inlineStr"/>
      <c r="J176" s="5" t="inlineStr"/>
      <c r="K176" s="7" t="inlineStr">
        <is>
          <t>Medium</t>
        </is>
      </c>
      <c r="L176" s="5" t="inlineStr"/>
    </row>
    <row r="177">
      <c r="A177" s="5" t="inlineStr">
        <is>
          <t>TC166</t>
        </is>
      </c>
      <c r="B177" s="5" t="inlineStr">
        <is>
          <t>Partner</t>
        </is>
      </c>
      <c r="C177" s="5" t="inlineStr">
        <is>
          <t>Orders</t>
        </is>
      </c>
      <c r="D177" s="5" t="inlineStr">
        <is>
          <t>Filter by Date</t>
        </is>
      </c>
      <c r="E177" s="5" t="inlineStr">
        <is>
          <t>Filter Orders by Date Range</t>
        </is>
      </c>
      <c r="F177" s="5" t="inlineStr">
        <is>
          <t>1. Select date range
2. Apply filter
3. Verify orders within range displayed</t>
        </is>
      </c>
      <c r="G177" s="5" t="inlineStr">
        <is>
          <t>Orders filtered by date range</t>
        </is>
      </c>
      <c r="H177" s="5" t="inlineStr"/>
      <c r="I177" s="5" t="inlineStr"/>
      <c r="J177" s="5" t="inlineStr"/>
      <c r="K177" s="7" t="inlineStr">
        <is>
          <t>Medium</t>
        </is>
      </c>
      <c r="L177" s="5" t="inlineStr"/>
    </row>
    <row r="178">
      <c r="A178" s="5" t="inlineStr">
        <is>
          <t>TC167</t>
        </is>
      </c>
      <c r="B178" s="5" t="inlineStr">
        <is>
          <t>Partner</t>
        </is>
      </c>
      <c r="C178" s="5" t="inlineStr">
        <is>
          <t>Orders</t>
        </is>
      </c>
      <c r="D178" s="5" t="inlineStr">
        <is>
          <t>Search Orders</t>
        </is>
      </c>
      <c r="E178" s="5" t="inlineStr">
        <is>
          <t>Search Orders by Order ID or Customer</t>
        </is>
      </c>
      <c r="F178" s="5" t="inlineStr">
        <is>
          <t>1. Enter order ID in search
2. Press Enter
3. Verify matching order displayed
4. Try searching by customer name</t>
        </is>
      </c>
      <c r="G178" s="5" t="inlineStr">
        <is>
          <t>Search results show matching orders</t>
        </is>
      </c>
      <c r="H178" s="5" t="inlineStr"/>
      <c r="I178" s="5" t="inlineStr"/>
      <c r="J178" s="5" t="inlineStr"/>
      <c r="K178" s="7" t="inlineStr">
        <is>
          <t>Medium</t>
        </is>
      </c>
      <c r="L178" s="5" t="inlineStr"/>
    </row>
    <row r="179">
      <c r="A179" s="5" t="inlineStr">
        <is>
          <t>TC168</t>
        </is>
      </c>
      <c r="B179" s="5" t="inlineStr">
        <is>
          <t>Partner</t>
        </is>
      </c>
      <c r="C179" s="5" t="inlineStr">
        <is>
          <t>Orders</t>
        </is>
      </c>
      <c r="D179" s="5" t="inlineStr">
        <is>
          <t>Order Timeline</t>
        </is>
      </c>
      <c r="E179" s="5" t="inlineStr">
        <is>
          <t>View Order Status Timeline</t>
        </is>
      </c>
      <c r="F179" s="5" t="inlineStr">
        <is>
          <t>1. Open order details
2. View status timeline
3. Check all status changes logged
4. Verify timestamps accurate</t>
        </is>
      </c>
      <c r="G179" s="5" t="inlineStr">
        <is>
          <t>Complete timeline of order status changes shown</t>
        </is>
      </c>
      <c r="H179" s="5" t="inlineStr"/>
      <c r="I179" s="5" t="inlineStr"/>
      <c r="J179" s="5" t="inlineStr"/>
      <c r="K179" s="7" t="inlineStr">
        <is>
          <t>Medium</t>
        </is>
      </c>
      <c r="L179" s="5" t="inlineStr"/>
    </row>
    <row r="180">
      <c r="A180" s="5" t="inlineStr">
        <is>
          <t>TC169</t>
        </is>
      </c>
      <c r="B180" s="5" t="inlineStr">
        <is>
          <t>Partner</t>
        </is>
      </c>
      <c r="C180" s="5" t="inlineStr">
        <is>
          <t>Orders</t>
        </is>
      </c>
      <c r="D180" s="5" t="inlineStr">
        <is>
          <t>Customer Details</t>
        </is>
      </c>
      <c r="E180" s="5" t="inlineStr">
        <is>
          <t>View Customer Details in Order</t>
        </is>
      </c>
      <c r="F180" s="5" t="inlineStr">
        <is>
          <t>1. Open order details
2. View customer section
3. Verify name, phone, address shown
4. Check delivery instructions</t>
        </is>
      </c>
      <c r="G180" s="5" t="inlineStr">
        <is>
          <t>All customer information displayed accurately</t>
        </is>
      </c>
      <c r="H180" s="5" t="inlineStr"/>
      <c r="I180" s="5" t="inlineStr"/>
      <c r="J180" s="5" t="inlineStr"/>
      <c r="K180" s="6" t="inlineStr">
        <is>
          <t>High</t>
        </is>
      </c>
      <c r="L180" s="5" t="inlineStr"/>
    </row>
    <row r="181">
      <c r="A181" s="5" t="inlineStr">
        <is>
          <t>TC170</t>
        </is>
      </c>
      <c r="B181" s="5" t="inlineStr">
        <is>
          <t>Partner</t>
        </is>
      </c>
      <c r="C181" s="5" t="inlineStr">
        <is>
          <t>Orders</t>
        </is>
      </c>
      <c r="D181" s="5" t="inlineStr">
        <is>
          <t>Print Order</t>
        </is>
      </c>
      <c r="E181" s="5" t="inlineStr">
        <is>
          <t>Print Order Ticket</t>
        </is>
      </c>
      <c r="F181" s="5" t="inlineStr">
        <is>
          <t>1. Open order details
2. Click Print button
3. Verify print dialog opens
4. Check ticket format</t>
        </is>
      </c>
      <c r="G181" s="5" t="inlineStr">
        <is>
          <t>Print dialog opens with kitchen-friendly format</t>
        </is>
      </c>
      <c r="H181" s="5" t="inlineStr"/>
      <c r="I181" s="5" t="inlineStr"/>
      <c r="J181" s="5" t="inlineStr"/>
      <c r="K181" s="5" t="inlineStr">
        <is>
          <t>Low</t>
        </is>
      </c>
      <c r="L181" s="5" t="inlineStr"/>
    </row>
    <row r="182">
      <c r="A182" s="5" t="inlineStr">
        <is>
          <t>TC171</t>
        </is>
      </c>
      <c r="B182" s="5" t="inlineStr">
        <is>
          <t>Partner</t>
        </is>
      </c>
      <c r="C182" s="5" t="inlineStr">
        <is>
          <t>Orders</t>
        </is>
      </c>
      <c r="D182" s="5" t="inlineStr">
        <is>
          <t>Order Notifications</t>
        </is>
      </c>
      <c r="E182" s="5" t="inlineStr">
        <is>
          <t>Order Notification Settings</t>
        </is>
      </c>
      <c r="F182" s="5" t="inlineStr">
        <is>
          <t>1. Go to profile
2. Check notification settings
3. Enable/disable order notifications
4. Save settings</t>
        </is>
      </c>
      <c r="G182" s="5" t="inlineStr">
        <is>
          <t>Notification preferences saved and applied</t>
        </is>
      </c>
      <c r="H182" s="5" t="inlineStr"/>
      <c r="I182" s="5" t="inlineStr"/>
      <c r="J182" s="5" t="inlineStr"/>
      <c r="K182" s="5" t="inlineStr">
        <is>
          <t>Low</t>
        </is>
      </c>
      <c r="L182" s="5" t="inlineStr"/>
    </row>
    <row r="183">
      <c r="A183" s="5" t="inlineStr">
        <is>
          <t>TC172</t>
        </is>
      </c>
      <c r="B183" s="5" t="inlineStr">
        <is>
          <t>Partner</t>
        </is>
      </c>
      <c r="C183" s="5" t="inlineStr">
        <is>
          <t>Menu</t>
        </is>
      </c>
      <c r="D183" s="5" t="inlineStr">
        <is>
          <t>Bulk Toggle</t>
        </is>
      </c>
      <c r="E183" s="5" t="inlineStr">
        <is>
          <t>Bulk Toggle Item Availability</t>
        </is>
      </c>
      <c r="F183" s="5" t="inlineStr">
        <is>
          <t>1. Select multiple menu items
2. Click Toggle Availability
3. Verify all items status changed</t>
        </is>
      </c>
      <c r="G183" s="5" t="inlineStr">
        <is>
          <t>All selected items availability toggled</t>
        </is>
      </c>
      <c r="H183" s="5" t="inlineStr"/>
      <c r="I183" s="5" t="inlineStr"/>
      <c r="J183" s="5" t="inlineStr"/>
      <c r="K183" s="5" t="inlineStr">
        <is>
          <t>Low</t>
        </is>
      </c>
      <c r="L183" s="5" t="inlineStr"/>
    </row>
    <row r="184">
      <c r="A184" s="5" t="inlineStr">
        <is>
          <t>TC173</t>
        </is>
      </c>
      <c r="B184" s="5" t="inlineStr">
        <is>
          <t>Partner</t>
        </is>
      </c>
      <c r="C184" s="5" t="inlineStr">
        <is>
          <t>Menu</t>
        </is>
      </c>
      <c r="D184" s="5" t="inlineStr">
        <is>
          <t>Duplicate Item</t>
        </is>
      </c>
      <c r="E184" s="5" t="inlineStr">
        <is>
          <t>Duplicate Menu Item</t>
        </is>
      </c>
      <c r="F184" s="5" t="inlineStr">
        <is>
          <t>1. Find existing item
2. Click Duplicate
3. Modify details
4. Save as new item</t>
        </is>
      </c>
      <c r="G184" s="5" t="inlineStr">
        <is>
          <t>Item duplicated with editable copy</t>
        </is>
      </c>
      <c r="H184" s="5" t="inlineStr"/>
      <c r="I184" s="5" t="inlineStr"/>
      <c r="J184" s="5" t="inlineStr"/>
      <c r="K184" s="5" t="inlineStr">
        <is>
          <t>Low</t>
        </is>
      </c>
      <c r="L184" s="5" t="inlineStr"/>
    </row>
    <row r="185">
      <c r="A185" s="5" t="inlineStr">
        <is>
          <t>TC174</t>
        </is>
      </c>
      <c r="B185" s="5" t="inlineStr">
        <is>
          <t>Partner</t>
        </is>
      </c>
      <c r="C185" s="5" t="inlineStr">
        <is>
          <t>Menu</t>
        </is>
      </c>
      <c r="D185" s="5" t="inlineStr">
        <is>
          <t>Image Crop</t>
        </is>
      </c>
      <c r="E185" s="5" t="inlineStr">
        <is>
          <t>Crop Uploaded Image</t>
        </is>
      </c>
      <c r="F185" s="5" t="inlineStr">
        <is>
          <t>1. Upload meal photo
2. Click crop tool
3. Adjust crop area
4. Save cropped image</t>
        </is>
      </c>
      <c r="G185" s="5" t="inlineStr">
        <is>
          <t>Image cropped and saved correctly</t>
        </is>
      </c>
      <c r="H185" s="5" t="inlineStr"/>
      <c r="I185" s="5" t="inlineStr"/>
      <c r="J185" s="5" t="inlineStr"/>
      <c r="K185" s="5" t="inlineStr">
        <is>
          <t>Low</t>
        </is>
      </c>
      <c r="L185" s="5" t="inlineStr"/>
    </row>
    <row r="186">
      <c r="A186" s="5" t="inlineStr">
        <is>
          <t>TC175</t>
        </is>
      </c>
      <c r="B186" s="5" t="inlineStr">
        <is>
          <t>Partner</t>
        </is>
      </c>
      <c r="C186" s="5" t="inlineStr">
        <is>
          <t>Menu</t>
        </is>
      </c>
      <c r="D186" s="5" t="inlineStr">
        <is>
          <t>Nutrition Calculator</t>
        </is>
      </c>
      <c r="E186" s="5" t="inlineStr">
        <is>
          <t>Use Nutrition Calculator</t>
        </is>
      </c>
      <c r="F186" s="5" t="inlineStr">
        <is>
          <t>1. Add new meal
2. Enter ingredients
3. Use nutrition calculator
4. Verify auto-calculated values</t>
        </is>
      </c>
      <c r="G186" s="5" t="inlineStr">
        <is>
          <t>Nutrition values auto-calculated from ingredients</t>
        </is>
      </c>
      <c r="H186" s="5" t="inlineStr"/>
      <c r="I186" s="5" t="inlineStr"/>
      <c r="J186" s="5" t="inlineStr"/>
      <c r="K186" s="5" t="inlineStr">
        <is>
          <t>Low</t>
        </is>
      </c>
      <c r="L186" s="5" t="inlineStr"/>
    </row>
    <row r="187">
      <c r="A187" s="5" t="inlineStr">
        <is>
          <t>TC176</t>
        </is>
      </c>
      <c r="B187" s="5" t="inlineStr">
        <is>
          <t>Partner</t>
        </is>
      </c>
      <c r="C187" s="5" t="inlineStr">
        <is>
          <t>Menu</t>
        </is>
      </c>
      <c r="D187" s="5" t="inlineStr">
        <is>
          <t>Menu Categories</t>
        </is>
      </c>
      <c r="E187" s="5" t="inlineStr">
        <is>
          <t>Organize Menu by Categories</t>
        </is>
      </c>
      <c r="F187" s="5" t="inlineStr">
        <is>
          <t>1. Create category (e.g., 'Main Course')
2. Assign meals to category
3. View menu by category
4. Reorder categories</t>
        </is>
      </c>
      <c r="G187" s="5" t="inlineStr">
        <is>
          <t>Meals organized by categories</t>
        </is>
      </c>
      <c r="H187" s="5" t="inlineStr"/>
      <c r="I187" s="5" t="inlineStr"/>
      <c r="J187" s="5" t="inlineStr"/>
      <c r="K187" s="5" t="inlineStr">
        <is>
          <t>Low</t>
        </is>
      </c>
      <c r="L187" s="5" t="inlineStr"/>
    </row>
    <row r="188">
      <c r="A188" s="5" t="inlineStr">
        <is>
          <t>TC177</t>
        </is>
      </c>
      <c r="B188" s="5" t="inlineStr">
        <is>
          <t>Partner</t>
        </is>
      </c>
      <c r="C188" s="5" t="inlineStr">
        <is>
          <t>Menu</t>
        </is>
      </c>
      <c r="D188" s="5" t="inlineStr">
        <is>
          <t>Preview Menu</t>
        </is>
      </c>
      <c r="E188" s="5" t="inlineStr">
        <is>
          <t>Preview Menu as Customer Sees It</t>
        </is>
      </c>
      <c r="F188" s="5" t="inlineStr">
        <is>
          <t>1. Click Preview button
2. View menu as customer sees it
3. Verify all items display correctly
4. Check photos and descriptions</t>
        </is>
      </c>
      <c r="G188" s="5" t="inlineStr">
        <is>
          <t>Menu preview matches customer view</t>
        </is>
      </c>
      <c r="H188" s="5" t="inlineStr"/>
      <c r="I188" s="5" t="inlineStr"/>
      <c r="J188" s="5" t="inlineStr"/>
      <c r="K188" s="7" t="inlineStr">
        <is>
          <t>Medium</t>
        </is>
      </c>
      <c r="L188" s="5" t="inlineStr"/>
    </row>
    <row r="189">
      <c r="A189" s="5" t="inlineStr">
        <is>
          <t>TC178</t>
        </is>
      </c>
      <c r="B189" s="5" t="inlineStr">
        <is>
          <t>Partner</t>
        </is>
      </c>
      <c r="C189" s="5" t="inlineStr">
        <is>
          <t>Menu</t>
        </is>
      </c>
      <c r="D189" s="5" t="inlineStr">
        <is>
          <t>Export Menu</t>
        </is>
      </c>
      <c r="E189" s="5" t="inlineStr">
        <is>
          <t>Export Menu Data</t>
        </is>
      </c>
      <c r="F189" s="5" t="inlineStr">
        <is>
          <t>1. Go to menu
2. Click Export
3. Select format (CSV/Excel)
4. Download file</t>
        </is>
      </c>
      <c r="G189" s="5" t="inlineStr">
        <is>
          <t>Menu data exported successfully</t>
        </is>
      </c>
      <c r="H189" s="5" t="inlineStr"/>
      <c r="I189" s="5" t="inlineStr"/>
      <c r="J189" s="5" t="inlineStr"/>
      <c r="K189" s="5" t="inlineStr">
        <is>
          <t>Low</t>
        </is>
      </c>
      <c r="L189" s="5" t="inlineStr"/>
    </row>
    <row r="190">
      <c r="A190" s="5" t="inlineStr">
        <is>
          <t>TC179</t>
        </is>
      </c>
      <c r="B190" s="5" t="inlineStr">
        <is>
          <t>Partner</t>
        </is>
      </c>
      <c r="C190" s="5" t="inlineStr">
        <is>
          <t>Menu</t>
        </is>
      </c>
      <c r="D190" s="5" t="inlineStr">
        <is>
          <t>Import Menu</t>
        </is>
      </c>
      <c r="E190" s="5" t="inlineStr">
        <is>
          <t>Import Menu Items</t>
        </is>
      </c>
      <c r="F190" s="5" t="inlineStr">
        <is>
          <t>1. Prepare import file
2. Click Import
3. Upload file
4. Map fields
5. Complete import</t>
        </is>
      </c>
      <c r="G190" s="5" t="inlineStr">
        <is>
          <t>Menu items imported successfully</t>
        </is>
      </c>
      <c r="H190" s="5" t="inlineStr"/>
      <c r="I190" s="5" t="inlineStr"/>
      <c r="J190" s="5" t="inlineStr"/>
      <c r="K190" s="5" t="inlineStr">
        <is>
          <t>Low</t>
        </is>
      </c>
      <c r="L190" s="5" t="inlineStr"/>
    </row>
    <row r="191">
      <c r="A191" s="5" t="inlineStr">
        <is>
          <t>TC180</t>
        </is>
      </c>
      <c r="B191" s="5" t="inlineStr">
        <is>
          <t>Partner</t>
        </is>
      </c>
      <c r="C191" s="5" t="inlineStr">
        <is>
          <t>Earnings</t>
        </is>
      </c>
      <c r="D191" s="5" t="inlineStr">
        <is>
          <t>Earnings Chart</t>
        </is>
      </c>
      <c r="E191" s="5" t="inlineStr">
        <is>
          <t>View Earnings Chart</t>
        </is>
      </c>
      <c r="F191" s="5" t="inlineStr">
        <is>
          <t>1. Go to earnings page
2. View earnings chart
3. Switch between daily/weekly/monthly views
4. Hover for detailed values</t>
        </is>
      </c>
      <c r="G191" s="5" t="inlineStr">
        <is>
          <t>Chart displays earnings trends accurately</t>
        </is>
      </c>
      <c r="H191" s="5" t="inlineStr"/>
      <c r="I191" s="5" t="inlineStr"/>
      <c r="J191" s="5" t="inlineStr"/>
      <c r="K191" s="5" t="inlineStr">
        <is>
          <t>Low</t>
        </is>
      </c>
      <c r="L191" s="5" t="inlineStr"/>
    </row>
    <row r="192">
      <c r="A192" s="5" t="inlineStr">
        <is>
          <t>TC181</t>
        </is>
      </c>
      <c r="B192" s="5" t="inlineStr">
        <is>
          <t>Partner</t>
        </is>
      </c>
      <c r="C192" s="5" t="inlineStr">
        <is>
          <t>Earnings</t>
        </is>
      </c>
      <c r="D192" s="5" t="inlineStr">
        <is>
          <t>Top Meals</t>
        </is>
      </c>
      <c r="E192" s="5" t="inlineStr">
        <is>
          <t>View Top Performing Meals</t>
        </is>
      </c>
      <c r="F192" s="5" t="inlineStr">
        <is>
          <t>1. Scroll to Top Meals section
2. View best-selling items
3. Check quantities sold
4. View revenue per item</t>
        </is>
      </c>
      <c r="G192" s="5" t="inlineStr">
        <is>
          <t>Top performing meals displayed with stats</t>
        </is>
      </c>
      <c r="H192" s="5" t="inlineStr"/>
      <c r="I192" s="5" t="inlineStr"/>
      <c r="J192" s="5" t="inlineStr"/>
      <c r="K192" s="7" t="inlineStr">
        <is>
          <t>Medium</t>
        </is>
      </c>
      <c r="L192" s="5" t="inlineStr"/>
    </row>
    <row r="193">
      <c r="A193" s="5" t="inlineStr">
        <is>
          <t>TC182</t>
        </is>
      </c>
      <c r="B193" s="5" t="inlineStr">
        <is>
          <t>Partner</t>
        </is>
      </c>
      <c r="C193" s="5" t="inlineStr">
        <is>
          <t>Earnings</t>
        </is>
      </c>
      <c r="D193" s="5" t="inlineStr">
        <is>
          <t>Payout Invoice</t>
        </is>
      </c>
      <c r="E193" s="5" t="inlineStr">
        <is>
          <t>Download Payout Invoice</t>
        </is>
      </c>
      <c r="F193" s="5" t="inlineStr">
        <is>
          <t>1. Go to payout history
2. Click on payout
3. Click Download Invoice
4. Verify PDF contains correct details</t>
        </is>
      </c>
      <c r="G193" s="5" t="inlineStr">
        <is>
          <t>Invoice downloaded with accurate information</t>
        </is>
      </c>
      <c r="H193" s="5" t="inlineStr"/>
      <c r="I193" s="5" t="inlineStr"/>
      <c r="J193" s="5" t="inlineStr"/>
      <c r="K193" s="7" t="inlineStr">
        <is>
          <t>Medium</t>
        </is>
      </c>
      <c r="L193" s="5" t="inlineStr"/>
    </row>
    <row r="194">
      <c r="A194" s="5" t="inlineStr">
        <is>
          <t>TC183</t>
        </is>
      </c>
      <c r="B194" s="5" t="inlineStr">
        <is>
          <t>Partner</t>
        </is>
      </c>
      <c r="C194" s="5" t="inlineStr">
        <is>
          <t>Earnings</t>
        </is>
      </c>
      <c r="D194" s="5" t="inlineStr">
        <is>
          <t>Dispute Payout</t>
        </is>
      </c>
      <c r="E194" s="5" t="inlineStr">
        <is>
          <t>Dispute a Payout</t>
        </is>
      </c>
      <c r="F194" s="5" t="inlineStr">
        <is>
          <t>1. Find payout in history
2. Click Dispute
3. Enter reason
4. Submit dispute
5. Verify confirmation</t>
        </is>
      </c>
      <c r="G194" s="5" t="inlineStr">
        <is>
          <t>Dispute submitted, under review status shown</t>
        </is>
      </c>
      <c r="H194" s="5" t="inlineStr"/>
      <c r="I194" s="5" t="inlineStr"/>
      <c r="J194" s="5" t="inlineStr"/>
      <c r="K194" s="7" t="inlineStr">
        <is>
          <t>Medium</t>
        </is>
      </c>
      <c r="L194" s="5" t="inlineStr"/>
    </row>
    <row r="195">
      <c r="A195" s="5" t="inlineStr">
        <is>
          <t>TC184</t>
        </is>
      </c>
      <c r="B195" s="5" t="inlineStr">
        <is>
          <t>Partner</t>
        </is>
      </c>
      <c r="C195" s="5" t="inlineStr">
        <is>
          <t>Earnings</t>
        </is>
      </c>
      <c r="D195" s="5" t="inlineStr">
        <is>
          <t>Tax Report</t>
        </is>
      </c>
      <c r="E195" s="5" t="inlineStr">
        <is>
          <t>Generate Tax Report</t>
        </is>
      </c>
      <c r="F195" s="5" t="inlineStr">
        <is>
          <t>1. Go to earnings
2. Click Tax Report
3. Select year
4. Generate report
5. Download PDF</t>
        </is>
      </c>
      <c r="G195" s="5" t="inlineStr">
        <is>
          <t>Tax report generated with all earnings data</t>
        </is>
      </c>
      <c r="H195" s="5" t="inlineStr"/>
      <c r="I195" s="5" t="inlineStr"/>
      <c r="J195" s="5" t="inlineStr"/>
      <c r="K195" s="5" t="inlineStr">
        <is>
          <t>Low</t>
        </is>
      </c>
      <c r="L195" s="5" t="inlineStr"/>
    </row>
    <row r="196">
      <c r="A196" s="5" t="inlineStr">
        <is>
          <t>TC185</t>
        </is>
      </c>
      <c r="B196" s="5" t="inlineStr">
        <is>
          <t>Partner</t>
        </is>
      </c>
      <c r="C196" s="5" t="inlineStr">
        <is>
          <t>Earnings</t>
        </is>
      </c>
      <c r="D196" s="5" t="inlineStr">
        <is>
          <t>Compare Periods</t>
        </is>
      </c>
      <c r="E196" s="5" t="inlineStr">
        <is>
          <t>Compare Earnings Periods</t>
        </is>
      </c>
      <c r="F196" s="5" t="inlineStr">
        <is>
          <t>1. Select first period
2. Select comparison period
3. View comparison chart
4. Analyze differences</t>
        </is>
      </c>
      <c r="G196" s="5" t="inlineStr">
        <is>
          <t>Period comparison displayed with growth/decline metrics</t>
        </is>
      </c>
      <c r="H196" s="5" t="inlineStr"/>
      <c r="I196" s="5" t="inlineStr"/>
      <c r="J196" s="5" t="inlineStr"/>
      <c r="K196" s="5" t="inlineStr">
        <is>
          <t>Low</t>
        </is>
      </c>
      <c r="L196" s="5" t="inlineStr"/>
    </row>
    <row r="197">
      <c r="A197" s="5" t="inlineStr">
        <is>
          <t>TC186</t>
        </is>
      </c>
      <c r="B197" s="5" t="inlineStr">
        <is>
          <t>Partner</t>
        </is>
      </c>
      <c r="C197" s="5" t="inlineStr">
        <is>
          <t>Profile</t>
        </is>
      </c>
      <c r="D197" s="5" t="inlineStr">
        <is>
          <t>Change Password</t>
        </is>
      </c>
      <c r="E197" s="5" t="inlineStr">
        <is>
          <t>Change Account Password</t>
        </is>
      </c>
      <c r="F197" s="5" t="inlineStr">
        <is>
          <t>1. Go to profile
2. Click Change Password
3. Enter current password
4. Enter new password
5. Confirm
6. Logout and test new password</t>
        </is>
      </c>
      <c r="G197" s="5" t="inlineStr">
        <is>
          <t>Password changed successfully</t>
        </is>
      </c>
      <c r="H197" s="5" t="inlineStr"/>
      <c r="I197" s="5" t="inlineStr"/>
      <c r="J197" s="5" t="inlineStr"/>
      <c r="K197" s="6" t="inlineStr">
        <is>
          <t>High</t>
        </is>
      </c>
      <c r="L197" s="5" t="inlineStr"/>
    </row>
    <row r="198">
      <c r="A198" s="5" t="inlineStr">
        <is>
          <t>TC187</t>
        </is>
      </c>
      <c r="B198" s="5" t="inlineStr">
        <is>
          <t>Partner</t>
        </is>
      </c>
      <c r="C198" s="5" t="inlineStr">
        <is>
          <t>Profile</t>
        </is>
      </c>
      <c r="D198" s="5" t="inlineStr">
        <is>
          <t>Two-Factor Auth</t>
        </is>
      </c>
      <c r="E198" s="5" t="inlineStr">
        <is>
          <t>Enable Two-Factor Authentication</t>
        </is>
      </c>
      <c r="F198" s="5" t="inlineStr">
        <is>
          <t>1. Go to security settings
2. Enable 2FA
3. Scan QR code
4. Enter verification code
5. Save backup codes</t>
        </is>
      </c>
      <c r="G198" s="5" t="inlineStr">
        <is>
          <t>2FA enabled, backup codes provided</t>
        </is>
      </c>
      <c r="H198" s="5" t="inlineStr"/>
      <c r="I198" s="5" t="inlineStr"/>
      <c r="J198" s="5" t="inlineStr"/>
      <c r="K198" s="5" t="inlineStr">
        <is>
          <t>Low</t>
        </is>
      </c>
      <c r="L198" s="5" t="inlineStr"/>
    </row>
    <row r="199">
      <c r="A199" s="5" t="inlineStr">
        <is>
          <t>TC188</t>
        </is>
      </c>
      <c r="B199" s="5" t="inlineStr">
        <is>
          <t>Partner</t>
        </is>
      </c>
      <c r="C199" s="5" t="inlineStr">
        <is>
          <t>Profile</t>
        </is>
      </c>
      <c r="D199" s="5" t="inlineStr">
        <is>
          <t>Notification Preferences</t>
        </is>
      </c>
      <c r="E199" s="5" t="inlineStr">
        <is>
          <t>Set Notification Preferences</t>
        </is>
      </c>
      <c r="F199" s="5" t="inlineStr">
        <is>
          <t>1. Go to profile
2. Click Notifications
3. Toggle email notifications
4. Toggle WhatsApp notifications
5. Set quiet hours</t>
        </is>
      </c>
      <c r="G199" s="5" t="inlineStr">
        <is>
          <t>Notification preferences saved</t>
        </is>
      </c>
      <c r="H199" s="5" t="inlineStr"/>
      <c r="I199" s="5" t="inlineStr"/>
      <c r="J199" s="5" t="inlineStr"/>
      <c r="K199" s="5" t="inlineStr">
        <is>
          <t>Low</t>
        </is>
      </c>
      <c r="L199" s="5" t="inlineStr"/>
    </row>
    <row r="200">
      <c r="A200" s="5" t="inlineStr">
        <is>
          <t>TC189</t>
        </is>
      </c>
      <c r="B200" s="5" t="inlineStr">
        <is>
          <t>Partner</t>
        </is>
      </c>
      <c r="C200" s="5" t="inlineStr">
        <is>
          <t>Profile</t>
        </is>
      </c>
      <c r="D200" s="5" t="inlineStr">
        <is>
          <t>API Access</t>
        </is>
      </c>
      <c r="E200" s="5" t="inlineStr">
        <is>
          <t>Generate API Key</t>
        </is>
      </c>
      <c r="F200" s="5" t="inlineStr">
        <is>
          <t>1. Go to profile
2. Click API Access
3. Generate new key
4. Copy and save key
5. View API documentation</t>
        </is>
      </c>
      <c r="G200" s="5" t="inlineStr">
        <is>
          <t>API key generated and displayed</t>
        </is>
      </c>
      <c r="H200" s="5" t="inlineStr"/>
      <c r="I200" s="5" t="inlineStr"/>
      <c r="J200" s="5" t="inlineStr"/>
      <c r="K200" s="5" t="inlineStr">
        <is>
          <t>Low</t>
        </is>
      </c>
      <c r="L200" s="5" t="inlineStr"/>
    </row>
    <row r="201">
      <c r="A201" s="5" t="inlineStr">
        <is>
          <t>TC190</t>
        </is>
      </c>
      <c r="B201" s="5" t="inlineStr">
        <is>
          <t>Partner</t>
        </is>
      </c>
      <c r="C201" s="5" t="inlineStr">
        <is>
          <t>Profile</t>
        </is>
      </c>
      <c r="D201" s="5" t="inlineStr">
        <is>
          <t>Business Hours</t>
        </is>
      </c>
      <c r="E201" s="5" t="inlineStr">
        <is>
          <t>Set Special Hours</t>
        </is>
      </c>
      <c r="F201" s="5" t="inlineStr">
        <is>
          <t>1. Go to operating hours
2. Set regular hours
3. Add special hours (holidays)
4. Mark temporary closures
5. Save</t>
        </is>
      </c>
      <c r="G201" s="5" t="inlineStr">
        <is>
          <t>Special hours saved and applied</t>
        </is>
      </c>
      <c r="H201" s="5" t="inlineStr"/>
      <c r="I201" s="5" t="inlineStr"/>
      <c r="J201" s="5" t="inlineStr"/>
      <c r="K201" s="7" t="inlineStr">
        <is>
          <t>Medium</t>
        </is>
      </c>
      <c r="L201" s="5" t="inlineStr"/>
    </row>
    <row r="202">
      <c r="A202" s="5" t="inlineStr">
        <is>
          <t>TC191</t>
        </is>
      </c>
      <c r="B202" s="5" t="inlineStr">
        <is>
          <t>Partner</t>
        </is>
      </c>
      <c r="C202" s="5" t="inlineStr">
        <is>
          <t>Profile</t>
        </is>
      </c>
      <c r="D202" s="5" t="inlineStr">
        <is>
          <t>Delivery Zones</t>
        </is>
      </c>
      <c r="E202" s="5" t="inlineStr">
        <is>
          <t>Set Delivery Zones</t>
        </is>
      </c>
      <c r="F202" s="5" t="inlineStr">
        <is>
          <t>1. Go to delivery settings
2. View map
3. Draw delivery zone
4. Set minimum order
5. Set delivery fee
6. Save</t>
        </is>
      </c>
      <c r="G202" s="5" t="inlineStr">
        <is>
          <t>Delivery zone saved and shown on map</t>
        </is>
      </c>
      <c r="H202" s="5" t="inlineStr"/>
      <c r="I202" s="5" t="inlineStr"/>
      <c r="J202" s="5" t="inlineStr"/>
      <c r="K202" s="5" t="inlineStr">
        <is>
          <t>Low</t>
        </is>
      </c>
      <c r="L202" s="5" t="inlineStr"/>
    </row>
    <row r="203">
      <c r="A203" s="5" t="inlineStr">
        <is>
          <t>TC192</t>
        </is>
      </c>
      <c r="B203" s="5" t="inlineStr">
        <is>
          <t>Partner</t>
        </is>
      </c>
      <c r="C203" s="5" t="inlineStr">
        <is>
          <t>Profile</t>
        </is>
      </c>
      <c r="D203" s="5" t="inlineStr">
        <is>
          <t>Team Members</t>
        </is>
      </c>
      <c r="E203" s="5" t="inlineStr">
        <is>
          <t>Add Team Members</t>
        </is>
      </c>
      <c r="F203" s="5" t="inlineStr">
        <is>
          <t>1. Go to team management
2. Click Add Member
3. Enter email
4. Set role (Admin/Staff)
5. Send invitation</t>
        </is>
      </c>
      <c r="G203" s="5" t="inlineStr">
        <is>
          <t>Invitation sent, member can access with limited permissions</t>
        </is>
      </c>
      <c r="H203" s="5" t="inlineStr"/>
      <c r="I203" s="5" t="inlineStr"/>
      <c r="J203" s="5" t="inlineStr"/>
      <c r="K203" s="5" t="inlineStr">
        <is>
          <t>Low</t>
        </is>
      </c>
      <c r="L203" s="5" t="inlineStr"/>
    </row>
    <row r="204">
      <c r="A204" s="5" t="inlineStr">
        <is>
          <t>TC193</t>
        </is>
      </c>
      <c r="B204" s="5" t="inlineStr">
        <is>
          <t>Partner</t>
        </is>
      </c>
      <c r="C204" s="5" t="inlineStr">
        <is>
          <t>Profile</t>
        </is>
      </c>
      <c r="D204" s="5" t="inlineStr">
        <is>
          <t>Remove Team Member</t>
        </is>
      </c>
      <c r="E204" s="5" t="inlineStr">
        <is>
          <t>Remove Team Member</t>
        </is>
      </c>
      <c r="F204" s="5" t="inlineStr">
        <is>
          <t>1. Go to team management
2. Find member
3. Click Remove
4. Confirm removal</t>
        </is>
      </c>
      <c r="G204" s="5" t="inlineStr">
        <is>
          <t>Member removed, access revoked</t>
        </is>
      </c>
      <c r="H204" s="5" t="inlineStr"/>
      <c r="I204" s="5" t="inlineStr"/>
      <c r="J204" s="5" t="inlineStr"/>
      <c r="K204" s="5" t="inlineStr">
        <is>
          <t>Low</t>
        </is>
      </c>
      <c r="L204" s="5" t="inlineStr"/>
    </row>
    <row r="205">
      <c r="A205" s="5" t="inlineStr">
        <is>
          <t>TC194</t>
        </is>
      </c>
      <c r="B205" s="5" t="inlineStr">
        <is>
          <t>Partner</t>
        </is>
      </c>
      <c r="C205" s="5" t="inlineStr">
        <is>
          <t>Analytics</t>
        </is>
      </c>
      <c r="D205" s="5" t="inlineStr">
        <is>
          <t>View Analytics</t>
        </is>
      </c>
      <c r="E205" s="5" t="inlineStr">
        <is>
          <t>View Business Analytics</t>
        </is>
      </c>
      <c r="F205" s="5" t="inlineStr">
        <is>
          <t>1. Go to Analytics page
2. View order trends
3. View customer insights
4. View peak hours
5. Export analytics report</t>
        </is>
      </c>
      <c r="G205" s="5" t="inlineStr">
        <is>
          <t>Analytics displayed with actionable insights</t>
        </is>
      </c>
      <c r="H205" s="5" t="inlineStr"/>
      <c r="I205" s="5" t="inlineStr"/>
      <c r="J205" s="5" t="inlineStr"/>
      <c r="K205" s="7" t="inlineStr">
        <is>
          <t>Medium</t>
        </is>
      </c>
      <c r="L205" s="5" t="inlineStr"/>
    </row>
    <row r="206">
      <c r="A206" s="5" t="inlineStr">
        <is>
          <t>TC195</t>
        </is>
      </c>
      <c r="B206" s="5" t="inlineStr">
        <is>
          <t>Partner</t>
        </is>
      </c>
      <c r="C206" s="5" t="inlineStr">
        <is>
          <t>Analytics</t>
        </is>
      </c>
      <c r="D206" s="5" t="inlineStr">
        <is>
          <t>Customer Feedback</t>
        </is>
      </c>
      <c r="E206" s="5" t="inlineStr">
        <is>
          <t>View Customer Feedback</t>
        </is>
      </c>
      <c r="F206" s="5" t="inlineStr">
        <is>
          <t>1. Go to Reviews section
2. View all customer reviews
3. Filter by rating
4. Respond to review
5. Mark as resolved</t>
        </is>
      </c>
      <c r="G206" s="5" t="inlineStr">
        <is>
          <t>Reviews displayed, can respond to customers</t>
        </is>
      </c>
      <c r="H206" s="5" t="inlineStr"/>
      <c r="I206" s="5" t="inlineStr"/>
      <c r="J206" s="5" t="inlineStr"/>
      <c r="K206" s="7" t="inlineStr">
        <is>
          <t>Medium</t>
        </is>
      </c>
      <c r="L206" s="5" t="inlineStr"/>
    </row>
    <row r="207">
      <c r="A207" s="5" t="inlineStr">
        <is>
          <t>TC196</t>
        </is>
      </c>
      <c r="B207" s="5" t="inlineStr">
        <is>
          <t>Partner</t>
        </is>
      </c>
      <c r="C207" s="5" t="inlineStr">
        <is>
          <t>Analytics</t>
        </is>
      </c>
      <c r="D207" s="5" t="inlineStr">
        <is>
          <t>Performance Metrics</t>
        </is>
      </c>
      <c r="E207" s="5" t="inlineStr">
        <is>
          <t>View Detailed Performance Metrics</t>
        </is>
      </c>
      <c r="F207" s="5" t="inlineStr">
        <is>
          <t>1. View order fulfillment rate
2. View average prep time
3. View on-time delivery rate
4. Compare with industry average</t>
        </is>
      </c>
      <c r="G207" s="5" t="inlineStr">
        <is>
          <t>All performance metrics displayed</t>
        </is>
      </c>
      <c r="H207" s="5" t="inlineStr"/>
      <c r="I207" s="5" t="inlineStr"/>
      <c r="J207" s="5" t="inlineStr"/>
      <c r="K207" s="7" t="inlineStr">
        <is>
          <t>Medium</t>
        </is>
      </c>
      <c r="L207" s="5" t="inlineStr"/>
    </row>
    <row r="208">
      <c r="A208" s="5" t="inlineStr">
        <is>
          <t>TC197</t>
        </is>
      </c>
      <c r="B208" s="5" t="inlineStr">
        <is>
          <t>Partner</t>
        </is>
      </c>
      <c r="C208" s="5" t="inlineStr">
        <is>
          <t>Support</t>
        </is>
      </c>
      <c r="D208" s="5" t="inlineStr">
        <is>
          <t>Contact Support</t>
        </is>
      </c>
      <c r="E208" s="5" t="inlineStr">
        <is>
          <t>Contact Support via Dashboard</t>
        </is>
      </c>
      <c r="F208" s="5" t="inlineStr">
        <is>
          <t>1. Click Support button
2. Select issue type
3. Describe problem
4. Attach screenshot
5. Submit ticket</t>
        </is>
      </c>
      <c r="G208" s="5" t="inlineStr">
        <is>
          <t>Support ticket created, confirmation shown</t>
        </is>
      </c>
      <c r="H208" s="5" t="inlineStr"/>
      <c r="I208" s="5" t="inlineStr"/>
      <c r="J208" s="5" t="inlineStr"/>
      <c r="K208" s="6" t="inlineStr">
        <is>
          <t>High</t>
        </is>
      </c>
      <c r="L208" s="5" t="inlineStr"/>
    </row>
    <row r="209">
      <c r="A209" s="5" t="inlineStr">
        <is>
          <t>TC198</t>
        </is>
      </c>
      <c r="B209" s="5" t="inlineStr">
        <is>
          <t>Partner</t>
        </is>
      </c>
      <c r="C209" s="5" t="inlineStr">
        <is>
          <t>Support</t>
        </is>
      </c>
      <c r="D209" s="5" t="inlineStr">
        <is>
          <t>View Knowledge Base</t>
        </is>
      </c>
      <c r="E209" s="5" t="inlineStr">
        <is>
          <t>Access Knowledge Base</t>
        </is>
      </c>
      <c r="F209" s="5" t="inlineStr">
        <is>
          <t>1. Click Help
2. Browse articles
3. Search for topic
4. View article</t>
        </is>
      </c>
      <c r="G209" s="5" t="inlineStr">
        <is>
          <t>Knowledge base articles displayed</t>
        </is>
      </c>
      <c r="H209" s="5" t="inlineStr"/>
      <c r="I209" s="5" t="inlineStr"/>
      <c r="J209" s="5" t="inlineStr"/>
      <c r="K209" s="5" t="inlineStr">
        <is>
          <t>Low</t>
        </is>
      </c>
      <c r="L209" s="5" t="inlineStr"/>
    </row>
    <row r="210">
      <c r="A210" s="5" t="inlineStr">
        <is>
          <t>TC199</t>
        </is>
      </c>
      <c r="B210" s="5" t="inlineStr">
        <is>
          <t>Partner</t>
        </is>
      </c>
      <c r="C210" s="5" t="inlineStr">
        <is>
          <t>Support</t>
        </is>
      </c>
      <c r="D210" s="5" t="inlineStr">
        <is>
          <t>Live Chat</t>
        </is>
      </c>
      <c r="E210" s="5" t="inlineStr">
        <is>
          <t>Start Live Chat</t>
        </is>
      </c>
      <c r="F210" s="5" t="inlineStr">
        <is>
          <t>1. Click Chat icon
2. Start conversation
3. Send message
4. Receive response</t>
        </is>
      </c>
      <c r="G210" s="5" t="inlineStr">
        <is>
          <t>Chat connected, messages exchanged</t>
        </is>
      </c>
      <c r="H210" s="5" t="inlineStr"/>
      <c r="I210" s="5" t="inlineStr"/>
      <c r="J210" s="5" t="inlineStr"/>
      <c r="K210" s="7" t="inlineStr">
        <is>
          <t>Medium</t>
        </is>
      </c>
      <c r="L210" s="5" t="inlineStr"/>
    </row>
    <row r="211">
      <c r="A211" s="5" t="inlineStr">
        <is>
          <t>TC153</t>
        </is>
      </c>
      <c r="B211" s="5" t="inlineStr">
        <is>
          <t>Partner</t>
        </is>
      </c>
      <c r="C211" s="5" t="inlineStr">
        <is>
          <t>Auth</t>
        </is>
      </c>
      <c r="D211" s="5" t="inlineStr">
        <is>
          <t>Password Reset</t>
        </is>
      </c>
      <c r="E211" s="5" t="inlineStr">
        <is>
          <t>Partner Password Reset Flow</t>
        </is>
      </c>
      <c r="F211" s="5" t="inlineStr">
        <is>
          <t>1. Click Forgot Password on partner login
2. Enter registered email
3. Check email for reset link
4. Click link and set new password
5. Login with new password</t>
        </is>
      </c>
      <c r="G211" s="5" t="inlineStr">
        <is>
          <t>Password reset successful, can login with new credentials</t>
        </is>
      </c>
      <c r="H211" s="5" t="inlineStr"/>
      <c r="I211" s="5" t="inlineStr"/>
      <c r="J211" s="5" t="inlineStr"/>
      <c r="K211" s="6" t="inlineStr">
        <is>
          <t>High</t>
        </is>
      </c>
      <c r="L211" s="5" t="inlineStr"/>
    </row>
    <row r="212">
      <c r="A212" s="5" t="inlineStr">
        <is>
          <t>TC154</t>
        </is>
      </c>
      <c r="B212" s="5" t="inlineStr">
        <is>
          <t>Partner</t>
        </is>
      </c>
      <c r="C212" s="5" t="inlineStr">
        <is>
          <t>Onboarding</t>
        </is>
      </c>
      <c r="D212" s="5" t="inlineStr">
        <is>
          <t>Wizard Step 1</t>
        </is>
      </c>
      <c r="E212" s="5" t="inlineStr">
        <is>
          <t>Complete Onboarding Step 1 - Basic Info</t>
        </is>
      </c>
      <c r="F212" s="5" t="inlineStr">
        <is>
          <t>1. Start partner registration
2. Fill restaurant name
3. Add description
4. Select cuisine type
5. Add dietary tags</t>
        </is>
      </c>
      <c r="G212" s="5" t="inlineStr">
        <is>
          <t>Step 1 saved, can proceed to Step 2</t>
        </is>
      </c>
      <c r="H212" s="5" t="inlineStr"/>
      <c r="I212" s="5" t="inlineStr"/>
      <c r="J212" s="5" t="inlineStr"/>
      <c r="K212" s="6" t="inlineStr">
        <is>
          <t>High</t>
        </is>
      </c>
      <c r="L212" s="5" t="inlineStr"/>
    </row>
    <row r="213">
      <c r="A213" s="5" t="inlineStr">
        <is>
          <t>TC155</t>
        </is>
      </c>
      <c r="B213" s="5" t="inlineStr">
        <is>
          <t>Partner</t>
        </is>
      </c>
      <c r="C213" s="5" t="inlineStr">
        <is>
          <t>Onboarding</t>
        </is>
      </c>
      <c r="D213" s="5" t="inlineStr">
        <is>
          <t>Wizard Step 2</t>
        </is>
      </c>
      <c r="E213" s="5" t="inlineStr">
        <is>
          <t>Complete Onboarding Step 2 - Location</t>
        </is>
      </c>
      <c r="F213" s="5" t="inlineStr">
        <is>
          <t>1. Enter address
2. Pin location on map
3. Add phone number
4. Add email
5. Set operating hours</t>
        </is>
      </c>
      <c r="G213" s="5" t="inlineStr">
        <is>
          <t>Step 2 saved, can proceed to Step 3</t>
        </is>
      </c>
      <c r="H213" s="5" t="inlineStr"/>
      <c r="I213" s="5" t="inlineStr"/>
      <c r="J213" s="5" t="inlineStr"/>
      <c r="K213" s="6" t="inlineStr">
        <is>
          <t>High</t>
        </is>
      </c>
      <c r="L213" s="5" t="inlineStr"/>
    </row>
    <row r="214">
      <c r="A214" s="5" t="inlineStr">
        <is>
          <t>TC156</t>
        </is>
      </c>
      <c r="B214" s="5" t="inlineStr">
        <is>
          <t>Partner</t>
        </is>
      </c>
      <c r="C214" s="5" t="inlineStr">
        <is>
          <t>Onboarding</t>
        </is>
      </c>
      <c r="D214" s="5" t="inlineStr">
        <is>
          <t>Wizard Step 3</t>
        </is>
      </c>
      <c r="E214" s="5" t="inlineStr">
        <is>
          <t>Complete Onboarding Step 3 - Media</t>
        </is>
      </c>
      <c r="F214" s="5" t="inlineStr">
        <is>
          <t>1. Upload logo (required)
2. Upload restaurant photos
3. Verify image preview
4. Check file size limits</t>
        </is>
      </c>
      <c r="G214" s="5" t="inlineStr">
        <is>
          <t>Images uploaded and preview shown</t>
        </is>
      </c>
      <c r="H214" s="5" t="inlineStr"/>
      <c r="I214" s="5" t="inlineStr"/>
      <c r="J214" s="5" t="inlineStr"/>
      <c r="K214" s="6" t="inlineStr">
        <is>
          <t>High</t>
        </is>
      </c>
      <c r="L214" s="5" t="inlineStr"/>
    </row>
    <row r="215">
      <c r="A215" s="5" t="inlineStr">
        <is>
          <t>TC157</t>
        </is>
      </c>
      <c r="B215" s="5" t="inlineStr">
        <is>
          <t>Partner</t>
        </is>
      </c>
      <c r="C215" s="5" t="inlineStr">
        <is>
          <t>Onboarding</t>
        </is>
      </c>
      <c r="D215" s="5" t="inlineStr">
        <is>
          <t>Wizard Step 4</t>
        </is>
      </c>
      <c r="E215" s="5" t="inlineStr">
        <is>
          <t>Complete Onboarding Step 4 - Kitchen Details</t>
        </is>
      </c>
      <c r="F215" s="5" t="inlineStr">
        <is>
          <t>1. Set average prep time
2. Set daily capacity
3. Add bank account info
4. Add bank name and IBAN</t>
        </is>
      </c>
      <c r="G215" s="5" t="inlineStr">
        <is>
          <t>Kitchen details saved, can proceed to Step 5</t>
        </is>
      </c>
      <c r="H215" s="5" t="inlineStr"/>
      <c r="I215" s="5" t="inlineStr"/>
      <c r="J215" s="5" t="inlineStr"/>
      <c r="K215" s="8" t="inlineStr">
        <is>
          <t>Critical</t>
        </is>
      </c>
      <c r="L215" s="5" t="inlineStr"/>
    </row>
    <row r="216">
      <c r="A216" s="5" t="inlineStr">
        <is>
          <t>TC158</t>
        </is>
      </c>
      <c r="B216" s="5" t="inlineStr">
        <is>
          <t>Partner</t>
        </is>
      </c>
      <c r="C216" s="5" t="inlineStr">
        <is>
          <t>Onboarding</t>
        </is>
      </c>
      <c r="D216" s="5" t="inlineStr">
        <is>
          <t>Wizard Step 5</t>
        </is>
      </c>
      <c r="E216" s="5" t="inlineStr">
        <is>
          <t>Complete Onboarding Step 5 - Review &amp; Submit</t>
        </is>
      </c>
      <c r="F216" s="5" t="inlineStr">
        <is>
          <t>1. Review all entered information
2. Check accuracy of details
3. Accept terms and conditions
4. Click Submit</t>
        </is>
      </c>
      <c r="G216" s="5" t="inlineStr">
        <is>
          <t>Application submitted, status shows 'pending_approval'</t>
        </is>
      </c>
      <c r="H216" s="5" t="inlineStr"/>
      <c r="I216" s="5" t="inlineStr"/>
      <c r="J216" s="5" t="inlineStr"/>
      <c r="K216" s="8" t="inlineStr">
        <is>
          <t>Critical</t>
        </is>
      </c>
      <c r="L216" s="5" t="inlineStr"/>
    </row>
    <row r="217">
      <c r="A217" s="5" t="inlineStr">
        <is>
          <t>TC159</t>
        </is>
      </c>
      <c r="B217" s="5" t="inlineStr">
        <is>
          <t>Partner</t>
        </is>
      </c>
      <c r="C217" s="5" t="inlineStr">
        <is>
          <t>Onboarding</t>
        </is>
      </c>
      <c r="D217" s="5" t="inlineStr">
        <is>
          <t>Save Progress</t>
        </is>
      </c>
      <c r="E217" s="5" t="inlineStr">
        <is>
          <t>Save Onboarding Progress</t>
        </is>
      </c>
      <c r="F217" s="5" t="inlineStr">
        <is>
          <t>1. Fill partial information
2. Click Save Progress
3. Logout
4. Login again
5. Continue from where left off</t>
        </is>
      </c>
      <c r="G217" s="5" t="inlineStr">
        <is>
          <t>Progress saved, can resume onboarding</t>
        </is>
      </c>
      <c r="H217" s="5" t="inlineStr"/>
      <c r="I217" s="5" t="inlineStr"/>
      <c r="J217" s="5" t="inlineStr"/>
      <c r="K217" s="7" t="inlineStr">
        <is>
          <t>Medium</t>
        </is>
      </c>
      <c r="L217" s="5" t="inlineStr"/>
    </row>
    <row r="218">
      <c r="A218" s="5" t="inlineStr">
        <is>
          <t>TC160</t>
        </is>
      </c>
      <c r="B218" s="5" t="inlineStr">
        <is>
          <t>Partner</t>
        </is>
      </c>
      <c r="C218" s="5" t="inlineStr">
        <is>
          <t>Dashboard</t>
        </is>
      </c>
      <c r="D218" s="5" t="inlineStr">
        <is>
          <t>Real-time Updates</t>
        </is>
      </c>
      <c r="E218" s="5" t="inlineStr">
        <is>
          <t>Dashboard Real-time Order Updates</t>
        </is>
      </c>
      <c r="F218" s="5" t="inlineStr">
        <is>
          <t>1. Keep dashboard open
2. Have customer place order
3. Verify order appears without refresh
4. Check notification received</t>
        </is>
      </c>
      <c r="G218" s="5" t="inlineStr">
        <is>
          <t>New order appears automatically on dashboard</t>
        </is>
      </c>
      <c r="H218" s="5" t="inlineStr"/>
      <c r="I218" s="5" t="inlineStr"/>
      <c r="J218" s="5" t="inlineStr"/>
      <c r="K218" s="6" t="inlineStr">
        <is>
          <t>High</t>
        </is>
      </c>
      <c r="L218" s="5" t="inlineStr"/>
    </row>
    <row r="219">
      <c r="A219" s="5" t="inlineStr">
        <is>
          <t>TC161</t>
        </is>
      </c>
      <c r="B219" s="5" t="inlineStr">
        <is>
          <t>Partner</t>
        </is>
      </c>
      <c r="C219" s="5" t="inlineStr">
        <is>
          <t>Dashboard</t>
        </is>
      </c>
      <c r="D219" s="5" t="inlineStr">
        <is>
          <t>Performance Chart</t>
        </is>
      </c>
      <c r="E219" s="5" t="inlineStr">
        <is>
          <t>View Performance Charts</t>
        </is>
      </c>
      <c r="F219" s="5" t="inlineStr">
        <is>
          <t>1. On dashboard, scroll to charts
2. View orders chart
3. View earnings chart
4. Hover for detailed values</t>
        </is>
      </c>
      <c r="G219" s="5" t="inlineStr">
        <is>
          <t>Charts display correctly with accurate data</t>
        </is>
      </c>
      <c r="H219" s="5" t="inlineStr"/>
      <c r="I219" s="5" t="inlineStr"/>
      <c r="J219" s="5" t="inlineStr"/>
      <c r="K219" s="5" t="inlineStr">
        <is>
          <t>Low</t>
        </is>
      </c>
      <c r="L219" s="5" t="inlineStr"/>
    </row>
    <row r="220">
      <c r="A220" s="5" t="inlineStr">
        <is>
          <t>TC162</t>
        </is>
      </c>
      <c r="B220" s="5" t="inlineStr">
        <is>
          <t>Partner</t>
        </is>
      </c>
      <c r="C220" s="5" t="inlineStr">
        <is>
          <t>Dashboard</t>
        </is>
      </c>
      <c r="D220" s="5" t="inlineStr">
        <is>
          <t>Recent Orders</t>
        </is>
      </c>
      <c r="E220" s="5" t="inlineStr">
        <is>
          <t>View Recent Orders on Dashboard</t>
        </is>
      </c>
      <c r="F220" s="5" t="inlineStr">
        <is>
          <t>1. Look at Recent Orders section
2. Click View All
3. Verify navigation to Orders page</t>
        </is>
      </c>
      <c r="G220" s="5" t="inlineStr">
        <is>
          <t>Recent orders displayed, click navigates to full orders page</t>
        </is>
      </c>
      <c r="H220" s="5" t="inlineStr"/>
      <c r="I220" s="5" t="inlineStr"/>
      <c r="J220" s="5" t="inlineStr"/>
      <c r="K220" s="7" t="inlineStr">
        <is>
          <t>Medium</t>
        </is>
      </c>
      <c r="L220" s="5" t="inlineStr"/>
    </row>
    <row r="221">
      <c r="A221" s="5" t="inlineStr">
        <is>
          <t>TC163</t>
        </is>
      </c>
      <c r="B221" s="5" t="inlineStr">
        <is>
          <t>Partner</t>
        </is>
      </c>
      <c r="C221" s="5" t="inlineStr">
        <is>
          <t>Dashboard</t>
        </is>
      </c>
      <c r="D221" s="5" t="inlineStr">
        <is>
          <t>Quick Stats</t>
        </is>
      </c>
      <c r="E221" s="5" t="inlineStr">
        <is>
          <t>Dashboard Quick Stats Cards</t>
        </is>
      </c>
      <c r="F221" s="5" t="inlineStr">
        <is>
          <t>1. Verify Today's Orders card
2. Verify Today's Earnings card
3. Verify Weekly Total card
4. Verify Rating card
5. Check all values are accurate</t>
        </is>
      </c>
      <c r="G221" s="5" t="inlineStr">
        <is>
          <t>All stat cards show correct information</t>
        </is>
      </c>
      <c r="H221" s="5" t="inlineStr"/>
      <c r="I221" s="5" t="inlineStr"/>
      <c r="J221" s="5" t="inlineStr"/>
      <c r="K221" s="6" t="inlineStr">
        <is>
          <t>High</t>
        </is>
      </c>
      <c r="L221" s="5" t="inlineStr"/>
    </row>
    <row r="222">
      <c r="A222" s="5" t="inlineStr">
        <is>
          <t>TC164</t>
        </is>
      </c>
      <c r="B222" s="5" t="inlineStr">
        <is>
          <t>Partner</t>
        </is>
      </c>
      <c r="C222" s="5" t="inlineStr">
        <is>
          <t>Orders</t>
        </is>
      </c>
      <c r="D222" s="5" t="inlineStr">
        <is>
          <t>Bulk Actions</t>
        </is>
      </c>
      <c r="E222" s="5" t="inlineStr">
        <is>
          <t>Bulk Order Actions</t>
        </is>
      </c>
      <c r="F222" s="5" t="inlineStr">
        <is>
          <t>1. Select multiple orders
2. Click bulk action
3. Mark all as preparing
4. Verify all updated</t>
        </is>
      </c>
      <c r="G222" s="5" t="inlineStr">
        <is>
          <t>All selected orders updated to new status</t>
        </is>
      </c>
      <c r="H222" s="5" t="inlineStr"/>
      <c r="I222" s="5" t="inlineStr"/>
      <c r="J222" s="5" t="inlineStr"/>
      <c r="K222" s="5" t="inlineStr">
        <is>
          <t>Low</t>
        </is>
      </c>
      <c r="L222" s="5" t="inlineStr"/>
    </row>
    <row r="223">
      <c r="A223" s="5" t="inlineStr">
        <is>
          <t>TC165</t>
        </is>
      </c>
      <c r="B223" s="5" t="inlineStr">
        <is>
          <t>Partner</t>
        </is>
      </c>
      <c r="C223" s="5" t="inlineStr">
        <is>
          <t>Orders</t>
        </is>
      </c>
      <c r="D223" s="5" t="inlineStr">
        <is>
          <t>Filter by Status</t>
        </is>
      </c>
      <c r="E223" s="5" t="inlineStr">
        <is>
          <t>Filter Orders by Status</t>
        </is>
      </c>
      <c r="F223" s="5" t="inlineStr">
        <is>
          <t>1. On orders page
2. Click filter dropdown
3. Select 'Preparing'
4. Verify only preparing orders shown</t>
        </is>
      </c>
      <c r="G223" s="5" t="inlineStr">
        <is>
          <t>Orders filtered by selected status</t>
        </is>
      </c>
      <c r="H223" s="5" t="inlineStr"/>
      <c r="I223" s="5" t="inlineStr"/>
      <c r="J223" s="5" t="inlineStr"/>
      <c r="K223" s="7" t="inlineStr">
        <is>
          <t>Medium</t>
        </is>
      </c>
      <c r="L223" s="5" t="inlineStr"/>
    </row>
    <row r="224">
      <c r="A224" s="5" t="inlineStr">
        <is>
          <t>TC166</t>
        </is>
      </c>
      <c r="B224" s="5" t="inlineStr">
        <is>
          <t>Partner</t>
        </is>
      </c>
      <c r="C224" s="5" t="inlineStr">
        <is>
          <t>Orders</t>
        </is>
      </c>
      <c r="D224" s="5" t="inlineStr">
        <is>
          <t>Filter by Date</t>
        </is>
      </c>
      <c r="E224" s="5" t="inlineStr">
        <is>
          <t>Filter Orders by Date Range</t>
        </is>
      </c>
      <c r="F224" s="5" t="inlineStr">
        <is>
          <t>1. Select date range
2. Apply filter
3. Verify orders within range displayed</t>
        </is>
      </c>
      <c r="G224" s="5" t="inlineStr">
        <is>
          <t>Orders filtered by date range</t>
        </is>
      </c>
      <c r="H224" s="5" t="inlineStr"/>
      <c r="I224" s="5" t="inlineStr"/>
      <c r="J224" s="5" t="inlineStr"/>
      <c r="K224" s="7" t="inlineStr">
        <is>
          <t>Medium</t>
        </is>
      </c>
      <c r="L224" s="5" t="inlineStr"/>
    </row>
    <row r="225">
      <c r="A225" s="5" t="inlineStr">
        <is>
          <t>TC167</t>
        </is>
      </c>
      <c r="B225" s="5" t="inlineStr">
        <is>
          <t>Partner</t>
        </is>
      </c>
      <c r="C225" s="5" t="inlineStr">
        <is>
          <t>Orders</t>
        </is>
      </c>
      <c r="D225" s="5" t="inlineStr">
        <is>
          <t>Search Orders</t>
        </is>
      </c>
      <c r="E225" s="5" t="inlineStr">
        <is>
          <t>Search Orders by Order ID or Customer</t>
        </is>
      </c>
      <c r="F225" s="5" t="inlineStr">
        <is>
          <t>1. Enter order ID in search
2. Press Enter
3. Verify matching order displayed
4. Try searching by customer name</t>
        </is>
      </c>
      <c r="G225" s="5" t="inlineStr">
        <is>
          <t>Search results show matching orders</t>
        </is>
      </c>
      <c r="H225" s="5" t="inlineStr"/>
      <c r="I225" s="5" t="inlineStr"/>
      <c r="J225" s="5" t="inlineStr"/>
      <c r="K225" s="7" t="inlineStr">
        <is>
          <t>Medium</t>
        </is>
      </c>
      <c r="L225" s="5" t="inlineStr"/>
    </row>
    <row r="226">
      <c r="A226" s="5" t="inlineStr">
        <is>
          <t>TC168</t>
        </is>
      </c>
      <c r="B226" s="5" t="inlineStr">
        <is>
          <t>Partner</t>
        </is>
      </c>
      <c r="C226" s="5" t="inlineStr">
        <is>
          <t>Orders</t>
        </is>
      </c>
      <c r="D226" s="5" t="inlineStr">
        <is>
          <t>Order Timeline</t>
        </is>
      </c>
      <c r="E226" s="5" t="inlineStr">
        <is>
          <t>View Order Status Timeline</t>
        </is>
      </c>
      <c r="F226" s="5" t="inlineStr">
        <is>
          <t>1. Open order details
2. View status timeline
3. Check all status changes logged
4. Verify timestamps accurate</t>
        </is>
      </c>
      <c r="G226" s="5" t="inlineStr">
        <is>
          <t>Complete timeline of order status changes shown</t>
        </is>
      </c>
      <c r="H226" s="5" t="inlineStr"/>
      <c r="I226" s="5" t="inlineStr"/>
      <c r="J226" s="5" t="inlineStr"/>
      <c r="K226" s="7" t="inlineStr">
        <is>
          <t>Medium</t>
        </is>
      </c>
      <c r="L226" s="5" t="inlineStr"/>
    </row>
    <row r="227">
      <c r="A227" s="5" t="inlineStr">
        <is>
          <t>TC169</t>
        </is>
      </c>
      <c r="B227" s="5" t="inlineStr">
        <is>
          <t>Partner</t>
        </is>
      </c>
      <c r="C227" s="5" t="inlineStr">
        <is>
          <t>Orders</t>
        </is>
      </c>
      <c r="D227" s="5" t="inlineStr">
        <is>
          <t>Customer Details</t>
        </is>
      </c>
      <c r="E227" s="5" t="inlineStr">
        <is>
          <t>View Customer Details in Order</t>
        </is>
      </c>
      <c r="F227" s="5" t="inlineStr">
        <is>
          <t>1. Open order details
2. View customer section
3. Verify name, phone, address shown
4. Check delivery instructions</t>
        </is>
      </c>
      <c r="G227" s="5" t="inlineStr">
        <is>
          <t>All customer information displayed accurately</t>
        </is>
      </c>
      <c r="H227" s="5" t="inlineStr"/>
      <c r="I227" s="5" t="inlineStr"/>
      <c r="J227" s="5" t="inlineStr"/>
      <c r="K227" s="6" t="inlineStr">
        <is>
          <t>High</t>
        </is>
      </c>
      <c r="L227" s="5" t="inlineStr"/>
    </row>
    <row r="228">
      <c r="A228" s="5" t="inlineStr">
        <is>
          <t>TC170</t>
        </is>
      </c>
      <c r="B228" s="5" t="inlineStr">
        <is>
          <t>Partner</t>
        </is>
      </c>
      <c r="C228" s="5" t="inlineStr">
        <is>
          <t>Orders</t>
        </is>
      </c>
      <c r="D228" s="5" t="inlineStr">
        <is>
          <t>Print Order</t>
        </is>
      </c>
      <c r="E228" s="5" t="inlineStr">
        <is>
          <t>Print Order Ticket</t>
        </is>
      </c>
      <c r="F228" s="5" t="inlineStr">
        <is>
          <t>1. Open order details
2. Click Print button
3. Verify print dialog opens
4. Check ticket format</t>
        </is>
      </c>
      <c r="G228" s="5" t="inlineStr">
        <is>
          <t>Print dialog opens with kitchen-friendly format</t>
        </is>
      </c>
      <c r="H228" s="5" t="inlineStr"/>
      <c r="I228" s="5" t="inlineStr"/>
      <c r="J228" s="5" t="inlineStr"/>
      <c r="K228" s="5" t="inlineStr">
        <is>
          <t>Low</t>
        </is>
      </c>
      <c r="L228" s="5" t="inlineStr"/>
    </row>
    <row r="229">
      <c r="A229" s="5" t="inlineStr">
        <is>
          <t>TC171</t>
        </is>
      </c>
      <c r="B229" s="5" t="inlineStr">
        <is>
          <t>Partner</t>
        </is>
      </c>
      <c r="C229" s="5" t="inlineStr">
        <is>
          <t>Orders</t>
        </is>
      </c>
      <c r="D229" s="5" t="inlineStr">
        <is>
          <t>Order Notifications</t>
        </is>
      </c>
      <c r="E229" s="5" t="inlineStr">
        <is>
          <t>Order Notification Settings</t>
        </is>
      </c>
      <c r="F229" s="5" t="inlineStr">
        <is>
          <t>1. Go to profile
2. Check notification settings
3. Enable/disable order notifications
4. Save settings</t>
        </is>
      </c>
      <c r="G229" s="5" t="inlineStr">
        <is>
          <t>Notification preferences saved and applied</t>
        </is>
      </c>
      <c r="H229" s="5" t="inlineStr"/>
      <c r="I229" s="5" t="inlineStr"/>
      <c r="J229" s="5" t="inlineStr"/>
      <c r="K229" s="5" t="inlineStr">
        <is>
          <t>Low</t>
        </is>
      </c>
      <c r="L229" s="5" t="inlineStr"/>
    </row>
    <row r="230">
      <c r="A230" s="5" t="inlineStr">
        <is>
          <t>TC172</t>
        </is>
      </c>
      <c r="B230" s="5" t="inlineStr">
        <is>
          <t>Partner</t>
        </is>
      </c>
      <c r="C230" s="5" t="inlineStr">
        <is>
          <t>Menu</t>
        </is>
      </c>
      <c r="D230" s="5" t="inlineStr">
        <is>
          <t>Bulk Toggle</t>
        </is>
      </c>
      <c r="E230" s="5" t="inlineStr">
        <is>
          <t>Bulk Toggle Item Availability</t>
        </is>
      </c>
      <c r="F230" s="5" t="inlineStr">
        <is>
          <t>1. Select multiple menu items
2. Click Toggle Availability
3. Verify all items status changed</t>
        </is>
      </c>
      <c r="G230" s="5" t="inlineStr">
        <is>
          <t>All selected items availability toggled</t>
        </is>
      </c>
      <c r="H230" s="5" t="inlineStr"/>
      <c r="I230" s="5" t="inlineStr"/>
      <c r="J230" s="5" t="inlineStr"/>
      <c r="K230" s="5" t="inlineStr">
        <is>
          <t>Low</t>
        </is>
      </c>
      <c r="L230" s="5" t="inlineStr"/>
    </row>
    <row r="231">
      <c r="A231" s="5" t="inlineStr">
        <is>
          <t>TC173</t>
        </is>
      </c>
      <c r="B231" s="5" t="inlineStr">
        <is>
          <t>Partner</t>
        </is>
      </c>
      <c r="C231" s="5" t="inlineStr">
        <is>
          <t>Menu</t>
        </is>
      </c>
      <c r="D231" s="5" t="inlineStr">
        <is>
          <t>Duplicate Item</t>
        </is>
      </c>
      <c r="E231" s="5" t="inlineStr">
        <is>
          <t>Duplicate Menu Item</t>
        </is>
      </c>
      <c r="F231" s="5" t="inlineStr">
        <is>
          <t>1. Find existing item
2. Click Duplicate
3. Modify details
4. Save as new item</t>
        </is>
      </c>
      <c r="G231" s="5" t="inlineStr">
        <is>
          <t>Item duplicated with editable copy</t>
        </is>
      </c>
      <c r="H231" s="5" t="inlineStr"/>
      <c r="I231" s="5" t="inlineStr"/>
      <c r="J231" s="5" t="inlineStr"/>
      <c r="K231" s="5" t="inlineStr">
        <is>
          <t>Low</t>
        </is>
      </c>
      <c r="L231" s="5" t="inlineStr"/>
    </row>
    <row r="232">
      <c r="A232" s="5" t="inlineStr">
        <is>
          <t>TC174</t>
        </is>
      </c>
      <c r="B232" s="5" t="inlineStr">
        <is>
          <t>Partner</t>
        </is>
      </c>
      <c r="C232" s="5" t="inlineStr">
        <is>
          <t>Menu</t>
        </is>
      </c>
      <c r="D232" s="5" t="inlineStr">
        <is>
          <t>Image Crop</t>
        </is>
      </c>
      <c r="E232" s="5" t="inlineStr">
        <is>
          <t>Crop Uploaded Image</t>
        </is>
      </c>
      <c r="F232" s="5" t="inlineStr">
        <is>
          <t>1. Upload meal photo
2. Click crop tool
3. Adjust crop area
4. Save cropped image</t>
        </is>
      </c>
      <c r="G232" s="5" t="inlineStr">
        <is>
          <t>Image cropped and saved correctly</t>
        </is>
      </c>
      <c r="H232" s="5" t="inlineStr"/>
      <c r="I232" s="5" t="inlineStr"/>
      <c r="J232" s="5" t="inlineStr"/>
      <c r="K232" s="5" t="inlineStr">
        <is>
          <t>Low</t>
        </is>
      </c>
      <c r="L232" s="5" t="inlineStr"/>
    </row>
    <row r="233">
      <c r="A233" s="5" t="inlineStr">
        <is>
          <t>TC175</t>
        </is>
      </c>
      <c r="B233" s="5" t="inlineStr">
        <is>
          <t>Partner</t>
        </is>
      </c>
      <c r="C233" s="5" t="inlineStr">
        <is>
          <t>Menu</t>
        </is>
      </c>
      <c r="D233" s="5" t="inlineStr">
        <is>
          <t>Nutrition Calculator</t>
        </is>
      </c>
      <c r="E233" s="5" t="inlineStr">
        <is>
          <t>Use Nutrition Calculator</t>
        </is>
      </c>
      <c r="F233" s="5" t="inlineStr">
        <is>
          <t>1. Add new meal
2. Enter ingredients
3. Use nutrition calculator
4. Verify auto-calculated values</t>
        </is>
      </c>
      <c r="G233" s="5" t="inlineStr">
        <is>
          <t>Nutrition values auto-calculated from ingredients</t>
        </is>
      </c>
      <c r="H233" s="5" t="inlineStr"/>
      <c r="I233" s="5" t="inlineStr"/>
      <c r="J233" s="5" t="inlineStr"/>
      <c r="K233" s="5" t="inlineStr">
        <is>
          <t>Low</t>
        </is>
      </c>
      <c r="L233" s="5" t="inlineStr"/>
    </row>
    <row r="234">
      <c r="A234" s="5" t="inlineStr">
        <is>
          <t>TC176</t>
        </is>
      </c>
      <c r="B234" s="5" t="inlineStr">
        <is>
          <t>Partner</t>
        </is>
      </c>
      <c r="C234" s="5" t="inlineStr">
        <is>
          <t>Menu</t>
        </is>
      </c>
      <c r="D234" s="5" t="inlineStr">
        <is>
          <t>Menu Categories</t>
        </is>
      </c>
      <c r="E234" s="5" t="inlineStr">
        <is>
          <t>Organize Menu by Categories</t>
        </is>
      </c>
      <c r="F234" s="5" t="inlineStr">
        <is>
          <t>1. Create category (e.g., 'Main Course')
2. Assign meals to category
3. View menu by category
4. Reorder categories</t>
        </is>
      </c>
      <c r="G234" s="5" t="inlineStr">
        <is>
          <t>Meals organized by categories</t>
        </is>
      </c>
      <c r="H234" s="5" t="inlineStr"/>
      <c r="I234" s="5" t="inlineStr"/>
      <c r="J234" s="5" t="inlineStr"/>
      <c r="K234" s="5" t="inlineStr">
        <is>
          <t>Low</t>
        </is>
      </c>
      <c r="L234" s="5" t="inlineStr"/>
    </row>
    <row r="235">
      <c r="A235" s="5" t="inlineStr">
        <is>
          <t>TC177</t>
        </is>
      </c>
      <c r="B235" s="5" t="inlineStr">
        <is>
          <t>Partner</t>
        </is>
      </c>
      <c r="C235" s="5" t="inlineStr">
        <is>
          <t>Menu</t>
        </is>
      </c>
      <c r="D235" s="5" t="inlineStr">
        <is>
          <t>Preview Menu</t>
        </is>
      </c>
      <c r="E235" s="5" t="inlineStr">
        <is>
          <t>Preview Menu as Customer Sees It</t>
        </is>
      </c>
      <c r="F235" s="5" t="inlineStr">
        <is>
          <t>1. Click Preview button
2. View menu as customer sees it
3. Verify all items display correctly
4. Check photos and descriptions</t>
        </is>
      </c>
      <c r="G235" s="5" t="inlineStr">
        <is>
          <t>Menu preview matches customer view</t>
        </is>
      </c>
      <c r="H235" s="5" t="inlineStr"/>
      <c r="I235" s="5" t="inlineStr"/>
      <c r="J235" s="5" t="inlineStr"/>
      <c r="K235" s="7" t="inlineStr">
        <is>
          <t>Medium</t>
        </is>
      </c>
      <c r="L235" s="5" t="inlineStr"/>
    </row>
    <row r="236">
      <c r="A236" s="5" t="inlineStr">
        <is>
          <t>TC178</t>
        </is>
      </c>
      <c r="B236" s="5" t="inlineStr">
        <is>
          <t>Partner</t>
        </is>
      </c>
      <c r="C236" s="5" t="inlineStr">
        <is>
          <t>Menu</t>
        </is>
      </c>
      <c r="D236" s="5" t="inlineStr">
        <is>
          <t>Export Menu</t>
        </is>
      </c>
      <c r="E236" s="5" t="inlineStr">
        <is>
          <t>Export Menu Data</t>
        </is>
      </c>
      <c r="F236" s="5" t="inlineStr">
        <is>
          <t>1. Go to menu
2. Click Export
3. Select format (CSV/Excel)
4. Download file</t>
        </is>
      </c>
      <c r="G236" s="5" t="inlineStr">
        <is>
          <t>Menu data exported successfully</t>
        </is>
      </c>
      <c r="H236" s="5" t="inlineStr"/>
      <c r="I236" s="5" t="inlineStr"/>
      <c r="J236" s="5" t="inlineStr"/>
      <c r="K236" s="5" t="inlineStr">
        <is>
          <t>Low</t>
        </is>
      </c>
      <c r="L236" s="5" t="inlineStr"/>
    </row>
    <row r="237">
      <c r="A237" s="5" t="inlineStr">
        <is>
          <t>TC179</t>
        </is>
      </c>
      <c r="B237" s="5" t="inlineStr">
        <is>
          <t>Partner</t>
        </is>
      </c>
      <c r="C237" s="5" t="inlineStr">
        <is>
          <t>Menu</t>
        </is>
      </c>
      <c r="D237" s="5" t="inlineStr">
        <is>
          <t>Import Menu</t>
        </is>
      </c>
      <c r="E237" s="5" t="inlineStr">
        <is>
          <t>Import Menu Items</t>
        </is>
      </c>
      <c r="F237" s="5" t="inlineStr">
        <is>
          <t>1. Prepare import file
2. Click Import
3. Upload file
4. Map fields
5. Complete import</t>
        </is>
      </c>
      <c r="G237" s="5" t="inlineStr">
        <is>
          <t>Menu items imported successfully</t>
        </is>
      </c>
      <c r="H237" s="5" t="inlineStr"/>
      <c r="I237" s="5" t="inlineStr"/>
      <c r="J237" s="5" t="inlineStr"/>
      <c r="K237" s="5" t="inlineStr">
        <is>
          <t>Low</t>
        </is>
      </c>
      <c r="L237" s="5" t="inlineStr"/>
    </row>
    <row r="238">
      <c r="A238" s="5" t="inlineStr">
        <is>
          <t>TC180</t>
        </is>
      </c>
      <c r="B238" s="5" t="inlineStr">
        <is>
          <t>Partner</t>
        </is>
      </c>
      <c r="C238" s="5" t="inlineStr">
        <is>
          <t>Earnings</t>
        </is>
      </c>
      <c r="D238" s="5" t="inlineStr">
        <is>
          <t>Earnings Chart</t>
        </is>
      </c>
      <c r="E238" s="5" t="inlineStr">
        <is>
          <t>View Earnings Chart</t>
        </is>
      </c>
      <c r="F238" s="5" t="inlineStr">
        <is>
          <t>1. Go to earnings page
2. View earnings chart
3. Switch between daily/weekly/monthly views
4. Hover for detailed values</t>
        </is>
      </c>
      <c r="G238" s="5" t="inlineStr">
        <is>
          <t>Chart displays earnings trends accurately</t>
        </is>
      </c>
      <c r="H238" s="5" t="inlineStr"/>
      <c r="I238" s="5" t="inlineStr"/>
      <c r="J238" s="5" t="inlineStr"/>
      <c r="K238" s="5" t="inlineStr">
        <is>
          <t>Low</t>
        </is>
      </c>
      <c r="L238" s="5" t="inlineStr"/>
    </row>
    <row r="239">
      <c r="A239" s="5" t="inlineStr">
        <is>
          <t>TC181</t>
        </is>
      </c>
      <c r="B239" s="5" t="inlineStr">
        <is>
          <t>Partner</t>
        </is>
      </c>
      <c r="C239" s="5" t="inlineStr">
        <is>
          <t>Earnings</t>
        </is>
      </c>
      <c r="D239" s="5" t="inlineStr">
        <is>
          <t>Top Meals</t>
        </is>
      </c>
      <c r="E239" s="5" t="inlineStr">
        <is>
          <t>View Top Performing Meals</t>
        </is>
      </c>
      <c r="F239" s="5" t="inlineStr">
        <is>
          <t>1. Scroll to Top Meals section
2. View best-selling items
3. Check quantities sold
4. View revenue per item</t>
        </is>
      </c>
      <c r="G239" s="5" t="inlineStr">
        <is>
          <t>Top performing meals displayed with stats</t>
        </is>
      </c>
      <c r="H239" s="5" t="inlineStr"/>
      <c r="I239" s="5" t="inlineStr"/>
      <c r="J239" s="5" t="inlineStr"/>
      <c r="K239" s="7" t="inlineStr">
        <is>
          <t>Medium</t>
        </is>
      </c>
      <c r="L239" s="5" t="inlineStr"/>
    </row>
    <row r="240">
      <c r="A240" s="5" t="inlineStr">
        <is>
          <t>TC182</t>
        </is>
      </c>
      <c r="B240" s="5" t="inlineStr">
        <is>
          <t>Partner</t>
        </is>
      </c>
      <c r="C240" s="5" t="inlineStr">
        <is>
          <t>Earnings</t>
        </is>
      </c>
      <c r="D240" s="5" t="inlineStr">
        <is>
          <t>Payout Invoice</t>
        </is>
      </c>
      <c r="E240" s="5" t="inlineStr">
        <is>
          <t>Download Payout Invoice</t>
        </is>
      </c>
      <c r="F240" s="5" t="inlineStr">
        <is>
          <t>1. Go to payout history
2. Click on payout
3. Click Download Invoice
4. Verify PDF contains correct details</t>
        </is>
      </c>
      <c r="G240" s="5" t="inlineStr">
        <is>
          <t>Invoice downloaded with accurate information</t>
        </is>
      </c>
      <c r="H240" s="5" t="inlineStr"/>
      <c r="I240" s="5" t="inlineStr"/>
      <c r="J240" s="5" t="inlineStr"/>
      <c r="K240" s="7" t="inlineStr">
        <is>
          <t>Medium</t>
        </is>
      </c>
      <c r="L240" s="5" t="inlineStr"/>
    </row>
    <row r="241">
      <c r="A241" s="5" t="inlineStr">
        <is>
          <t>TC183</t>
        </is>
      </c>
      <c r="B241" s="5" t="inlineStr">
        <is>
          <t>Partner</t>
        </is>
      </c>
      <c r="C241" s="5" t="inlineStr">
        <is>
          <t>Earnings</t>
        </is>
      </c>
      <c r="D241" s="5" t="inlineStr">
        <is>
          <t>Dispute Payout</t>
        </is>
      </c>
      <c r="E241" s="5" t="inlineStr">
        <is>
          <t>Dispute a Payout</t>
        </is>
      </c>
      <c r="F241" s="5" t="inlineStr">
        <is>
          <t>1. Find payout in history
2. Click Dispute
3. Enter reason
4. Submit dispute
5. Verify confirmation</t>
        </is>
      </c>
      <c r="G241" s="5" t="inlineStr">
        <is>
          <t>Dispute submitted, under review status shown</t>
        </is>
      </c>
      <c r="H241" s="5" t="inlineStr"/>
      <c r="I241" s="5" t="inlineStr"/>
      <c r="J241" s="5" t="inlineStr"/>
      <c r="K241" s="7" t="inlineStr">
        <is>
          <t>Medium</t>
        </is>
      </c>
      <c r="L241" s="5" t="inlineStr"/>
    </row>
    <row r="242">
      <c r="A242" s="5" t="inlineStr">
        <is>
          <t>TC184</t>
        </is>
      </c>
      <c r="B242" s="5" t="inlineStr">
        <is>
          <t>Partner</t>
        </is>
      </c>
      <c r="C242" s="5" t="inlineStr">
        <is>
          <t>Earnings</t>
        </is>
      </c>
      <c r="D242" s="5" t="inlineStr">
        <is>
          <t>Tax Report</t>
        </is>
      </c>
      <c r="E242" s="5" t="inlineStr">
        <is>
          <t>Generate Tax Report</t>
        </is>
      </c>
      <c r="F242" s="5" t="inlineStr">
        <is>
          <t>1. Go to earnings
2. Click Tax Report
3. Select year
4. Generate report
5. Download PDF</t>
        </is>
      </c>
      <c r="G242" s="5" t="inlineStr">
        <is>
          <t>Tax report generated with all earnings data</t>
        </is>
      </c>
      <c r="H242" s="5" t="inlineStr"/>
      <c r="I242" s="5" t="inlineStr"/>
      <c r="J242" s="5" t="inlineStr"/>
      <c r="K242" s="5" t="inlineStr">
        <is>
          <t>Low</t>
        </is>
      </c>
      <c r="L242" s="5" t="inlineStr"/>
    </row>
    <row r="243">
      <c r="A243" s="5" t="inlineStr">
        <is>
          <t>TC185</t>
        </is>
      </c>
      <c r="B243" s="5" t="inlineStr">
        <is>
          <t>Partner</t>
        </is>
      </c>
      <c r="C243" s="5" t="inlineStr">
        <is>
          <t>Earnings</t>
        </is>
      </c>
      <c r="D243" s="5" t="inlineStr">
        <is>
          <t>Compare Periods</t>
        </is>
      </c>
      <c r="E243" s="5" t="inlineStr">
        <is>
          <t>Compare Earnings Periods</t>
        </is>
      </c>
      <c r="F243" s="5" t="inlineStr">
        <is>
          <t>1. Select first period
2. Select comparison period
3. View comparison chart
4. Analyze differences</t>
        </is>
      </c>
      <c r="G243" s="5" t="inlineStr">
        <is>
          <t>Period comparison displayed with growth/decline metrics</t>
        </is>
      </c>
      <c r="H243" s="5" t="inlineStr"/>
      <c r="I243" s="5" t="inlineStr"/>
      <c r="J243" s="5" t="inlineStr"/>
      <c r="K243" s="5" t="inlineStr">
        <is>
          <t>Low</t>
        </is>
      </c>
      <c r="L243" s="5" t="inlineStr"/>
    </row>
    <row r="244">
      <c r="A244" s="5" t="inlineStr">
        <is>
          <t>TC186</t>
        </is>
      </c>
      <c r="B244" s="5" t="inlineStr">
        <is>
          <t>Partner</t>
        </is>
      </c>
      <c r="C244" s="5" t="inlineStr">
        <is>
          <t>Profile</t>
        </is>
      </c>
      <c r="D244" s="5" t="inlineStr">
        <is>
          <t>Change Password</t>
        </is>
      </c>
      <c r="E244" s="5" t="inlineStr">
        <is>
          <t>Change Account Password</t>
        </is>
      </c>
      <c r="F244" s="5" t="inlineStr">
        <is>
          <t>1. Go to profile
2. Click Change Password
3. Enter current password
4. Enter new password
5. Confirm
6. Logout and test new password</t>
        </is>
      </c>
      <c r="G244" s="5" t="inlineStr">
        <is>
          <t>Password changed successfully</t>
        </is>
      </c>
      <c r="H244" s="5" t="inlineStr"/>
      <c r="I244" s="5" t="inlineStr"/>
      <c r="J244" s="5" t="inlineStr"/>
      <c r="K244" s="6" t="inlineStr">
        <is>
          <t>High</t>
        </is>
      </c>
      <c r="L244" s="5" t="inlineStr"/>
    </row>
    <row r="245">
      <c r="A245" s="5" t="inlineStr">
        <is>
          <t>TC187</t>
        </is>
      </c>
      <c r="B245" s="5" t="inlineStr">
        <is>
          <t>Partner</t>
        </is>
      </c>
      <c r="C245" s="5" t="inlineStr">
        <is>
          <t>Profile</t>
        </is>
      </c>
      <c r="D245" s="5" t="inlineStr">
        <is>
          <t>Two-Factor Auth</t>
        </is>
      </c>
      <c r="E245" s="5" t="inlineStr">
        <is>
          <t>Enable Two-Factor Authentication</t>
        </is>
      </c>
      <c r="F245" s="5" t="inlineStr">
        <is>
          <t>1. Go to security settings
2. Enable 2FA
3. Scan QR code
4. Enter verification code
5. Save backup codes</t>
        </is>
      </c>
      <c r="G245" s="5" t="inlineStr">
        <is>
          <t>2FA enabled, backup codes provided</t>
        </is>
      </c>
      <c r="H245" s="5" t="inlineStr"/>
      <c r="I245" s="5" t="inlineStr"/>
      <c r="J245" s="5" t="inlineStr"/>
      <c r="K245" s="5" t="inlineStr">
        <is>
          <t>Low</t>
        </is>
      </c>
      <c r="L245" s="5" t="inlineStr"/>
    </row>
    <row r="246">
      <c r="A246" s="5" t="inlineStr">
        <is>
          <t>TC188</t>
        </is>
      </c>
      <c r="B246" s="5" t="inlineStr">
        <is>
          <t>Partner</t>
        </is>
      </c>
      <c r="C246" s="5" t="inlineStr">
        <is>
          <t>Profile</t>
        </is>
      </c>
      <c r="D246" s="5" t="inlineStr">
        <is>
          <t>Notification Preferences</t>
        </is>
      </c>
      <c r="E246" s="5" t="inlineStr">
        <is>
          <t>Set Notification Preferences</t>
        </is>
      </c>
      <c r="F246" s="5" t="inlineStr">
        <is>
          <t>1. Go to profile
2. Click Notifications
3. Toggle email notifications
4. Toggle WhatsApp notifications
5. Set quiet hours</t>
        </is>
      </c>
      <c r="G246" s="5" t="inlineStr">
        <is>
          <t>Notification preferences saved</t>
        </is>
      </c>
      <c r="H246" s="5" t="inlineStr"/>
      <c r="I246" s="5" t="inlineStr"/>
      <c r="J246" s="5" t="inlineStr"/>
      <c r="K246" s="5" t="inlineStr">
        <is>
          <t>Low</t>
        </is>
      </c>
      <c r="L246" s="5" t="inlineStr"/>
    </row>
    <row r="247">
      <c r="A247" s="5" t="inlineStr">
        <is>
          <t>TC189</t>
        </is>
      </c>
      <c r="B247" s="5" t="inlineStr">
        <is>
          <t>Partner</t>
        </is>
      </c>
      <c r="C247" s="5" t="inlineStr">
        <is>
          <t>Profile</t>
        </is>
      </c>
      <c r="D247" s="5" t="inlineStr">
        <is>
          <t>API Access</t>
        </is>
      </c>
      <c r="E247" s="5" t="inlineStr">
        <is>
          <t>Generate API Key</t>
        </is>
      </c>
      <c r="F247" s="5" t="inlineStr">
        <is>
          <t>1. Go to profile
2. Click API Access
3. Generate new key
4. Copy and save key
5. View API documentation</t>
        </is>
      </c>
      <c r="G247" s="5" t="inlineStr">
        <is>
          <t>API key generated and displayed</t>
        </is>
      </c>
      <c r="H247" s="5" t="inlineStr"/>
      <c r="I247" s="5" t="inlineStr"/>
      <c r="J247" s="5" t="inlineStr"/>
      <c r="K247" s="5" t="inlineStr">
        <is>
          <t>Low</t>
        </is>
      </c>
      <c r="L247" s="5" t="inlineStr"/>
    </row>
    <row r="248">
      <c r="A248" s="5" t="inlineStr">
        <is>
          <t>TC190</t>
        </is>
      </c>
      <c r="B248" s="5" t="inlineStr">
        <is>
          <t>Partner</t>
        </is>
      </c>
      <c r="C248" s="5" t="inlineStr">
        <is>
          <t>Profile</t>
        </is>
      </c>
      <c r="D248" s="5" t="inlineStr">
        <is>
          <t>Business Hours</t>
        </is>
      </c>
      <c r="E248" s="5" t="inlineStr">
        <is>
          <t>Set Special Hours</t>
        </is>
      </c>
      <c r="F248" s="5" t="inlineStr">
        <is>
          <t>1. Go to operating hours
2. Set regular hours
3. Add special hours (holidays)
4. Mark temporary closures
5. Save</t>
        </is>
      </c>
      <c r="G248" s="5" t="inlineStr">
        <is>
          <t>Special hours saved and applied</t>
        </is>
      </c>
      <c r="H248" s="5" t="inlineStr"/>
      <c r="I248" s="5" t="inlineStr"/>
      <c r="J248" s="5" t="inlineStr"/>
      <c r="K248" s="7" t="inlineStr">
        <is>
          <t>Medium</t>
        </is>
      </c>
      <c r="L248" s="5" t="inlineStr"/>
    </row>
    <row r="249">
      <c r="A249" s="5" t="inlineStr">
        <is>
          <t>TC191</t>
        </is>
      </c>
      <c r="B249" s="5" t="inlineStr">
        <is>
          <t>Partner</t>
        </is>
      </c>
      <c r="C249" s="5" t="inlineStr">
        <is>
          <t>Profile</t>
        </is>
      </c>
      <c r="D249" s="5" t="inlineStr">
        <is>
          <t>Delivery Zones</t>
        </is>
      </c>
      <c r="E249" s="5" t="inlineStr">
        <is>
          <t>Set Delivery Zones</t>
        </is>
      </c>
      <c r="F249" s="5" t="inlineStr">
        <is>
          <t>1. Go to delivery settings
2. View map
3. Draw delivery zone
4. Set minimum order
5. Set delivery fee
6. Save</t>
        </is>
      </c>
      <c r="G249" s="5" t="inlineStr">
        <is>
          <t>Delivery zone saved and shown on map</t>
        </is>
      </c>
      <c r="H249" s="5" t="inlineStr"/>
      <c r="I249" s="5" t="inlineStr"/>
      <c r="J249" s="5" t="inlineStr"/>
      <c r="K249" s="5" t="inlineStr">
        <is>
          <t>Low</t>
        </is>
      </c>
      <c r="L249" s="5" t="inlineStr"/>
    </row>
    <row r="250">
      <c r="A250" s="5" t="inlineStr">
        <is>
          <t>TC192</t>
        </is>
      </c>
      <c r="B250" s="5" t="inlineStr">
        <is>
          <t>Partner</t>
        </is>
      </c>
      <c r="C250" s="5" t="inlineStr">
        <is>
          <t>Profile</t>
        </is>
      </c>
      <c r="D250" s="5" t="inlineStr">
        <is>
          <t>Team Members</t>
        </is>
      </c>
      <c r="E250" s="5" t="inlineStr">
        <is>
          <t>Add Team Members</t>
        </is>
      </c>
      <c r="F250" s="5" t="inlineStr">
        <is>
          <t>1. Go to team management
2. Click Add Member
3. Enter email
4. Set role (Admin/Staff)
5. Send invitation</t>
        </is>
      </c>
      <c r="G250" s="5" t="inlineStr">
        <is>
          <t>Invitation sent, member can access with limited permissions</t>
        </is>
      </c>
      <c r="H250" s="5" t="inlineStr"/>
      <c r="I250" s="5" t="inlineStr"/>
      <c r="J250" s="5" t="inlineStr"/>
      <c r="K250" s="5" t="inlineStr">
        <is>
          <t>Low</t>
        </is>
      </c>
      <c r="L250" s="5" t="inlineStr"/>
    </row>
    <row r="251">
      <c r="A251" s="5" t="inlineStr">
        <is>
          <t>TC193</t>
        </is>
      </c>
      <c r="B251" s="5" t="inlineStr">
        <is>
          <t>Partner</t>
        </is>
      </c>
      <c r="C251" s="5" t="inlineStr">
        <is>
          <t>Profile</t>
        </is>
      </c>
      <c r="D251" s="5" t="inlineStr">
        <is>
          <t>Remove Team Member</t>
        </is>
      </c>
      <c r="E251" s="5" t="inlineStr">
        <is>
          <t>Remove Team Member</t>
        </is>
      </c>
      <c r="F251" s="5" t="inlineStr">
        <is>
          <t>1. Go to team management
2. Find member
3. Click Remove
4. Confirm removal</t>
        </is>
      </c>
      <c r="G251" s="5" t="inlineStr">
        <is>
          <t>Member removed, access revoked</t>
        </is>
      </c>
      <c r="H251" s="5" t="inlineStr"/>
      <c r="I251" s="5" t="inlineStr"/>
      <c r="J251" s="5" t="inlineStr"/>
      <c r="K251" s="5" t="inlineStr">
        <is>
          <t>Low</t>
        </is>
      </c>
      <c r="L251" s="5" t="inlineStr"/>
    </row>
    <row r="252">
      <c r="A252" s="5" t="inlineStr">
        <is>
          <t>TC194</t>
        </is>
      </c>
      <c r="B252" s="5" t="inlineStr">
        <is>
          <t>Partner</t>
        </is>
      </c>
      <c r="C252" s="5" t="inlineStr">
        <is>
          <t>Analytics</t>
        </is>
      </c>
      <c r="D252" s="5" t="inlineStr">
        <is>
          <t>View Analytics</t>
        </is>
      </c>
      <c r="E252" s="5" t="inlineStr">
        <is>
          <t>View Business Analytics</t>
        </is>
      </c>
      <c r="F252" s="5" t="inlineStr">
        <is>
          <t>1. Go to Analytics page
2. View order trends
3. View customer insights
4. View peak hours
5. Export analytics report</t>
        </is>
      </c>
      <c r="G252" s="5" t="inlineStr">
        <is>
          <t>Analytics displayed with actionable insights</t>
        </is>
      </c>
      <c r="H252" s="5" t="inlineStr"/>
      <c r="I252" s="5" t="inlineStr"/>
      <c r="J252" s="5" t="inlineStr"/>
      <c r="K252" s="7" t="inlineStr">
        <is>
          <t>Medium</t>
        </is>
      </c>
      <c r="L252" s="5" t="inlineStr"/>
    </row>
    <row r="253">
      <c r="A253" s="5" t="inlineStr">
        <is>
          <t>TC195</t>
        </is>
      </c>
      <c r="B253" s="5" t="inlineStr">
        <is>
          <t>Partner</t>
        </is>
      </c>
      <c r="C253" s="5" t="inlineStr">
        <is>
          <t>Analytics</t>
        </is>
      </c>
      <c r="D253" s="5" t="inlineStr">
        <is>
          <t>Customer Feedback</t>
        </is>
      </c>
      <c r="E253" s="5" t="inlineStr">
        <is>
          <t>View Customer Feedback</t>
        </is>
      </c>
      <c r="F253" s="5" t="inlineStr">
        <is>
          <t>1. Go to Reviews section
2. View all customer reviews
3. Filter by rating
4. Respond to review
5. Mark as resolved</t>
        </is>
      </c>
      <c r="G253" s="5" t="inlineStr">
        <is>
          <t>Reviews displayed, can respond to customers</t>
        </is>
      </c>
      <c r="H253" s="5" t="inlineStr"/>
      <c r="I253" s="5" t="inlineStr"/>
      <c r="J253" s="5" t="inlineStr"/>
      <c r="K253" s="7" t="inlineStr">
        <is>
          <t>Medium</t>
        </is>
      </c>
      <c r="L253" s="5" t="inlineStr"/>
    </row>
    <row r="254">
      <c r="A254" s="5" t="inlineStr">
        <is>
          <t>TC196</t>
        </is>
      </c>
      <c r="B254" s="5" t="inlineStr">
        <is>
          <t>Partner</t>
        </is>
      </c>
      <c r="C254" s="5" t="inlineStr">
        <is>
          <t>Analytics</t>
        </is>
      </c>
      <c r="D254" s="5" t="inlineStr">
        <is>
          <t>Performance Metrics</t>
        </is>
      </c>
      <c r="E254" s="5" t="inlineStr">
        <is>
          <t>View Detailed Performance Metrics</t>
        </is>
      </c>
      <c r="F254" s="5" t="inlineStr">
        <is>
          <t>1. View order fulfillment rate
2. View average prep time
3. View on-time delivery rate
4. Compare with industry average</t>
        </is>
      </c>
      <c r="G254" s="5" t="inlineStr">
        <is>
          <t>All performance metrics displayed</t>
        </is>
      </c>
      <c r="H254" s="5" t="inlineStr"/>
      <c r="I254" s="5" t="inlineStr"/>
      <c r="J254" s="5" t="inlineStr"/>
      <c r="K254" s="7" t="inlineStr">
        <is>
          <t>Medium</t>
        </is>
      </c>
      <c r="L254" s="5" t="inlineStr"/>
    </row>
    <row r="255">
      <c r="A255" s="5" t="inlineStr">
        <is>
          <t>TC197</t>
        </is>
      </c>
      <c r="B255" s="5" t="inlineStr">
        <is>
          <t>Partner</t>
        </is>
      </c>
      <c r="C255" s="5" t="inlineStr">
        <is>
          <t>Support</t>
        </is>
      </c>
      <c r="D255" s="5" t="inlineStr">
        <is>
          <t>Contact Support</t>
        </is>
      </c>
      <c r="E255" s="5" t="inlineStr">
        <is>
          <t>Contact Support via Dashboard</t>
        </is>
      </c>
      <c r="F255" s="5" t="inlineStr">
        <is>
          <t>1. Click Support button
2. Select issue type
3. Describe problem
4. Attach screenshot
5. Submit ticket</t>
        </is>
      </c>
      <c r="G255" s="5" t="inlineStr">
        <is>
          <t>Support ticket created, confirmation shown</t>
        </is>
      </c>
      <c r="H255" s="5" t="inlineStr"/>
      <c r="I255" s="5" t="inlineStr"/>
      <c r="J255" s="5" t="inlineStr"/>
      <c r="K255" s="6" t="inlineStr">
        <is>
          <t>High</t>
        </is>
      </c>
      <c r="L255" s="5" t="inlineStr"/>
    </row>
    <row r="256">
      <c r="A256" s="5" t="inlineStr">
        <is>
          <t>TC198</t>
        </is>
      </c>
      <c r="B256" s="5" t="inlineStr">
        <is>
          <t>Partner</t>
        </is>
      </c>
      <c r="C256" s="5" t="inlineStr">
        <is>
          <t>Support</t>
        </is>
      </c>
      <c r="D256" s="5" t="inlineStr">
        <is>
          <t>View Knowledge Base</t>
        </is>
      </c>
      <c r="E256" s="5" t="inlineStr">
        <is>
          <t>Access Knowledge Base</t>
        </is>
      </c>
      <c r="F256" s="5" t="inlineStr">
        <is>
          <t>1. Click Help
2. Browse articles
3. Search for topic
4. View article</t>
        </is>
      </c>
      <c r="G256" s="5" t="inlineStr">
        <is>
          <t>Knowledge base articles displayed</t>
        </is>
      </c>
      <c r="H256" s="5" t="inlineStr"/>
      <c r="I256" s="5" t="inlineStr"/>
      <c r="J256" s="5" t="inlineStr"/>
      <c r="K256" s="5" t="inlineStr">
        <is>
          <t>Low</t>
        </is>
      </c>
      <c r="L256" s="5" t="inlineStr"/>
    </row>
    <row r="257">
      <c r="A257" s="5" t="inlineStr">
        <is>
          <t>TC199</t>
        </is>
      </c>
      <c r="B257" s="5" t="inlineStr">
        <is>
          <t>Partner</t>
        </is>
      </c>
      <c r="C257" s="5" t="inlineStr">
        <is>
          <t>Support</t>
        </is>
      </c>
      <c r="D257" s="5" t="inlineStr">
        <is>
          <t>Live Chat</t>
        </is>
      </c>
      <c r="E257" s="5" t="inlineStr">
        <is>
          <t>Start Live Chat</t>
        </is>
      </c>
      <c r="F257" s="5" t="inlineStr">
        <is>
          <t>1. Click Chat icon
2. Start conversation
3. Send message
4. Receive response</t>
        </is>
      </c>
      <c r="G257" s="5" t="inlineStr">
        <is>
          <t>Chat connected, messages exchanged</t>
        </is>
      </c>
      <c r="H257" s="5" t="inlineStr"/>
      <c r="I257" s="5" t="inlineStr"/>
      <c r="J257" s="5" t="inlineStr"/>
      <c r="K257" s="7" t="inlineStr">
        <is>
          <t>Medium</t>
        </is>
      </c>
      <c r="L25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9" t="inlineStr">
        <is>
          <t>Portal</t>
        </is>
      </c>
      <c r="B1" s="9" t="inlineStr">
        <is>
          <t>Total Tests</t>
        </is>
      </c>
      <c r="C1" s="9" t="inlineStr">
        <is>
          <t>Passed</t>
        </is>
      </c>
      <c r="D1" s="9" t="inlineStr">
        <is>
          <t>Failed</t>
        </is>
      </c>
      <c r="E1" s="9" t="inlineStr">
        <is>
          <t>Pending</t>
        </is>
      </c>
      <c r="F1" s="9" t="inlineStr">
        <is>
          <t>Pass Rate</t>
        </is>
      </c>
      <c r="G1" s="9" t="inlineStr">
        <is>
          <t>Critical</t>
        </is>
      </c>
      <c r="H1" s="9" t="inlineStr">
        <is>
          <t>High</t>
        </is>
      </c>
      <c r="I1" s="9" t="inlineStr">
        <is>
          <t>Medium</t>
        </is>
      </c>
      <c r="J1" s="9" t="inlineStr">
        <is>
          <t>Low</t>
        </is>
      </c>
    </row>
    <row r="2">
      <c r="A2" s="10" t="inlineStr">
        <is>
          <t>Customer</t>
        </is>
      </c>
      <c r="B2" s="10">
        <f>COUNTIF('Test Cases'!B:B,A2)</f>
        <v/>
      </c>
      <c r="C2" s="10">
        <f>COUNTIFS('Test Cases'!B:B,A2,'Test Cases'!H:H,"PASS")</f>
        <v/>
      </c>
      <c r="D2" s="10">
        <f>COUNTIFS('Test Cases'!B:B,A2,'Test Cases'!H:H,"FAIL")</f>
        <v/>
      </c>
      <c r="E2" s="10">
        <f>COUNTIFS('Test Cases'!B:B,A2,'Test Cases'!H:H,"")</f>
        <v/>
      </c>
      <c r="F2" s="11">
        <f>IF(B2&gt;0,C2/B2,0)</f>
        <v/>
      </c>
      <c r="G2" s="10">
        <f>COUNTIFS('Test Cases'!B:B,A2,'Test Cases'!K:K,"Critical")</f>
        <v/>
      </c>
      <c r="H2" s="10">
        <f>COUNTIFS('Test Cases'!B:B,A2,'Test Cases'!K:K,"High")</f>
        <v/>
      </c>
      <c r="I2" s="10">
        <f>COUNTIFS('Test Cases'!B:B,A2,'Test Cases'!K:K,"Medium")</f>
        <v/>
      </c>
      <c r="J2" s="10">
        <f>COUNTIFS('Test Cases'!B:B,A2,'Test Cases'!K:K,"Low")</f>
        <v/>
      </c>
    </row>
    <row r="3">
      <c r="A3" s="10" t="inlineStr">
        <is>
          <t>Partner</t>
        </is>
      </c>
      <c r="B3" s="10">
        <f>COUNTIF('Test Cases'!B:B,A3)</f>
        <v/>
      </c>
      <c r="C3" s="10">
        <f>COUNTIFS('Test Cases'!B:B,A3,'Test Cases'!H:H,"PASS")</f>
        <v/>
      </c>
      <c r="D3" s="10">
        <f>COUNTIFS('Test Cases'!B:B,A3,'Test Cases'!H:H,"FAIL")</f>
        <v/>
      </c>
      <c r="E3" s="10">
        <f>COUNTIFS('Test Cases'!B:B,A3,'Test Cases'!H:H,"")</f>
        <v/>
      </c>
      <c r="F3" s="11">
        <f>IF(B3&gt;0,C3/B3,0)</f>
        <v/>
      </c>
      <c r="G3" s="10">
        <f>COUNTIFS('Test Cases'!B:B,A3,'Test Cases'!K:K,"Critical")</f>
        <v/>
      </c>
      <c r="H3" s="10">
        <f>COUNTIFS('Test Cases'!B:B,A3,'Test Cases'!K:K,"High")</f>
        <v/>
      </c>
      <c r="I3" s="10">
        <f>COUNTIFS('Test Cases'!B:B,A3,'Test Cases'!K:K,"Medium")</f>
        <v/>
      </c>
      <c r="J3" s="10">
        <f>COUNTIFS('Test Cases'!B:B,A3,'Test Cases'!K:K,"Low")</f>
        <v/>
      </c>
    </row>
    <row r="4">
      <c r="A4" s="10" t="inlineStr">
        <is>
          <t>Admin</t>
        </is>
      </c>
      <c r="B4" s="10">
        <f>COUNTIF('Test Cases'!B:B,A4)</f>
        <v/>
      </c>
      <c r="C4" s="10">
        <f>COUNTIFS('Test Cases'!B:B,A4,'Test Cases'!H:H,"PASS")</f>
        <v/>
      </c>
      <c r="D4" s="10">
        <f>COUNTIFS('Test Cases'!B:B,A4,'Test Cases'!H:H,"FAIL")</f>
        <v/>
      </c>
      <c r="E4" s="10">
        <f>COUNTIFS('Test Cases'!B:B,A4,'Test Cases'!H:H,"")</f>
        <v/>
      </c>
      <c r="F4" s="11">
        <f>IF(B4&gt;0,C4/B4,0)</f>
        <v/>
      </c>
      <c r="G4" s="10">
        <f>COUNTIFS('Test Cases'!B:B,A4,'Test Cases'!K:K,"Critical")</f>
        <v/>
      </c>
      <c r="H4" s="10">
        <f>COUNTIFS('Test Cases'!B:B,A4,'Test Cases'!K:K,"High")</f>
        <v/>
      </c>
      <c r="I4" s="10">
        <f>COUNTIFS('Test Cases'!B:B,A4,'Test Cases'!K:K,"Medium")</f>
        <v/>
      </c>
      <c r="J4" s="10">
        <f>COUNTIFS('Test Cases'!B:B,A4,'Test Cases'!K:K,"Low")</f>
        <v/>
      </c>
    </row>
    <row r="5">
      <c r="A5" s="10" t="inlineStr">
        <is>
          <t>Driver</t>
        </is>
      </c>
      <c r="B5" s="10">
        <f>COUNTIF('Test Cases'!B:B,A5)</f>
        <v/>
      </c>
      <c r="C5" s="10">
        <f>COUNTIFS('Test Cases'!B:B,A5,'Test Cases'!H:H,"PASS")</f>
        <v/>
      </c>
      <c r="D5" s="10">
        <f>COUNTIFS('Test Cases'!B:B,A5,'Test Cases'!H:H,"FAIL")</f>
        <v/>
      </c>
      <c r="E5" s="10">
        <f>COUNTIFS('Test Cases'!B:B,A5,'Test Cases'!H:H,"")</f>
        <v/>
      </c>
      <c r="F5" s="11">
        <f>IF(B5&gt;0,C5/B5,0)</f>
        <v/>
      </c>
      <c r="G5" s="10">
        <f>COUNTIFS('Test Cases'!B:B,A5,'Test Cases'!K:K,"Critical")</f>
        <v/>
      </c>
      <c r="H5" s="10">
        <f>COUNTIFS('Test Cases'!B:B,A5,'Test Cases'!K:K,"High")</f>
        <v/>
      </c>
      <c r="I5" s="10">
        <f>COUNTIFS('Test Cases'!B:B,A5,'Test Cases'!K:K,"Medium")</f>
        <v/>
      </c>
      <c r="J5" s="10">
        <f>COUNTIFS('Test Cases'!B:B,A5,'Test Cases'!K:K,"Low")</f>
        <v/>
      </c>
    </row>
    <row r="6">
      <c r="A6" s="10" t="inlineStr">
        <is>
          <t>System</t>
        </is>
      </c>
      <c r="B6" s="10">
        <f>COUNTIF('Test Cases'!B:B,A6)</f>
        <v/>
      </c>
      <c r="C6" s="10">
        <f>COUNTIFS('Test Cases'!B:B,A6,'Test Cases'!H:H,"PASS")</f>
        <v/>
      </c>
      <c r="D6" s="10">
        <f>COUNTIFS('Test Cases'!B:B,A6,'Test Cases'!H:H,"FAIL")</f>
        <v/>
      </c>
      <c r="E6" s="10">
        <f>COUNTIFS('Test Cases'!B:B,A6,'Test Cases'!H:H,"")</f>
        <v/>
      </c>
      <c r="F6" s="11">
        <f>IF(B6&gt;0,C6/B6,0)</f>
        <v/>
      </c>
      <c r="G6" s="10">
        <f>COUNTIFS('Test Cases'!B:B,A6,'Test Cases'!K:K,"Critical")</f>
        <v/>
      </c>
      <c r="H6" s="10">
        <f>COUNTIFS('Test Cases'!B:B,A6,'Test Cases'!K:K,"High")</f>
        <v/>
      </c>
      <c r="I6" s="10">
        <f>COUNTIFS('Test Cases'!B:B,A6,'Test Cases'!K:K,"Medium")</f>
        <v/>
      </c>
      <c r="J6" s="10">
        <f>COUNTIFS('Test Cases'!B:B,A6,'Test Cases'!K:K,"Low")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2026-02-21T00:11:55Z</dcterms:created>
  <dcterms:modified xmlns:dcterms="http://purl.org/dc/terms/" xmlns:xsi="http://www.w3.org/2001/XMLSchema-instance" xsi:type="dcterms:W3CDTF">2026-02-21T20:07:29Z</dcterms:modified>
</cp:coreProperties>
</file>