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tner Tests" sheetId="2" state="visible" r:id="rId2"/>
    <sheet xmlns:r="http://schemas.openxmlformats.org/officeDocument/2006/relationships" name="Customer Tests" sheetId="3" state="visible" r:id="rId3"/>
    <sheet xmlns:r="http://schemas.openxmlformats.org/officeDocument/2006/relationships" name="Admin Tests" sheetId="4" state="visible" r:id="rId4"/>
    <sheet xmlns:r="http://schemas.openxmlformats.org/officeDocument/2006/relationships" name="Driver Tests" sheetId="5" state="visible" r:id="rId5"/>
    <sheet xmlns:r="http://schemas.openxmlformats.org/officeDocument/2006/relationships" name="System Tests" sheetId="6" state="visible" r:id="rId6"/>
    <sheet xmlns:r="http://schemas.openxmlformats.org/officeDocument/2006/relationships" name="Summary by Portal" sheetId="7" state="visible" r:id="rId7"/>
    <sheet xmlns:r="http://schemas.openxmlformats.org/officeDocument/2006/relationships" name="Test Case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FF1E3A5F"/>
      <sz val="16"/>
    </font>
    <font>
      <name val="Calibri"/>
      <b val="1"/>
      <sz val="14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2"/>
    </font>
    <font>
      <name val="Calibri"/>
      <color rgb="FF0563C1"/>
      <sz val="11"/>
      <u val="single"/>
    </font>
    <font>
      <name val="Calibri"/>
      <i val="1"/>
      <color rgb="FF666666"/>
      <sz val="11"/>
    </font>
    <font>
      <b val="1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E3A5F"/>
        <bgColor rgb="FF1E3A5F"/>
      </patternFill>
    </fill>
    <fill>
      <patternFill patternType="solid">
        <fgColor rgb="FFFFA500"/>
        <bgColor rgb="FFFFA5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2E5077"/>
        <bgColor rgb="FF2E5077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5" fillId="6" borderId="1" pivotButton="0" quotePrefix="0" xfId="0"/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9" fillId="0" borderId="0" pivotButton="0" quotePrefix="0" xfId="0"/>
    <xf numFmtId="0" fontId="10" fillId="7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5" fillId="6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your-domain.com/partner/auth" TargetMode="External" Id="rId1"/><Relationship Type="http://schemas.openxmlformats.org/officeDocument/2006/relationships/hyperlink" Target="https://your-domain.com/partner/auth" TargetMode="External" Id="rId2"/><Relationship Type="http://schemas.openxmlformats.org/officeDocument/2006/relationships/hyperlink" Target="https://your-domain.com/partner/auth" TargetMode="External" Id="rId3"/><Relationship Type="http://schemas.openxmlformats.org/officeDocument/2006/relationships/hyperlink" Target="https://your-domain.com/partner/dashboard" TargetMode="External" Id="rId4"/><Relationship Type="http://schemas.openxmlformats.org/officeDocument/2006/relationships/hyperlink" Target="https://your-domain.com/partner/dashboard" TargetMode="External" Id="rId5"/><Relationship Type="http://schemas.openxmlformats.org/officeDocument/2006/relationships/hyperlink" Target="https://your-domain.com/partner/dashboard" TargetMode="External" Id="rId6"/><Relationship Type="http://schemas.openxmlformats.org/officeDocument/2006/relationships/hyperlink" Target="https://your-domain.com/partner/orders/%5bid%5d" TargetMode="External" Id="rId7"/><Relationship Type="http://schemas.openxmlformats.org/officeDocument/2006/relationships/hyperlink" Target="https://your-domain.com/partner/orders/%5bid%5d" TargetMode="External" Id="rId8"/><Relationship Type="http://schemas.openxmlformats.org/officeDocument/2006/relationships/hyperlink" Target="https://your-domain.com/partner/orders" TargetMode="External" Id="rId9"/><Relationship Type="http://schemas.openxmlformats.org/officeDocument/2006/relationships/hyperlink" Target="https://your-domain.com/partner/orders/%5bid%5d/edit" TargetMode="External" Id="rId10"/><Relationship Type="http://schemas.openxmlformats.org/officeDocument/2006/relationships/hyperlink" Target="https://your-domain.com/partner/orders/%5bid%5d" TargetMode="External" Id="rId11"/><Relationship Type="http://schemas.openxmlformats.org/officeDocument/2006/relationships/hyperlink" Target="https://your-domain.com/partner/orders" TargetMode="External" Id="rId12"/><Relationship Type="http://schemas.openxmlformats.org/officeDocument/2006/relationships/hyperlink" Target="https://your-domain.com/partner/menu/%5bid%5d" TargetMode="External" Id="rId13"/><Relationship Type="http://schemas.openxmlformats.org/officeDocument/2006/relationships/hyperlink" Target="https://your-domain.com/partner/menu/new" TargetMode="External" Id="rId14"/><Relationship Type="http://schemas.openxmlformats.org/officeDocument/2006/relationships/hyperlink" Target="https://your-domain.com/partner/menu/%5bid%5d/edit" TargetMode="External" Id="rId15"/><Relationship Type="http://schemas.openxmlformats.org/officeDocument/2006/relationships/hyperlink" Target="https://your-domain.com/partner/menu" TargetMode="External" Id="rId16"/><Relationship Type="http://schemas.openxmlformats.org/officeDocument/2006/relationships/hyperlink" Target="https://your-domain.com/partner/menu" TargetMode="External" Id="rId17"/><Relationship Type="http://schemas.openxmlformats.org/officeDocument/2006/relationships/hyperlink" Target="https://your-domain.com/partner/menu" TargetMode="External" Id="rId18"/><Relationship Type="http://schemas.openxmlformats.org/officeDocument/2006/relationships/hyperlink" Target="https://your-domain.com/partner/menu/new" TargetMode="External" Id="rId19"/><Relationship Type="http://schemas.openxmlformats.org/officeDocument/2006/relationships/hyperlink" Target="https://your-domain.com/partner/payouts/%5bid%5d" TargetMode="External" Id="rId20"/><Relationship Type="http://schemas.openxmlformats.org/officeDocument/2006/relationships/hyperlink" Target="https://your-domain.com/partner/payouts/%5bid%5d" TargetMode="External" Id="rId21"/><Relationship Type="http://schemas.openxmlformats.org/officeDocument/2006/relationships/hyperlink" Target="https://your-domain.com/partner/payouts/%5bid%5d" TargetMode="External" Id="rId22"/><Relationship Type="http://schemas.openxmlformats.org/officeDocument/2006/relationships/hyperlink" Target="https://your-domain.com/partner/payouts/%5bid%5d" TargetMode="External" Id="rId23"/><Relationship Type="http://schemas.openxmlformats.org/officeDocument/2006/relationships/hyperlink" Target="https://your-domain.com/partner/profile/%5bid%5d" TargetMode="External" Id="rId24"/><Relationship Type="http://schemas.openxmlformats.org/officeDocument/2006/relationships/hyperlink" Target="https://your-domain.com/partner/profile/%5bid%5d/edit" TargetMode="External" Id="rId25"/><Relationship Type="http://schemas.openxmlformats.org/officeDocument/2006/relationships/hyperlink" Target="https://your-domain.com/partner/profile/%5bid%5d" TargetMode="External" Id="rId26"/><Relationship Type="http://schemas.openxmlformats.org/officeDocument/2006/relationships/hyperlink" Target="https://your-domain.com/partner/profile" TargetMode="External" Id="rId27"/><Relationship Type="http://schemas.openxmlformats.org/officeDocument/2006/relationships/hyperlink" Target="https://your-domain.com/partner/profile" TargetMode="External" Id="rId28"/><Relationship Type="http://schemas.openxmlformats.org/officeDocument/2006/relationships/hyperlink" Target="https://your-domain.com/partner/profile/%5bid%5d/edit" TargetMode="External" Id="rId29"/><Relationship Type="http://schemas.openxmlformats.org/officeDocument/2006/relationships/hyperlink" Target="https://your-domain.com/partner/profile/%5bid%5d/edit" TargetMode="External" Id="rId30"/><Relationship Type="http://schemas.openxmlformats.org/officeDocument/2006/relationships/hyperlink" Target="https://your-domain.com/partner/auth" TargetMode="External" Id="rId31"/><Relationship Type="http://schemas.openxmlformats.org/officeDocument/2006/relationships/hyperlink" Target="https://your-domain.com/partner/onboarding" TargetMode="External" Id="rId32"/><Relationship Type="http://schemas.openxmlformats.org/officeDocument/2006/relationships/hyperlink" Target="https://your-domain.com/partner/onboarding" TargetMode="External" Id="rId33"/><Relationship Type="http://schemas.openxmlformats.org/officeDocument/2006/relationships/hyperlink" Target="https://your-domain.com/partner/onboarding" TargetMode="External" Id="rId34"/><Relationship Type="http://schemas.openxmlformats.org/officeDocument/2006/relationships/hyperlink" Target="https://your-domain.com/partner/onboarding/%5bid%5d" TargetMode="External" Id="rId35"/><Relationship Type="http://schemas.openxmlformats.org/officeDocument/2006/relationships/hyperlink" Target="https://your-domain.com/partner/onboarding/%5bid%5d" TargetMode="External" Id="rId36"/><Relationship Type="http://schemas.openxmlformats.org/officeDocument/2006/relationships/hyperlink" Target="https://your-domain.com/partner/onboarding" TargetMode="External" Id="rId37"/><Relationship Type="http://schemas.openxmlformats.org/officeDocument/2006/relationships/hyperlink" Target="https://your-domain.com/partner/dashboard/%5bid%5d/edit" TargetMode="External" Id="rId38"/><Relationship Type="http://schemas.openxmlformats.org/officeDocument/2006/relationships/hyperlink" Target="https://your-domain.com/partner/dashboard/%5bid%5d" TargetMode="External" Id="rId39"/><Relationship Type="http://schemas.openxmlformats.org/officeDocument/2006/relationships/hyperlink" Target="https://your-domain.com/partner/dashboard/%5bid%5d" TargetMode="External" Id="rId40"/><Relationship Type="http://schemas.openxmlformats.org/officeDocument/2006/relationships/hyperlink" Target="https://your-domain.com/partner/dashboard" TargetMode="External" Id="rId41"/><Relationship Type="http://schemas.openxmlformats.org/officeDocument/2006/relationships/hyperlink" Target="https://your-domain.com/partner/orders" TargetMode="External" Id="rId42"/><Relationship Type="http://schemas.openxmlformats.org/officeDocument/2006/relationships/hyperlink" Target="https://your-domain.com/partner/orders?filter=%5bvalue%5d" TargetMode="External" Id="rId43"/><Relationship Type="http://schemas.openxmlformats.org/officeDocument/2006/relationships/hyperlink" Target="https://your-domain.com/partner/orders?filter=%5bvalue%5d" TargetMode="External" Id="rId44"/><Relationship Type="http://schemas.openxmlformats.org/officeDocument/2006/relationships/hyperlink" Target="https://your-domain.com/partner/orders?q=%5bsearch-term%5d" TargetMode="External" Id="rId45"/><Relationship Type="http://schemas.openxmlformats.org/officeDocument/2006/relationships/hyperlink" Target="https://your-domain.com/partner/orders/%5bid%5d" TargetMode="External" Id="rId46"/><Relationship Type="http://schemas.openxmlformats.org/officeDocument/2006/relationships/hyperlink" Target="https://your-domain.com/partner/orders/%5bid%5d" TargetMode="External" Id="rId47"/><Relationship Type="http://schemas.openxmlformats.org/officeDocument/2006/relationships/hyperlink" Target="https://your-domain.com/partner/orders" TargetMode="External" Id="rId48"/><Relationship Type="http://schemas.openxmlformats.org/officeDocument/2006/relationships/hyperlink" Target="https://your-domain.com/partner/orders" TargetMode="External" Id="rId49"/><Relationship Type="http://schemas.openxmlformats.org/officeDocument/2006/relationships/hyperlink" Target="https://your-domain.com/partner/menu" TargetMode="External" Id="rId50"/><Relationship Type="http://schemas.openxmlformats.org/officeDocument/2006/relationships/hyperlink" Target="https://your-domain.com/partner/menu" TargetMode="External" Id="rId51"/><Relationship Type="http://schemas.openxmlformats.org/officeDocument/2006/relationships/hyperlink" Target="https://your-domain.com/partner/menu" TargetMode="External" Id="rId52"/><Relationship Type="http://schemas.openxmlformats.org/officeDocument/2006/relationships/hyperlink" Target="https://your-domain.com/partner/menu" TargetMode="External" Id="rId53"/><Relationship Type="http://schemas.openxmlformats.org/officeDocument/2006/relationships/hyperlink" Target="https://your-domain.com/partner/menu" TargetMode="External" Id="rId54"/><Relationship Type="http://schemas.openxmlformats.org/officeDocument/2006/relationships/hyperlink" Target="https://your-domain.com/partner/menu/%5bid%5d" TargetMode="External" Id="rId55"/><Relationship Type="http://schemas.openxmlformats.org/officeDocument/2006/relationships/hyperlink" Target="https://your-domain.com/partner/menu" TargetMode="External" Id="rId56"/><Relationship Type="http://schemas.openxmlformats.org/officeDocument/2006/relationships/hyperlink" Target="https://your-domain.com/partner/menu" TargetMode="External" Id="rId57"/><Relationship Type="http://schemas.openxmlformats.org/officeDocument/2006/relationships/hyperlink" Target="https://your-domain.com/partner/payouts/%5bid%5d" TargetMode="External" Id="rId58"/><Relationship Type="http://schemas.openxmlformats.org/officeDocument/2006/relationships/hyperlink" Target="https://your-domain.com/partner/payouts/%5bid%5d" TargetMode="External" Id="rId59"/><Relationship Type="http://schemas.openxmlformats.org/officeDocument/2006/relationships/hyperlink" Target="https://your-domain.com/partner/payouts" TargetMode="External" Id="rId60"/><Relationship Type="http://schemas.openxmlformats.org/officeDocument/2006/relationships/hyperlink" Target="https://your-domain.com/partner/payouts" TargetMode="External" Id="rId61"/><Relationship Type="http://schemas.openxmlformats.org/officeDocument/2006/relationships/hyperlink" Target="https://your-domain.com/partner/payouts" TargetMode="External" Id="rId62"/><Relationship Type="http://schemas.openxmlformats.org/officeDocument/2006/relationships/hyperlink" Target="https://your-domain.com/partner/payouts" TargetMode="External" Id="rId63"/><Relationship Type="http://schemas.openxmlformats.org/officeDocument/2006/relationships/hyperlink" Target="https://your-domain.com/partner/profile" TargetMode="External" Id="rId64"/><Relationship Type="http://schemas.openxmlformats.org/officeDocument/2006/relationships/hyperlink" Target="https://your-domain.com/partner/profile" TargetMode="External" Id="rId65"/><Relationship Type="http://schemas.openxmlformats.org/officeDocument/2006/relationships/hyperlink" Target="https://your-domain.com/partner/profile" TargetMode="External" Id="rId66"/><Relationship Type="http://schemas.openxmlformats.org/officeDocument/2006/relationships/hyperlink" Target="https://your-domain.com/partner/profile" TargetMode="External" Id="rId67"/><Relationship Type="http://schemas.openxmlformats.org/officeDocument/2006/relationships/hyperlink" Target="https://your-domain.com/partner/profile" TargetMode="External" Id="rId68"/><Relationship Type="http://schemas.openxmlformats.org/officeDocument/2006/relationships/hyperlink" Target="https://your-domain.com/partner/profile" TargetMode="External" Id="rId69"/><Relationship Type="http://schemas.openxmlformats.org/officeDocument/2006/relationships/hyperlink" Target="https://your-domain.com/partner/profile/new" TargetMode="External" Id="rId70"/><Relationship Type="http://schemas.openxmlformats.org/officeDocument/2006/relationships/hyperlink" Target="https://your-domain.com/partner/profile" TargetMode="External" Id="rId71"/><Relationship Type="http://schemas.openxmlformats.org/officeDocument/2006/relationships/hyperlink" Target="https://your-domain.com/partner/analytics/%5bid%5d" TargetMode="External" Id="rId72"/><Relationship Type="http://schemas.openxmlformats.org/officeDocument/2006/relationships/hyperlink" Target="https://your-domain.com/partner/analytics/%5bid%5d" TargetMode="External" Id="rId73"/><Relationship Type="http://schemas.openxmlformats.org/officeDocument/2006/relationships/hyperlink" Target="https://your-domain.com/partner/analytics/%5bid%5d" TargetMode="External" Id="rId74"/><Relationship Type="http://schemas.openxmlformats.org/officeDocument/2006/relationships/hyperlink" Target="https://your-domain.com/partner/support" TargetMode="External" Id="rId75"/><Relationship Type="http://schemas.openxmlformats.org/officeDocument/2006/relationships/hyperlink" Target="https://your-domain.com/partner/support" TargetMode="External" Id="rId76"/><Relationship Type="http://schemas.openxmlformats.org/officeDocument/2006/relationships/hyperlink" Target="https://your-domain.com/partner/support" TargetMode="External" Id="rId77"/><Relationship Type="http://schemas.openxmlformats.org/officeDocument/2006/relationships/hyperlink" Target="https://your-domain.com/partner/auth" TargetMode="External" Id="rId78"/><Relationship Type="http://schemas.openxmlformats.org/officeDocument/2006/relationships/hyperlink" Target="https://your-domain.com/partner/onboarding" TargetMode="External" Id="rId79"/><Relationship Type="http://schemas.openxmlformats.org/officeDocument/2006/relationships/hyperlink" Target="https://your-domain.com/partner/onboarding" TargetMode="External" Id="rId80"/><Relationship Type="http://schemas.openxmlformats.org/officeDocument/2006/relationships/hyperlink" Target="https://your-domain.com/partner/onboarding" TargetMode="External" Id="rId81"/><Relationship Type="http://schemas.openxmlformats.org/officeDocument/2006/relationships/hyperlink" Target="https://your-domain.com/partner/onboarding/%5bid%5d" TargetMode="External" Id="rId82"/><Relationship Type="http://schemas.openxmlformats.org/officeDocument/2006/relationships/hyperlink" Target="https://your-domain.com/partner/onboarding/%5bid%5d" TargetMode="External" Id="rId83"/><Relationship Type="http://schemas.openxmlformats.org/officeDocument/2006/relationships/hyperlink" Target="https://your-domain.com/partner/onboarding" TargetMode="External" Id="rId84"/><Relationship Type="http://schemas.openxmlformats.org/officeDocument/2006/relationships/hyperlink" Target="https://your-domain.com/partner/dashboard/%5bid%5d/edit" TargetMode="External" Id="rId85"/><Relationship Type="http://schemas.openxmlformats.org/officeDocument/2006/relationships/hyperlink" Target="https://your-domain.com/partner/dashboard/%5bid%5d" TargetMode="External" Id="rId86"/><Relationship Type="http://schemas.openxmlformats.org/officeDocument/2006/relationships/hyperlink" Target="https://your-domain.com/partner/dashboard/%5bid%5d" TargetMode="External" Id="rId87"/><Relationship Type="http://schemas.openxmlformats.org/officeDocument/2006/relationships/hyperlink" Target="https://your-domain.com/partner/dashboard" TargetMode="External" Id="rId88"/><Relationship Type="http://schemas.openxmlformats.org/officeDocument/2006/relationships/hyperlink" Target="https://your-domain.com/partner/orders" TargetMode="External" Id="rId89"/><Relationship Type="http://schemas.openxmlformats.org/officeDocument/2006/relationships/hyperlink" Target="https://your-domain.com/partner/orders?filter=%5bvalue%5d" TargetMode="External" Id="rId90"/><Relationship Type="http://schemas.openxmlformats.org/officeDocument/2006/relationships/hyperlink" Target="https://your-domain.com/partner/orders?filter=%5bvalue%5d" TargetMode="External" Id="rId91"/><Relationship Type="http://schemas.openxmlformats.org/officeDocument/2006/relationships/hyperlink" Target="https://your-domain.com/partner/orders?q=%5bsearch-term%5d" TargetMode="External" Id="rId92"/><Relationship Type="http://schemas.openxmlformats.org/officeDocument/2006/relationships/hyperlink" Target="https://your-domain.com/partner/orders/%5bid%5d" TargetMode="External" Id="rId93"/><Relationship Type="http://schemas.openxmlformats.org/officeDocument/2006/relationships/hyperlink" Target="https://your-domain.com/partner/orders/%5bid%5d" TargetMode="External" Id="rId94"/><Relationship Type="http://schemas.openxmlformats.org/officeDocument/2006/relationships/hyperlink" Target="https://your-domain.com/partner/orders" TargetMode="External" Id="rId95"/><Relationship Type="http://schemas.openxmlformats.org/officeDocument/2006/relationships/hyperlink" Target="https://your-domain.com/partner/orders" TargetMode="External" Id="rId96"/><Relationship Type="http://schemas.openxmlformats.org/officeDocument/2006/relationships/hyperlink" Target="https://your-domain.com/partner/menu" TargetMode="External" Id="rId97"/><Relationship Type="http://schemas.openxmlformats.org/officeDocument/2006/relationships/hyperlink" Target="https://your-domain.com/partner/menu" TargetMode="External" Id="rId98"/><Relationship Type="http://schemas.openxmlformats.org/officeDocument/2006/relationships/hyperlink" Target="https://your-domain.com/partner/menu" TargetMode="External" Id="rId99"/><Relationship Type="http://schemas.openxmlformats.org/officeDocument/2006/relationships/hyperlink" Target="https://your-domain.com/partner/menu" TargetMode="External" Id="rId100"/><Relationship Type="http://schemas.openxmlformats.org/officeDocument/2006/relationships/hyperlink" Target="https://your-domain.com/partner/menu" TargetMode="External" Id="rId101"/><Relationship Type="http://schemas.openxmlformats.org/officeDocument/2006/relationships/hyperlink" Target="https://your-domain.com/partner/menu/%5bid%5d" TargetMode="External" Id="rId102"/><Relationship Type="http://schemas.openxmlformats.org/officeDocument/2006/relationships/hyperlink" Target="https://your-domain.com/partner/menu" TargetMode="External" Id="rId103"/><Relationship Type="http://schemas.openxmlformats.org/officeDocument/2006/relationships/hyperlink" Target="https://your-domain.com/partner/menu" TargetMode="External" Id="rId104"/><Relationship Type="http://schemas.openxmlformats.org/officeDocument/2006/relationships/hyperlink" Target="https://your-domain.com/partner/payouts/%5bid%5d" TargetMode="External" Id="rId105"/><Relationship Type="http://schemas.openxmlformats.org/officeDocument/2006/relationships/hyperlink" Target="https://your-domain.com/partner/payouts/%5bid%5d" TargetMode="External" Id="rId106"/><Relationship Type="http://schemas.openxmlformats.org/officeDocument/2006/relationships/hyperlink" Target="https://your-domain.com/partner/payouts" TargetMode="External" Id="rId107"/><Relationship Type="http://schemas.openxmlformats.org/officeDocument/2006/relationships/hyperlink" Target="https://your-domain.com/partner/payouts" TargetMode="External" Id="rId108"/><Relationship Type="http://schemas.openxmlformats.org/officeDocument/2006/relationships/hyperlink" Target="https://your-domain.com/partner/payouts" TargetMode="External" Id="rId109"/><Relationship Type="http://schemas.openxmlformats.org/officeDocument/2006/relationships/hyperlink" Target="https://your-domain.com/partner/payouts" TargetMode="External" Id="rId110"/><Relationship Type="http://schemas.openxmlformats.org/officeDocument/2006/relationships/hyperlink" Target="https://your-domain.com/partner/profile" TargetMode="External" Id="rId111"/><Relationship Type="http://schemas.openxmlformats.org/officeDocument/2006/relationships/hyperlink" Target="https://your-domain.com/partner/profile" TargetMode="External" Id="rId112"/><Relationship Type="http://schemas.openxmlformats.org/officeDocument/2006/relationships/hyperlink" Target="https://your-domain.com/partner/profile" TargetMode="External" Id="rId113"/><Relationship Type="http://schemas.openxmlformats.org/officeDocument/2006/relationships/hyperlink" Target="https://your-domain.com/partner/profile" TargetMode="External" Id="rId114"/><Relationship Type="http://schemas.openxmlformats.org/officeDocument/2006/relationships/hyperlink" Target="https://your-domain.com/partner/profile" TargetMode="External" Id="rId115"/><Relationship Type="http://schemas.openxmlformats.org/officeDocument/2006/relationships/hyperlink" Target="https://your-domain.com/partner/profile" TargetMode="External" Id="rId116"/><Relationship Type="http://schemas.openxmlformats.org/officeDocument/2006/relationships/hyperlink" Target="https://your-domain.com/partner/profile/new" TargetMode="External" Id="rId117"/><Relationship Type="http://schemas.openxmlformats.org/officeDocument/2006/relationships/hyperlink" Target="https://your-domain.com/partner/profile" TargetMode="External" Id="rId118"/><Relationship Type="http://schemas.openxmlformats.org/officeDocument/2006/relationships/hyperlink" Target="https://your-domain.com/partner/analytics/%5bid%5d" TargetMode="External" Id="rId119"/><Relationship Type="http://schemas.openxmlformats.org/officeDocument/2006/relationships/hyperlink" Target="https://your-domain.com/partner/analytics/%5bid%5d" TargetMode="External" Id="rId120"/><Relationship Type="http://schemas.openxmlformats.org/officeDocument/2006/relationships/hyperlink" Target="https://your-domain.com/partner/analytics/%5bid%5d" TargetMode="External" Id="rId121"/><Relationship Type="http://schemas.openxmlformats.org/officeDocument/2006/relationships/hyperlink" Target="https://your-domain.com/partner/support" TargetMode="External" Id="rId122"/><Relationship Type="http://schemas.openxmlformats.org/officeDocument/2006/relationships/hyperlink" Target="https://your-domain.com/partner/support" TargetMode="External" Id="rId123"/><Relationship Type="http://schemas.openxmlformats.org/officeDocument/2006/relationships/hyperlink" Target="https://your-domain.com/partner/support" TargetMode="External" Id="rId124"/><Relationship Type="http://schemas.openxmlformats.org/officeDocument/2006/relationships/hyperlink" Target="https://your-domain.com/" TargetMode="External" Id="rId125"/><Relationship Type="http://schemas.openxmlformats.org/officeDocument/2006/relationships/hyperlink" Target="https://your-domain.com/" TargetMode="External" Id="rId126"/><Relationship Type="http://schemas.openxmlformats.org/officeDocument/2006/relationships/hyperlink" Target="https://your-domain.com/" TargetMode="External" Id="rId127"/><Relationship Type="http://schemas.openxmlformats.org/officeDocument/2006/relationships/hyperlink" Target="https://your-domain.com/" TargetMode="External" Id="rId128"/><Relationship Type="http://schemas.openxmlformats.org/officeDocument/2006/relationships/hyperlink" Target="https://your-domain.com/" TargetMode="External" Id="rId129"/><Relationship Type="http://schemas.openxmlformats.org/officeDocument/2006/relationships/hyperlink" Target="https://your-domain.com/" TargetMode="External" Id="rId130"/></Relationships>
</file>

<file path=xl/worksheets/_rels/sheet3.xml.rels><Relationships xmlns="http://schemas.openxmlformats.org/package/2006/relationships"><Relationship Type="http://schemas.openxmlformats.org/officeDocument/2006/relationships/hyperlink" Target="https://your-domain.com/auth" TargetMode="External" Id="rId1"/><Relationship Type="http://schemas.openxmlformats.org/officeDocument/2006/relationships/hyperlink" Target="https://your-domain.com/auth" TargetMode="External" Id="rId2"/><Relationship Type="http://schemas.openxmlformats.org/officeDocument/2006/relationships/hyperlink" Target="https://your-domain.com/auth" TargetMode="External" Id="rId3"/><Relationship Type="http://schemas.openxmlformats.org/officeDocument/2006/relationships/hyperlink" Target="https://your-domain.com/auth" TargetMode="External" Id="rId4"/><Relationship Type="http://schemas.openxmlformats.org/officeDocument/2006/relationships/hyperlink" Target="https://your-domain.com/auth" TargetMode="External" Id="rId5"/><Relationship Type="http://schemas.openxmlformats.org/officeDocument/2006/relationships/hyperlink" Target="https://your-domain.com/dashboard" TargetMode="External" Id="rId6"/><Relationship Type="http://schemas.openxmlformats.org/officeDocument/2006/relationships/hyperlink" Target="https://your-domain.com/dashboard" TargetMode="External" Id="rId7"/><Relationship Type="http://schemas.openxmlformats.org/officeDocument/2006/relationships/hyperlink" Target="https://your-domain.com/dashboard" TargetMode="External" Id="rId8"/><Relationship Type="http://schemas.openxmlformats.org/officeDocument/2006/relationships/hyperlink" Target="https://your-domain.com/subscription/%5bid%5d" TargetMode="External" Id="rId9"/><Relationship Type="http://schemas.openxmlformats.org/officeDocument/2006/relationships/hyperlink" Target="https://your-domain.com/subscription" TargetMode="External" Id="rId10"/><Relationship Type="http://schemas.openxmlformats.org/officeDocument/2006/relationships/hyperlink" Target="https://your-domain.com/subscription" TargetMode="External" Id="rId11"/><Relationship Type="http://schemas.openxmlformats.org/officeDocument/2006/relationships/hyperlink" Target="https://your-domain.com/subscription" TargetMode="External" Id="rId12"/><Relationship Type="http://schemas.openxmlformats.org/officeDocument/2006/relationships/hyperlink" Target="https://your-domain.com/subscription" TargetMode="External" Id="rId13"/><Relationship Type="http://schemas.openxmlformats.org/officeDocument/2006/relationships/hyperlink" Target="https://your-domain.com/subscription" TargetMode="External" Id="rId14"/><Relationship Type="http://schemas.openxmlformats.org/officeDocument/2006/relationships/hyperlink" Target="https://your-domain.com/subscription" TargetMode="External" Id="rId15"/><Relationship Type="http://schemas.openxmlformats.org/officeDocument/2006/relationships/hyperlink" Target="https://your-domain.com/subscription" TargetMode="External" Id="rId16"/><Relationship Type="http://schemas.openxmlformats.org/officeDocument/2006/relationships/hyperlink" Target="https://your-domain.com/subscription" TargetMode="External" Id="rId17"/><Relationship Type="http://schemas.openxmlformats.org/officeDocument/2006/relationships/hyperlink" Target="https://your-domain.com/subscription" TargetMode="External" Id="rId18"/><Relationship Type="http://schemas.openxmlformats.org/officeDocument/2006/relationships/hyperlink" Target="https://your-domain.com/subscription" TargetMode="External" Id="rId19"/><Relationship Type="http://schemas.openxmlformats.org/officeDocument/2006/relationships/hyperlink" Target="https://your-domain.com/meals" TargetMode="External" Id="rId20"/><Relationship Type="http://schemas.openxmlformats.org/officeDocument/2006/relationships/hyperlink" Target="https://your-domain.com/meals?filter=%5bvalue%5d" TargetMode="External" Id="rId21"/><Relationship Type="http://schemas.openxmlformats.org/officeDocument/2006/relationships/hyperlink" Target="https://your-domain.com/meals?filter=%5bvalue%5d" TargetMode="External" Id="rId22"/><Relationship Type="http://schemas.openxmlformats.org/officeDocument/2006/relationships/hyperlink" Target="https://your-domain.com/meals?filter=%5bvalue%5d" TargetMode="External" Id="rId23"/><Relationship Type="http://schemas.openxmlformats.org/officeDocument/2006/relationships/hyperlink" Target="https://your-domain.com/meals?q=%5bsearch-term%5d" TargetMode="External" Id="rId24"/><Relationship Type="http://schemas.openxmlformats.org/officeDocument/2006/relationships/hyperlink" Target="https://your-domain.com/meals/%5bid%5d" TargetMode="External" Id="rId25"/><Relationship Type="http://schemas.openxmlformats.org/officeDocument/2006/relationships/hyperlink" Target="https://your-domain.com/meals/new" TargetMode="External" Id="rId26"/><Relationship Type="http://schemas.openxmlformats.org/officeDocument/2006/relationships/hyperlink" Target="https://your-domain.com/meals" TargetMode="External" Id="rId27"/><Relationship Type="http://schemas.openxmlformats.org/officeDocument/2006/relationships/hyperlink" Target="https://your-domain.com/meals/new" TargetMode="External" Id="rId28"/><Relationship Type="http://schemas.openxmlformats.org/officeDocument/2006/relationships/hyperlink" Target="https://your-domain.com/orders" TargetMode="External" Id="rId29"/><Relationship Type="http://schemas.openxmlformats.org/officeDocument/2006/relationships/hyperlink" Target="https://your-domain.com/orders/%5bid%5d" TargetMode="External" Id="rId30"/><Relationship Type="http://schemas.openxmlformats.org/officeDocument/2006/relationships/hyperlink" Target="https://your-domain.com/orders/%5bid%5d" TargetMode="External" Id="rId31"/><Relationship Type="http://schemas.openxmlformats.org/officeDocument/2006/relationships/hyperlink" Target="https://your-domain.com/orders" TargetMode="External" Id="rId32"/><Relationship Type="http://schemas.openxmlformats.org/officeDocument/2006/relationships/hyperlink" Target="https://your-domain.com/orders" TargetMode="External" Id="rId33"/><Relationship Type="http://schemas.openxmlformats.org/officeDocument/2006/relationships/hyperlink" Target="https://your-domain.com/orders" TargetMode="External" Id="rId34"/><Relationship Type="http://schemas.openxmlformats.org/officeDocument/2006/relationships/hyperlink" Target="https://your-domain.com/orders" TargetMode="External" Id="rId35"/><Relationship Type="http://schemas.openxmlformats.org/officeDocument/2006/relationships/hyperlink" Target="https://your-domain.com/profile/%5bid%5d" TargetMode="External" Id="rId36"/><Relationship Type="http://schemas.openxmlformats.org/officeDocument/2006/relationships/hyperlink" Target="https://your-domain.com/profile/%5bid%5d/edit" TargetMode="External" Id="rId37"/><Relationship Type="http://schemas.openxmlformats.org/officeDocument/2006/relationships/hyperlink" Target="https://your-domain.com/profile" TargetMode="External" Id="rId38"/><Relationship Type="http://schemas.openxmlformats.org/officeDocument/2006/relationships/hyperlink" Target="https://your-domain.com/profile/%5bid%5d/edit" TargetMode="External" Id="rId39"/><Relationship Type="http://schemas.openxmlformats.org/officeDocument/2006/relationships/hyperlink" Target="https://your-domain.com/profile" TargetMode="External" Id="rId40"/><Relationship Type="http://schemas.openxmlformats.org/officeDocument/2006/relationships/hyperlink" Target="https://your-domain.com/profile/%5bid%5d" TargetMode="External" Id="rId41"/><Relationship Type="http://schemas.openxmlformats.org/officeDocument/2006/relationships/hyperlink" Target="https://your-domain.com/profile" TargetMode="External" Id="rId42"/><Relationship Type="http://schemas.openxmlformats.org/officeDocument/2006/relationships/hyperlink" Target="https://your-domain.com/wallet/%5bid%5d" TargetMode="External" Id="rId43"/><Relationship Type="http://schemas.openxmlformats.org/officeDocument/2006/relationships/hyperlink" Target="https://your-domain.com/wallet/new" TargetMode="External" Id="rId44"/><Relationship Type="http://schemas.openxmlformats.org/officeDocument/2006/relationships/hyperlink" Target="https://your-domain.com/wallet/%5bid%5d" TargetMode="External" Id="rId45"/><Relationship Type="http://schemas.openxmlformats.org/officeDocument/2006/relationships/hyperlink" Target="https://your-domain.com/wallet/%5bid%5d" TargetMode="External" Id="rId46"/><Relationship Type="http://schemas.openxmlformats.org/officeDocument/2006/relationships/hyperlink" Target="https://your-domain.com/wallet/new" TargetMode="External" Id="rId47"/><Relationship Type="http://schemas.openxmlformats.org/officeDocument/2006/relationships/hyperlink" Target="https://your-domain.com/wallet" TargetMode="External" Id="rId48"/><Relationship Type="http://schemas.openxmlformats.org/officeDocument/2006/relationships/hyperlink" Target="https://your-domain.com/profile?tab=referral/%5bid%5d" TargetMode="External" Id="rId49"/><Relationship Type="http://schemas.openxmlformats.org/officeDocument/2006/relationships/hyperlink" Target="https://your-domain.com/profile?tab=referral" TargetMode="External" Id="rId50"/><Relationship Type="http://schemas.openxmlformats.org/officeDocument/2006/relationships/hyperlink" Target="https://your-domain.com/profile?tab=referral" TargetMode="External" Id="rId51"/><Relationship Type="http://schemas.openxmlformats.org/officeDocument/2006/relationships/hyperlink" Target="https://your-domain.com/profile?tab=referral/%5bid%5d" TargetMode="External" Id="rId52"/><Relationship Type="http://schemas.openxmlformats.org/officeDocument/2006/relationships/hyperlink" Target="https://your-domain.com/profile?tab=referral" TargetMode="External" Id="rId53"/><Relationship Type="http://schemas.openxmlformats.org/officeDocument/2006/relationships/hyperlink" Target="https://your-domain.com/meals/new" TargetMode="External" Id="rId54"/><Relationship Type="http://schemas.openxmlformats.org/officeDocument/2006/relationships/hyperlink" Target="https://your-domain.com/meals" TargetMode="External" Id="rId55"/><Relationship Type="http://schemas.openxmlformats.org/officeDocument/2006/relationships/hyperlink" Target="https://your-domain.com/meals" TargetMode="External" Id="rId56"/><Relationship Type="http://schemas.openxmlformats.org/officeDocument/2006/relationships/hyperlink" Target="https://your-domain.com/meals/%5bid%5d" TargetMode="External" Id="rId57"/><Relationship Type="http://schemas.openxmlformats.org/officeDocument/2006/relationships/hyperlink" Target="https://your-domain.com/meals/%5bid%5d" TargetMode="External" Id="rId58"/><Relationship Type="http://schemas.openxmlformats.org/officeDocument/2006/relationships/hyperlink" Target="https://your-domain.com/orders" TargetMode="External" Id="rId59"/><Relationship Type="http://schemas.openxmlformats.org/officeDocument/2006/relationships/hyperlink" Target="https://your-domain.com/orders" TargetMode="External" Id="rId60"/><Relationship Type="http://schemas.openxmlformats.org/officeDocument/2006/relationships/hyperlink" Target="https://your-domain.com/orders" TargetMode="External" Id="rId61"/><Relationship Type="http://schemas.openxmlformats.org/officeDocument/2006/relationships/hyperlink" Target="https://your-domain.com/orders" TargetMode="External" Id="rId62"/><Relationship Type="http://schemas.openxmlformats.org/officeDocument/2006/relationships/hyperlink" Target="https://your-domain.com/orders/%5bid%5d" TargetMode="External" Id="rId63"/><Relationship Type="http://schemas.openxmlformats.org/officeDocument/2006/relationships/hyperlink" Target="https://your-domain.com/orders/new" TargetMode="External" Id="rId64"/><Relationship Type="http://schemas.openxmlformats.org/officeDocument/2006/relationships/hyperlink" Target="https://your-domain.com/subscription/%5bid%5d" TargetMode="External" Id="rId65"/><Relationship Type="http://schemas.openxmlformats.org/officeDocument/2006/relationships/hyperlink" Target="https://your-domain.com/subscription" TargetMode="External" Id="rId66"/><Relationship Type="http://schemas.openxmlformats.org/officeDocument/2006/relationships/hyperlink" Target="https://your-domain.com/subscription" TargetMode="External" Id="rId67"/><Relationship Type="http://schemas.openxmlformats.org/officeDocument/2006/relationships/hyperlink" Target="https://your-domain.com/subscription" TargetMode="External" Id="rId68"/><Relationship Type="http://schemas.openxmlformats.org/officeDocument/2006/relationships/hyperlink" Target="https://your-domain.com/profile/new" TargetMode="External" Id="rId69"/><Relationship Type="http://schemas.openxmlformats.org/officeDocument/2006/relationships/hyperlink" Target="https://your-domain.com/profile/new" TargetMode="External" Id="rId70"/><Relationship Type="http://schemas.openxmlformats.org/officeDocument/2006/relationships/hyperlink" Target="https://your-domain.com/profile/new" TargetMode="External" Id="rId71"/><Relationship Type="http://schemas.openxmlformats.org/officeDocument/2006/relationships/hyperlink" Target="https://your-domain.com/profile" TargetMode="External" Id="rId72"/><Relationship Type="http://schemas.openxmlformats.org/officeDocument/2006/relationships/hyperlink" Target="https://your-domain.com/profile" TargetMode="External" Id="rId73"/><Relationship Type="http://schemas.openxmlformats.org/officeDocument/2006/relationships/hyperlink" Target="https://your-domain.com/profile" TargetMode="External" Id="rId74"/><Relationship Type="http://schemas.openxmlformats.org/officeDocument/2006/relationships/hyperlink" Target="https://your-domain.com/profile" TargetMode="External" Id="rId75"/><Relationship Type="http://schemas.openxmlformats.org/officeDocument/2006/relationships/hyperlink" Target="https://your-domain.com/" TargetMode="External" Id="rId76"/><Relationship Type="http://schemas.openxmlformats.org/officeDocument/2006/relationships/hyperlink" Target="https://your-domain.com/" TargetMode="External" Id="rId77"/><Relationship Type="http://schemas.openxmlformats.org/officeDocument/2006/relationships/hyperlink" Target="https://your-domain.com/" TargetMode="External" Id="rId78"/><Relationship Type="http://schemas.openxmlformats.org/officeDocument/2006/relationships/hyperlink" Target="https://your-domain.com/" TargetMode="External" Id="rId79"/><Relationship Type="http://schemas.openxmlformats.org/officeDocument/2006/relationships/hyperlink" Target="https://your-domain.com/" TargetMode="External" Id="rId80"/><Relationship Type="http://schemas.openxmlformats.org/officeDocument/2006/relationships/hyperlink" Target="https://your-domain.com/" TargetMode="External" Id="rId81"/></Relationships>
</file>

<file path=xl/worksheets/_rels/sheet4.xml.rels><Relationships xmlns="http://schemas.openxmlformats.org/package/2006/relationships"><Relationship Type="http://schemas.openxmlformats.org/officeDocument/2006/relationships/hyperlink" Target="https://your-domain.com/admin/auth" TargetMode="External" Id="rId1"/><Relationship Type="http://schemas.openxmlformats.org/officeDocument/2006/relationships/hyperlink" Target="https://your-domain.com/admin/auth" TargetMode="External" Id="rId2"/><Relationship Type="http://schemas.openxmlformats.org/officeDocument/2006/relationships/hyperlink" Target="https://your-domain.com/admin/auth" TargetMode="External" Id="rId3"/><Relationship Type="http://schemas.openxmlformats.org/officeDocument/2006/relationships/hyperlink" Target="https://your-domain.com/admin/auth" TargetMode="External" Id="rId4"/><Relationship Type="http://schemas.openxmlformats.org/officeDocument/2006/relationships/hyperlink" Target="https://your-domain.com/admin/dashboard" TargetMode="External" Id="rId5"/><Relationship Type="http://schemas.openxmlformats.org/officeDocument/2006/relationships/hyperlink" Target="https://your-domain.com/admin/dashboard" TargetMode="External" Id="rId6"/><Relationship Type="http://schemas.openxmlformats.org/officeDocument/2006/relationships/hyperlink" Target="https://your-domain.com/admin/dashboard" TargetMode="External" Id="rId7"/><Relationship Type="http://schemas.openxmlformats.org/officeDocument/2006/relationships/hyperlink" Target="https://your-domain.com/admin/dashboard/%5bid%5d" TargetMode="External" Id="rId8"/><Relationship Type="http://schemas.openxmlformats.org/officeDocument/2006/relationships/hyperlink" Target="https://your-domain.com/admin/users/%5bid%5d" TargetMode="External" Id="rId9"/><Relationship Type="http://schemas.openxmlformats.org/officeDocument/2006/relationships/hyperlink" Target="https://your-domain.com/admin/users?q=%5bsearch-term%5d" TargetMode="External" Id="rId10"/><Relationship Type="http://schemas.openxmlformats.org/officeDocument/2006/relationships/hyperlink" Target="https://your-domain.com/admin/users?filter=%5bvalue%5d" TargetMode="External" Id="rId11"/><Relationship Type="http://schemas.openxmlformats.org/officeDocument/2006/relationships/hyperlink" Target="https://your-domain.com/admin/users/%5bid%5d" TargetMode="External" Id="rId12"/><Relationship Type="http://schemas.openxmlformats.org/officeDocument/2006/relationships/hyperlink" Target="https://your-domain.com/admin/users/%5bid%5d/edit" TargetMode="External" Id="rId13"/><Relationship Type="http://schemas.openxmlformats.org/officeDocument/2006/relationships/hyperlink" Target="https://your-domain.com/admin/users" TargetMode="External" Id="rId14"/><Relationship Type="http://schemas.openxmlformats.org/officeDocument/2006/relationships/hyperlink" Target="https://your-domain.com/admin/users" TargetMode="External" Id="rId15"/><Relationship Type="http://schemas.openxmlformats.org/officeDocument/2006/relationships/hyperlink" Target="https://your-domain.com/admin/restaurants/%5bid%5d" TargetMode="External" Id="rId16"/><Relationship Type="http://schemas.openxmlformats.org/officeDocument/2006/relationships/hyperlink" Target="https://your-domain.com/admin/restaurants/%5bid%5d" TargetMode="External" Id="rId17"/><Relationship Type="http://schemas.openxmlformats.org/officeDocument/2006/relationships/hyperlink" Target="https://your-domain.com/admin/restaurants" TargetMode="External" Id="rId18"/><Relationship Type="http://schemas.openxmlformats.org/officeDocument/2006/relationships/hyperlink" Target="https://your-domain.com/admin/restaurants" TargetMode="External" Id="rId19"/><Relationship Type="http://schemas.openxmlformats.org/officeDocument/2006/relationships/hyperlink" Target="https://your-domain.com/admin/restaurants/%5bid%5d" TargetMode="External" Id="rId20"/><Relationship Type="http://schemas.openxmlformats.org/officeDocument/2006/relationships/hyperlink" Target="https://your-domain.com/admin/restaurants/%5bid%5d/edit" TargetMode="External" Id="rId21"/><Relationship Type="http://schemas.openxmlformats.org/officeDocument/2006/relationships/hyperlink" Target="https://your-domain.com/admin/restaurants" TargetMode="External" Id="rId22"/><Relationship Type="http://schemas.openxmlformats.org/officeDocument/2006/relationships/hyperlink" Target="https://your-domain.com/admin/restaurants" TargetMode="External" Id="rId23"/><Relationship Type="http://schemas.openxmlformats.org/officeDocument/2006/relationships/hyperlink" Target="https://your-domain.com/admin/restaurants" TargetMode="External" Id="rId24"/><Relationship Type="http://schemas.openxmlformats.org/officeDocument/2006/relationships/hyperlink" Target="https://your-domain.com/admin/restaurants" TargetMode="External" Id="rId25"/><Relationship Type="http://schemas.openxmlformats.org/officeDocument/2006/relationships/hyperlink" Target="https://your-domain.com/admin/orders/%5bid%5d" TargetMode="External" Id="rId26"/><Relationship Type="http://schemas.openxmlformats.org/officeDocument/2006/relationships/hyperlink" Target="https://your-domain.com/admin/orders?filter=%5bvalue%5d" TargetMode="External" Id="rId27"/><Relationship Type="http://schemas.openxmlformats.org/officeDocument/2006/relationships/hyperlink" Target="https://your-domain.com/admin/orders?q=%5bsearch-term%5d" TargetMode="External" Id="rId28"/><Relationship Type="http://schemas.openxmlformats.org/officeDocument/2006/relationships/hyperlink" Target="https://your-domain.com/admin/orders/%5bid%5d" TargetMode="External" Id="rId29"/><Relationship Type="http://schemas.openxmlformats.org/officeDocument/2006/relationships/hyperlink" Target="https://your-domain.com/admin/orders/%5bid%5d/edit" TargetMode="External" Id="rId30"/><Relationship Type="http://schemas.openxmlformats.org/officeDocument/2006/relationships/hyperlink" Target="https://your-domain.com/admin/orders" TargetMode="External" Id="rId31"/><Relationship Type="http://schemas.openxmlformats.org/officeDocument/2006/relationships/hyperlink" Target="https://your-domain.com/admin/orders" TargetMode="External" Id="rId32"/><Relationship Type="http://schemas.openxmlformats.org/officeDocument/2006/relationships/hyperlink" Target="https://your-domain.com/admin/orders" TargetMode="External" Id="rId33"/><Relationship Type="http://schemas.openxmlformats.org/officeDocument/2006/relationships/hyperlink" Target="https://your-domain.com/admin/subscriptions/%5bid%5d" TargetMode="External" Id="rId34"/><Relationship Type="http://schemas.openxmlformats.org/officeDocument/2006/relationships/hyperlink" Target="https://your-domain.com/admin/subscriptions/%5bid%5d" TargetMode="External" Id="rId35"/><Relationship Type="http://schemas.openxmlformats.org/officeDocument/2006/relationships/hyperlink" Target="https://your-domain.com/admin/subscriptions/%5bid%5d/edit" TargetMode="External" Id="rId36"/><Relationship Type="http://schemas.openxmlformats.org/officeDocument/2006/relationships/hyperlink" Target="https://your-domain.com/admin/subscriptions/new" TargetMode="External" Id="rId37"/><Relationship Type="http://schemas.openxmlformats.org/officeDocument/2006/relationships/hyperlink" Target="https://your-domain.com/admin/subscriptions" TargetMode="External" Id="rId38"/><Relationship Type="http://schemas.openxmlformats.org/officeDocument/2006/relationships/hyperlink" Target="https://your-domain.com/admin/subscriptions" TargetMode="External" Id="rId39"/><Relationship Type="http://schemas.openxmlformats.org/officeDocument/2006/relationships/hyperlink" Target="https://your-domain.com/admin/content/%5bid%5d" TargetMode="External" Id="rId40"/><Relationship Type="http://schemas.openxmlformats.org/officeDocument/2006/relationships/hyperlink" Target="https://your-domain.com/admin/content/%5bid%5d/edit" TargetMode="External" Id="rId41"/><Relationship Type="http://schemas.openxmlformats.org/officeDocument/2006/relationships/hyperlink" Target="https://your-domain.com/admin/content" TargetMode="External" Id="rId42"/><Relationship Type="http://schemas.openxmlformats.org/officeDocument/2006/relationships/hyperlink" Target="https://your-domain.com/admin/content" TargetMode="External" Id="rId43"/><Relationship Type="http://schemas.openxmlformats.org/officeDocument/2006/relationships/hyperlink" Target="https://your-domain.com/admin/content/new" TargetMode="External" Id="rId44"/><Relationship Type="http://schemas.openxmlformats.org/officeDocument/2006/relationships/hyperlink" Target="https://your-domain.com/" TargetMode="External" Id="rId45"/><Relationship Type="http://schemas.openxmlformats.org/officeDocument/2006/relationships/hyperlink" Target="https://your-domain.com/" TargetMode="External" Id="rId46"/><Relationship Type="http://schemas.openxmlformats.org/officeDocument/2006/relationships/hyperlink" Target="https://your-domain.com/" TargetMode="External" Id="rId47"/><Relationship Type="http://schemas.openxmlformats.org/officeDocument/2006/relationships/hyperlink" Target="https://your-domain.com/" TargetMode="External" Id="rId48"/><Relationship Type="http://schemas.openxmlformats.org/officeDocument/2006/relationships/hyperlink" Target="https://your-domain.com/admin/payouts/%5bid%5d" TargetMode="External" Id="rId49"/><Relationship Type="http://schemas.openxmlformats.org/officeDocument/2006/relationships/hyperlink" Target="https://your-domain.com/admin/payouts" TargetMode="External" Id="rId50"/><Relationship Type="http://schemas.openxmlformats.org/officeDocument/2006/relationships/hyperlink" Target="https://your-domain.com/admin/payouts/%5bid%5d" TargetMode="External" Id="rId51"/><Relationship Type="http://schemas.openxmlformats.org/officeDocument/2006/relationships/hyperlink" Target="https://your-domain.com/admin/payouts" TargetMode="External" Id="rId52"/><Relationship Type="http://schemas.openxmlformats.org/officeDocument/2006/relationships/hyperlink" Target="https://your-domain.com/admin/settings" TargetMode="External" Id="rId53"/><Relationship Type="http://schemas.openxmlformats.org/officeDocument/2006/relationships/hyperlink" Target="https://your-domain.com/admin/settings" TargetMode="External" Id="rId54"/><Relationship Type="http://schemas.openxmlformats.org/officeDocument/2006/relationships/hyperlink" Target="https://your-domain.com/admin/settings" TargetMode="External" Id="rId55"/><Relationship Type="http://schemas.openxmlformats.org/officeDocument/2006/relationships/hyperlink" Target="https://your-domain.com/admin/settings" TargetMode="External" Id="rId56"/><Relationship Type="http://schemas.openxmlformats.org/officeDocument/2006/relationships/hyperlink" Target="https://your-domain.com/admin/restaurants/%5bid%5d" TargetMode="External" Id="rId57"/><Relationship Type="http://schemas.openxmlformats.org/officeDocument/2006/relationships/hyperlink" Target="https://your-domain.com/admin/restaurants/new" TargetMode="External" Id="rId58"/><Relationship Type="http://schemas.openxmlformats.org/officeDocument/2006/relationships/hyperlink" Target="https://your-domain.com/admin/restaurants" TargetMode="External" Id="rId59"/><Relationship Type="http://schemas.openxmlformats.org/officeDocument/2006/relationships/hyperlink" Target="https://your-domain.com/admin/restaurants" TargetMode="External" Id="rId60"/><Relationship Type="http://schemas.openxmlformats.org/officeDocument/2006/relationships/hyperlink" Target="https://your-domain.com/admin/restaurants/%5bid%5d" TargetMode="External" Id="rId61"/><Relationship Type="http://schemas.openxmlformats.org/officeDocument/2006/relationships/hyperlink" Target="https://your-domain.com/admin/payouts" TargetMode="External" Id="rId62"/><Relationship Type="http://schemas.openxmlformats.org/officeDocument/2006/relationships/hyperlink" Target="https://your-domain.com/admin/payouts/%5bid%5d" TargetMode="External" Id="rId63"/><Relationship Type="http://schemas.openxmlformats.org/officeDocument/2006/relationships/hyperlink" Target="https://your-domain.com/admin/payouts" TargetMode="External" Id="rId64"/><Relationship Type="http://schemas.openxmlformats.org/officeDocument/2006/relationships/hyperlink" Target="https://your-domain.com/admin/payouts" TargetMode="External" Id="rId65"/><Relationship Type="http://schemas.openxmlformats.org/officeDocument/2006/relationships/hyperlink" Target="https://your-domain.com/admin/payouts" TargetMode="External" Id="rId66"/><Relationship Type="http://schemas.openxmlformats.org/officeDocument/2006/relationships/hyperlink" Target="https://your-domain.com/admin/users" TargetMode="External" Id="rId67"/><Relationship Type="http://schemas.openxmlformats.org/officeDocument/2006/relationships/hyperlink" Target="https://your-domain.com/admin/users" TargetMode="External" Id="rId68"/><Relationship Type="http://schemas.openxmlformats.org/officeDocument/2006/relationships/hyperlink" Target="https://your-domain.com/admin/users/%5bid%5d" TargetMode="External" Id="rId69"/><Relationship Type="http://schemas.openxmlformats.org/officeDocument/2006/relationships/hyperlink" Target="https://your-domain.com/admin/content/%5bid%5d/edit" TargetMode="External" Id="rId70"/><Relationship Type="http://schemas.openxmlformats.org/officeDocument/2006/relationships/hyperlink" Target="https://your-domain.com/admin/content/%5bid%5d" TargetMode="External" Id="rId71"/><Relationship Type="http://schemas.openxmlformats.org/officeDocument/2006/relationships/hyperlink" Target="https://your-domain.com/admin/content/new" TargetMode="External" Id="rId72"/><Relationship Type="http://schemas.openxmlformats.org/officeDocument/2006/relationships/hyperlink" Target="https://your-domain.com/admin/content" TargetMode="External" Id="rId73"/><Relationship Type="http://schemas.openxmlformats.org/officeDocument/2006/relationships/hyperlink" Target="https://your-domain.com/admin/analytics/%5bid%5d" TargetMode="External" Id="rId74"/><Relationship Type="http://schemas.openxmlformats.org/officeDocument/2006/relationships/hyperlink" Target="https://your-domain.com/admin/analytics/%5bid%5d" TargetMode="External" Id="rId75"/><Relationship Type="http://schemas.openxmlformats.org/officeDocument/2006/relationships/hyperlink" Target="https://your-domain.com/admin/analytics/%5bid%5d" TargetMode="External" Id="rId76"/><Relationship Type="http://schemas.openxmlformats.org/officeDocument/2006/relationships/hyperlink" Target="https://your-domain.com/admin/analytics" TargetMode="External" Id="rId77"/><Relationship Type="http://schemas.openxmlformats.org/officeDocument/2006/relationships/hyperlink" Target="https://your-domain.com/admin/settings" TargetMode="External" Id="rId78"/><Relationship Type="http://schemas.openxmlformats.org/officeDocument/2006/relationships/hyperlink" Target="https://your-domain.com/admin/settings/%5bid%5d/edit" TargetMode="External" Id="rId79"/><Relationship Type="http://schemas.openxmlformats.org/officeDocument/2006/relationships/hyperlink" Target="https://your-domain.com/admin/settings" TargetMode="External" Id="rId80"/><Relationship Type="http://schemas.openxmlformats.org/officeDocument/2006/relationships/hyperlink" Target="https://your-domain.com/admin/settings" TargetMode="External" Id="rId81"/><Relationship Type="http://schemas.openxmlformats.org/officeDocument/2006/relationships/hyperlink" Target="https://your-domain.com/" TargetMode="External" Id="rId82"/><Relationship Type="http://schemas.openxmlformats.org/officeDocument/2006/relationships/hyperlink" Target="https://your-domain.com/" TargetMode="External" Id="rId83"/><Relationship Type="http://schemas.openxmlformats.org/officeDocument/2006/relationships/hyperlink" Target="https://your-domain.com/" TargetMode="External" Id="rId84"/><Relationship Type="http://schemas.openxmlformats.org/officeDocument/2006/relationships/hyperlink" Target="https://your-domain.com/" TargetMode="External" Id="rId85"/><Relationship Type="http://schemas.openxmlformats.org/officeDocument/2006/relationships/hyperlink" Target="https://your-domain.com/" TargetMode="External" Id="rId86"/><Relationship Type="http://schemas.openxmlformats.org/officeDocument/2006/relationships/hyperlink" Target="https://your-domain.com/" TargetMode="External" Id="rId87"/></Relationships>
</file>

<file path=xl/worksheets/_rels/sheet5.xml.rels><Relationships xmlns="http://schemas.openxmlformats.org/package/2006/relationships"><Relationship Type="http://schemas.openxmlformats.org/officeDocument/2006/relationships/hyperlink" Target="https://your-domain.com/driver/auth" TargetMode="External" Id="rId1"/><Relationship Type="http://schemas.openxmlformats.org/officeDocument/2006/relationships/hyperlink" Target="https://your-domain.com/driver/auth" TargetMode="External" Id="rId2"/><Relationship Type="http://schemas.openxmlformats.org/officeDocument/2006/relationships/hyperlink" Target="https://your-domain.com/driver/dashboard" TargetMode="External" Id="rId3"/><Relationship Type="http://schemas.openxmlformats.org/officeDocument/2006/relationships/hyperlink" Target="https://your-domain.com/driver/dashboard/%5bid%5d" TargetMode="External" Id="rId4"/><Relationship Type="http://schemas.openxmlformats.org/officeDocument/2006/relationships/hyperlink" Target="https://your-domain.com/driver/deliveries/%5bid%5d" TargetMode="External" Id="rId5"/><Relationship Type="http://schemas.openxmlformats.org/officeDocument/2006/relationships/hyperlink" Target="https://your-domain.com/driver/deliveries" TargetMode="External" Id="rId6"/><Relationship Type="http://schemas.openxmlformats.org/officeDocument/2006/relationships/hyperlink" Target="https://your-domain.com/driver/deliveries/%5bid%5d" TargetMode="External" Id="rId7"/><Relationship Type="http://schemas.openxmlformats.org/officeDocument/2006/relationships/hyperlink" Target="https://your-domain.com/driver/deliveries" TargetMode="External" Id="rId8"/><Relationship Type="http://schemas.openxmlformats.org/officeDocument/2006/relationships/hyperlink" Target="https://your-domain.com/driver/deliveries" TargetMode="External" Id="rId9"/><Relationship Type="http://schemas.openxmlformats.org/officeDocument/2006/relationships/hyperlink" Target="https://your-domain.com/driver/deliveries" TargetMode="External" Id="rId10"/><Relationship Type="http://schemas.openxmlformats.org/officeDocument/2006/relationships/hyperlink" Target="https://your-domain.com/driver/deliveries" TargetMode="External" Id="rId11"/><Relationship Type="http://schemas.openxmlformats.org/officeDocument/2006/relationships/hyperlink" Target="https://your-domain.com/driver/deliveries/%5bid%5d" TargetMode="External" Id="rId12"/><Relationship Type="http://schemas.openxmlformats.org/officeDocument/2006/relationships/hyperlink" Target="https://your-domain.com/driver/deliveries/%5bid%5d" TargetMode="External" Id="rId13"/><Relationship Type="http://schemas.openxmlformats.org/officeDocument/2006/relationships/hyperlink" Target="https://your-domain.com/driver/earnings/%5bid%5d" TargetMode="External" Id="rId14"/><Relationship Type="http://schemas.openxmlformats.org/officeDocument/2006/relationships/hyperlink" Target="https://your-domain.com/driver/earnings/%5bid%5d" TargetMode="External" Id="rId15"/><Relationship Type="http://schemas.openxmlformats.org/officeDocument/2006/relationships/hyperlink" Target="https://your-domain.com/driver/earnings/%5bid%5d" TargetMode="External" Id="rId16"/><Relationship Type="http://schemas.openxmlformats.org/officeDocument/2006/relationships/hyperlink" Target="https://your-domain.com/driver/profile/%5bid%5d" TargetMode="External" Id="rId17"/><Relationship Type="http://schemas.openxmlformats.org/officeDocument/2006/relationships/hyperlink" Target="https://your-domain.com/driver/profile/%5bid%5d/edit" TargetMode="External" Id="rId18"/><Relationship Type="http://schemas.openxmlformats.org/officeDocument/2006/relationships/hyperlink" Target="https://your-domain.com/driver/profile/%5bid%5d/edit" TargetMode="External" Id="rId19"/><Relationship Type="http://schemas.openxmlformats.org/officeDocument/2006/relationships/hyperlink" Target="https://your-domain.com/driver/profile" TargetMode="External" Id="rId20"/><Relationship Type="http://schemas.openxmlformats.org/officeDocument/2006/relationships/hyperlink" Target="https://your-domain.com/driver/profile/%5bid%5d" TargetMode="External" Id="rId21"/><Relationship Type="http://schemas.openxmlformats.org/officeDocument/2006/relationships/hyperlink" Target="https://your-domain.com/driver/auth" TargetMode="External" Id="rId22"/><Relationship Type="http://schemas.openxmlformats.org/officeDocument/2006/relationships/hyperlink" Target="https://your-domain.com/driver/dashboard/%5bid%5d" TargetMode="External" Id="rId23"/><Relationship Type="http://schemas.openxmlformats.org/officeDocument/2006/relationships/hyperlink" Target="https://your-domain.com/driver/dashboard/%5bid%5d" TargetMode="External" Id="rId24"/><Relationship Type="http://schemas.openxmlformats.org/officeDocument/2006/relationships/hyperlink" Target="https://your-domain.com/driver/deliveries?filter=%5bvalue%5d" TargetMode="External" Id="rId25"/><Relationship Type="http://schemas.openxmlformats.org/officeDocument/2006/relationships/hyperlink" Target="https://your-domain.com/driver/deliveries" TargetMode="External" Id="rId26"/><Relationship Type="http://schemas.openxmlformats.org/officeDocument/2006/relationships/hyperlink" Target="https://your-domain.com/driver/deliveries" TargetMode="External" Id="rId27"/><Relationship Type="http://schemas.openxmlformats.org/officeDocument/2006/relationships/hyperlink" Target="https://your-domain.com/driver/deliveries" TargetMode="External" Id="rId28"/><Relationship Type="http://schemas.openxmlformats.org/officeDocument/2006/relationships/hyperlink" Target="https://your-domain.com/driver/deliveries" TargetMode="External" Id="rId29"/><Relationship Type="http://schemas.openxmlformats.org/officeDocument/2006/relationships/hyperlink" Target="https://your-domain.com/driver/deliveries" TargetMode="External" Id="rId30"/><Relationship Type="http://schemas.openxmlformats.org/officeDocument/2006/relationships/hyperlink" Target="https://your-domain.com/driver/deliveries" TargetMode="External" Id="rId31"/><Relationship Type="http://schemas.openxmlformats.org/officeDocument/2006/relationships/hyperlink" Target="https://your-domain.com/driver/deliveries" TargetMode="External" Id="rId32"/><Relationship Type="http://schemas.openxmlformats.org/officeDocument/2006/relationships/hyperlink" Target="https://your-domain.com/driver/deliveries" TargetMode="External" Id="rId33"/><Relationship Type="http://schemas.openxmlformats.org/officeDocument/2006/relationships/hyperlink" Target="https://your-domain.com/driver/deliveries/new" TargetMode="External" Id="rId34"/><Relationship Type="http://schemas.openxmlformats.org/officeDocument/2006/relationships/hyperlink" Target="https://your-domain.com/driver/earnings/%5bid%5d" TargetMode="External" Id="rId35"/><Relationship Type="http://schemas.openxmlformats.org/officeDocument/2006/relationships/hyperlink" Target="https://your-domain.com/driver/earnings/%5bid%5d" TargetMode="External" Id="rId36"/><Relationship Type="http://schemas.openxmlformats.org/officeDocument/2006/relationships/hyperlink" Target="https://your-domain.com/driver/earnings" TargetMode="External" Id="rId37"/><Relationship Type="http://schemas.openxmlformats.org/officeDocument/2006/relationships/hyperlink" Target="https://your-domain.com/driver/earnings" TargetMode="External" Id="rId38"/><Relationship Type="http://schemas.openxmlformats.org/officeDocument/2006/relationships/hyperlink" Target="https://your-domain.com/driver/profile/%5bid%5d/edit" TargetMode="External" Id="rId39"/><Relationship Type="http://schemas.openxmlformats.org/officeDocument/2006/relationships/hyperlink" Target="https://your-domain.com/driver/profile" TargetMode="External" Id="rId40"/><Relationship Type="http://schemas.openxmlformats.org/officeDocument/2006/relationships/hyperlink" Target="https://your-domain.com/driver/profile" TargetMode="External" Id="rId41"/><Relationship Type="http://schemas.openxmlformats.org/officeDocument/2006/relationships/hyperlink" Target="https://your-domain.com/driver/profile" TargetMode="External" Id="rId42"/><Relationship Type="http://schemas.openxmlformats.org/officeDocument/2006/relationships/hyperlink" Target="https://your-domain.com/driver/support" TargetMode="External" Id="rId43"/><Relationship Type="http://schemas.openxmlformats.org/officeDocument/2006/relationships/hyperlink" Target="https://your-domain.com/driver/support" TargetMode="External" Id="rId44"/><Relationship Type="http://schemas.openxmlformats.org/officeDocument/2006/relationships/hyperlink" Target="https://your-domain.com/" TargetMode="External" Id="rId45"/><Relationship Type="http://schemas.openxmlformats.org/officeDocument/2006/relationships/hyperlink" Target="https://your-domain.com/" TargetMode="External" Id="rId46"/><Relationship Type="http://schemas.openxmlformats.org/officeDocument/2006/relationships/hyperlink" Target="https://your-domain.com/" TargetMode="External" Id="rId47"/><Relationship Type="http://schemas.openxmlformats.org/officeDocument/2006/relationships/hyperlink" Target="https://your-domain.com/" TargetMode="External" Id="rId48"/><Relationship Type="http://schemas.openxmlformats.org/officeDocument/2006/relationships/hyperlink" Target="https://your-domain.com/" TargetMode="External" Id="rId49"/><Relationship Type="http://schemas.openxmlformats.org/officeDocument/2006/relationships/hyperlink" Target="https://your-domain.com/" TargetMode="External" Id="rId50"/></Relationships>
</file>

<file path=xl/worksheets/_rels/sheet6.xml.rels><Relationships xmlns="http://schemas.openxmlformats.org/package/2006/relationships"><Relationship Type="http://schemas.openxmlformats.org/officeDocument/2006/relationships/hyperlink" Target="https://your-domain.com/" TargetMode="External" Id="rId1"/><Relationship Type="http://schemas.openxmlformats.org/officeDocument/2006/relationships/hyperlink" Target="https://your-domain.com/" TargetMode="External" Id="rId2"/><Relationship Type="http://schemas.openxmlformats.org/officeDocument/2006/relationships/hyperlink" Target="https://your-domain.com/" TargetMode="External" Id="rId3"/><Relationship Type="http://schemas.openxmlformats.org/officeDocument/2006/relationships/hyperlink" Target="https://your-domain.com/" TargetMode="External" Id="rId4"/><Relationship Type="http://schemas.openxmlformats.org/officeDocument/2006/relationships/hyperlink" Target="https://your-domain.com/" TargetMode="External" Id="rId5"/><Relationship Type="http://schemas.openxmlformats.org/officeDocument/2006/relationships/hyperlink" Target="https://your-domain.com/" TargetMode="External" Id="rId6"/><Relationship Type="http://schemas.openxmlformats.org/officeDocument/2006/relationships/hyperlink" Target="https://your-domain.com/" TargetMode="External" Id="rId7"/><Relationship Type="http://schemas.openxmlformats.org/officeDocument/2006/relationships/hyperlink" Target="https://your-domain.com/" TargetMode="External" Id="rId8"/><Relationship Type="http://schemas.openxmlformats.org/officeDocument/2006/relationships/hyperlink" Target="https://your-domain.com/" TargetMode="External" Id="rId9"/><Relationship Type="http://schemas.openxmlformats.org/officeDocument/2006/relationships/hyperlink" Target="https://your-domain.com/" TargetMode="External" Id="rId10"/><Relationship Type="http://schemas.openxmlformats.org/officeDocument/2006/relationships/hyperlink" Target="https://your-domain.com/" TargetMode="External" Id="rId11"/><Relationship Type="http://schemas.openxmlformats.org/officeDocument/2006/relationships/hyperlink" Target="https://your-domain.com/" TargetMode="External" Id="rId12"/><Relationship Type="http://schemas.openxmlformats.org/officeDocument/2006/relationships/hyperlink" Target="https://your-domain.com/" TargetMode="External" Id="rId13"/><Relationship Type="http://schemas.openxmlformats.org/officeDocument/2006/relationships/hyperlink" Target="https://your-domain.com/" TargetMode="External" Id="rId14"/><Relationship Type="http://schemas.openxmlformats.org/officeDocument/2006/relationships/hyperlink" Target="https://your-domain.com/" TargetMode="External" Id="rId15"/><Relationship Type="http://schemas.openxmlformats.org/officeDocument/2006/relationships/hyperlink" Target="https://your-domain.com/" TargetMode="External" Id="rId16"/><Relationship Type="http://schemas.openxmlformats.org/officeDocument/2006/relationships/hyperlink" Target="https://your-domain.com/" TargetMode="External" Id="rId17"/><Relationship Type="http://schemas.openxmlformats.org/officeDocument/2006/relationships/hyperlink" Target="https://your-domain.com/" TargetMode="External" Id="rId18"/><Relationship Type="http://schemas.openxmlformats.org/officeDocument/2006/relationships/hyperlink" Target="https://your-domain.com/" TargetMode="External" Id="rId19"/><Relationship Type="http://schemas.openxmlformats.org/officeDocument/2006/relationships/hyperlink" Target="https://your-domain.com/" TargetMode="External" Id="rId20"/><Relationship Type="http://schemas.openxmlformats.org/officeDocument/2006/relationships/hyperlink" Target="https://your-domain.com/" TargetMode="External" Id="rId21"/><Relationship Type="http://schemas.openxmlformats.org/officeDocument/2006/relationships/hyperlink" Target="https://your-domain.com/" TargetMode="External" Id="rId22"/><Relationship Type="http://schemas.openxmlformats.org/officeDocument/2006/relationships/hyperlink" Target="https://your-domain.com/" TargetMode="External" Id="rId23"/><Relationship Type="http://schemas.openxmlformats.org/officeDocument/2006/relationships/hyperlink" Target="https://your-domain.com/" TargetMode="External" Id="rId24"/><Relationship Type="http://schemas.openxmlformats.org/officeDocument/2006/relationships/hyperlink" Target="https://your-domain.com/" TargetMode="External" Id="rId25"/><Relationship Type="http://schemas.openxmlformats.org/officeDocument/2006/relationships/hyperlink" Target="https://your-domain.com/" TargetMode="External" Id="rId26"/><Relationship Type="http://schemas.openxmlformats.org/officeDocument/2006/relationships/hyperlink" Target="https://your-domain.com/" TargetMode="External" Id="rId27"/><Relationship Type="http://schemas.openxmlformats.org/officeDocument/2006/relationships/hyperlink" Target="https://your-domain.com/" TargetMode="External" Id="rId28"/><Relationship Type="http://schemas.openxmlformats.org/officeDocument/2006/relationships/hyperlink" Target="https://your-domain.com/" TargetMode="External" Id="rId29"/><Relationship Type="http://schemas.openxmlformats.org/officeDocument/2006/relationships/hyperlink" Target="https://your-domain.com/" TargetMode="External" Id="rId30"/><Relationship Type="http://schemas.openxmlformats.org/officeDocument/2006/relationships/hyperlink" Target="https://your-domain.com/" TargetMode="External" Id="rId31"/><Relationship Type="http://schemas.openxmlformats.org/officeDocument/2006/relationships/hyperlink" Target="https://your-domain.com/" TargetMode="External" Id="rId32"/><Relationship Type="http://schemas.openxmlformats.org/officeDocument/2006/relationships/hyperlink" Target="https://your-domain.com/" TargetMode="External" Id="rId33"/><Relationship Type="http://schemas.openxmlformats.org/officeDocument/2006/relationships/hyperlink" Target="https://your-domain.com/" TargetMode="External" Id="rId34"/></Relationships>
</file>

<file path=xl/worksheets/_rels/sheet8.xml.rels><Relationships xmlns="http://schemas.openxmlformats.org/package/2006/relationships"><Relationship Type="http://schemas.openxmlformats.org/officeDocument/2006/relationships/hyperlink" Target="https://your-domain.com/auth" TargetMode="External" Id="rId1"/><Relationship Type="http://schemas.openxmlformats.org/officeDocument/2006/relationships/hyperlink" Target="https://your-domain.com/auth" TargetMode="External" Id="rId2"/><Relationship Type="http://schemas.openxmlformats.org/officeDocument/2006/relationships/hyperlink" Target="https://your-domain.com/auth" TargetMode="External" Id="rId3"/><Relationship Type="http://schemas.openxmlformats.org/officeDocument/2006/relationships/hyperlink" Target="https://your-domain.com/auth" TargetMode="External" Id="rId4"/><Relationship Type="http://schemas.openxmlformats.org/officeDocument/2006/relationships/hyperlink" Target="https://your-domain.com/auth" TargetMode="External" Id="rId5"/><Relationship Type="http://schemas.openxmlformats.org/officeDocument/2006/relationships/hyperlink" Target="https://your-domain.com/dashboard" TargetMode="External" Id="rId6"/><Relationship Type="http://schemas.openxmlformats.org/officeDocument/2006/relationships/hyperlink" Target="https://your-domain.com/dashboard" TargetMode="External" Id="rId7"/><Relationship Type="http://schemas.openxmlformats.org/officeDocument/2006/relationships/hyperlink" Target="https://your-domain.com/dashboard" TargetMode="External" Id="rId8"/><Relationship Type="http://schemas.openxmlformats.org/officeDocument/2006/relationships/hyperlink" Target="https://your-domain.com/subscription/%5bid%5d" TargetMode="External" Id="rId9"/><Relationship Type="http://schemas.openxmlformats.org/officeDocument/2006/relationships/hyperlink" Target="https://your-domain.com/subscription" TargetMode="External" Id="rId10"/><Relationship Type="http://schemas.openxmlformats.org/officeDocument/2006/relationships/hyperlink" Target="https://your-domain.com/subscription" TargetMode="External" Id="rId11"/><Relationship Type="http://schemas.openxmlformats.org/officeDocument/2006/relationships/hyperlink" Target="https://your-domain.com/subscription" TargetMode="External" Id="rId12"/><Relationship Type="http://schemas.openxmlformats.org/officeDocument/2006/relationships/hyperlink" Target="https://your-domain.com/subscription" TargetMode="External" Id="rId13"/><Relationship Type="http://schemas.openxmlformats.org/officeDocument/2006/relationships/hyperlink" Target="https://your-domain.com/subscription" TargetMode="External" Id="rId14"/><Relationship Type="http://schemas.openxmlformats.org/officeDocument/2006/relationships/hyperlink" Target="https://your-domain.com/subscription" TargetMode="External" Id="rId15"/><Relationship Type="http://schemas.openxmlformats.org/officeDocument/2006/relationships/hyperlink" Target="https://your-domain.com/subscription" TargetMode="External" Id="rId16"/><Relationship Type="http://schemas.openxmlformats.org/officeDocument/2006/relationships/hyperlink" Target="https://your-domain.com/subscription" TargetMode="External" Id="rId17"/><Relationship Type="http://schemas.openxmlformats.org/officeDocument/2006/relationships/hyperlink" Target="https://your-domain.com/subscription" TargetMode="External" Id="rId18"/><Relationship Type="http://schemas.openxmlformats.org/officeDocument/2006/relationships/hyperlink" Target="https://your-domain.com/subscription" TargetMode="External" Id="rId19"/><Relationship Type="http://schemas.openxmlformats.org/officeDocument/2006/relationships/hyperlink" Target="https://your-domain.com/meals" TargetMode="External" Id="rId20"/><Relationship Type="http://schemas.openxmlformats.org/officeDocument/2006/relationships/hyperlink" Target="https://your-domain.com/meals?filter=%5bvalue%5d" TargetMode="External" Id="rId21"/><Relationship Type="http://schemas.openxmlformats.org/officeDocument/2006/relationships/hyperlink" Target="https://your-domain.com/meals?filter=%5bvalue%5d" TargetMode="External" Id="rId22"/><Relationship Type="http://schemas.openxmlformats.org/officeDocument/2006/relationships/hyperlink" Target="https://your-domain.com/meals?filter=%5bvalue%5d" TargetMode="External" Id="rId23"/><Relationship Type="http://schemas.openxmlformats.org/officeDocument/2006/relationships/hyperlink" Target="https://your-domain.com/meals?q=%5bsearch-term%5d" TargetMode="External" Id="rId24"/><Relationship Type="http://schemas.openxmlformats.org/officeDocument/2006/relationships/hyperlink" Target="https://your-domain.com/meals/%5bid%5d" TargetMode="External" Id="rId25"/><Relationship Type="http://schemas.openxmlformats.org/officeDocument/2006/relationships/hyperlink" Target="https://your-domain.com/meals/new" TargetMode="External" Id="rId26"/><Relationship Type="http://schemas.openxmlformats.org/officeDocument/2006/relationships/hyperlink" Target="https://your-domain.com/meals" TargetMode="External" Id="rId27"/><Relationship Type="http://schemas.openxmlformats.org/officeDocument/2006/relationships/hyperlink" Target="https://your-domain.com/meals/new" TargetMode="External" Id="rId28"/><Relationship Type="http://schemas.openxmlformats.org/officeDocument/2006/relationships/hyperlink" Target="https://your-domain.com/orders" TargetMode="External" Id="rId29"/><Relationship Type="http://schemas.openxmlformats.org/officeDocument/2006/relationships/hyperlink" Target="https://your-domain.com/orders/%5bid%5d" TargetMode="External" Id="rId30"/><Relationship Type="http://schemas.openxmlformats.org/officeDocument/2006/relationships/hyperlink" Target="https://your-domain.com/orders/%5bid%5d" TargetMode="External" Id="rId31"/><Relationship Type="http://schemas.openxmlformats.org/officeDocument/2006/relationships/hyperlink" Target="https://your-domain.com/orders" TargetMode="External" Id="rId32"/><Relationship Type="http://schemas.openxmlformats.org/officeDocument/2006/relationships/hyperlink" Target="https://your-domain.com/orders" TargetMode="External" Id="rId33"/><Relationship Type="http://schemas.openxmlformats.org/officeDocument/2006/relationships/hyperlink" Target="https://your-domain.com/orders" TargetMode="External" Id="rId34"/><Relationship Type="http://schemas.openxmlformats.org/officeDocument/2006/relationships/hyperlink" Target="https://your-domain.com/orders" TargetMode="External" Id="rId35"/><Relationship Type="http://schemas.openxmlformats.org/officeDocument/2006/relationships/hyperlink" Target="https://your-domain.com/profile/%5bid%5d" TargetMode="External" Id="rId36"/><Relationship Type="http://schemas.openxmlformats.org/officeDocument/2006/relationships/hyperlink" Target="https://your-domain.com/profile/%5bid%5d/edit" TargetMode="External" Id="rId37"/><Relationship Type="http://schemas.openxmlformats.org/officeDocument/2006/relationships/hyperlink" Target="https://your-domain.com/profile" TargetMode="External" Id="rId38"/><Relationship Type="http://schemas.openxmlformats.org/officeDocument/2006/relationships/hyperlink" Target="https://your-domain.com/profile/%5bid%5d/edit" TargetMode="External" Id="rId39"/><Relationship Type="http://schemas.openxmlformats.org/officeDocument/2006/relationships/hyperlink" Target="https://your-domain.com/profile" TargetMode="External" Id="rId40"/><Relationship Type="http://schemas.openxmlformats.org/officeDocument/2006/relationships/hyperlink" Target="https://your-domain.com/profile/%5bid%5d" TargetMode="External" Id="rId41"/><Relationship Type="http://schemas.openxmlformats.org/officeDocument/2006/relationships/hyperlink" Target="https://your-domain.com/profile" TargetMode="External" Id="rId42"/><Relationship Type="http://schemas.openxmlformats.org/officeDocument/2006/relationships/hyperlink" Target="https://your-domain.com/wallet/%5bid%5d" TargetMode="External" Id="rId43"/><Relationship Type="http://schemas.openxmlformats.org/officeDocument/2006/relationships/hyperlink" Target="https://your-domain.com/wallet/new" TargetMode="External" Id="rId44"/><Relationship Type="http://schemas.openxmlformats.org/officeDocument/2006/relationships/hyperlink" Target="https://your-domain.com/wallet/%5bid%5d" TargetMode="External" Id="rId45"/><Relationship Type="http://schemas.openxmlformats.org/officeDocument/2006/relationships/hyperlink" Target="https://your-domain.com/partner/auth" TargetMode="External" Id="rId46"/><Relationship Type="http://schemas.openxmlformats.org/officeDocument/2006/relationships/hyperlink" Target="https://your-domain.com/partner/auth" TargetMode="External" Id="rId47"/><Relationship Type="http://schemas.openxmlformats.org/officeDocument/2006/relationships/hyperlink" Target="https://your-domain.com/partner/auth" TargetMode="External" Id="rId48"/><Relationship Type="http://schemas.openxmlformats.org/officeDocument/2006/relationships/hyperlink" Target="https://your-domain.com/partner/dashboard" TargetMode="External" Id="rId49"/><Relationship Type="http://schemas.openxmlformats.org/officeDocument/2006/relationships/hyperlink" Target="https://your-domain.com/partner/dashboard" TargetMode="External" Id="rId50"/><Relationship Type="http://schemas.openxmlformats.org/officeDocument/2006/relationships/hyperlink" Target="https://your-domain.com/partner/dashboard" TargetMode="External" Id="rId51"/><Relationship Type="http://schemas.openxmlformats.org/officeDocument/2006/relationships/hyperlink" Target="https://your-domain.com/partner/orders/%5bid%5d" TargetMode="External" Id="rId52"/><Relationship Type="http://schemas.openxmlformats.org/officeDocument/2006/relationships/hyperlink" Target="https://your-domain.com/partner/orders/%5bid%5d" TargetMode="External" Id="rId53"/><Relationship Type="http://schemas.openxmlformats.org/officeDocument/2006/relationships/hyperlink" Target="https://your-domain.com/partner/orders" TargetMode="External" Id="rId54"/><Relationship Type="http://schemas.openxmlformats.org/officeDocument/2006/relationships/hyperlink" Target="https://your-domain.com/partner/orders/%5bid%5d/edit" TargetMode="External" Id="rId55"/><Relationship Type="http://schemas.openxmlformats.org/officeDocument/2006/relationships/hyperlink" Target="https://your-domain.com/partner/orders/%5bid%5d" TargetMode="External" Id="rId56"/><Relationship Type="http://schemas.openxmlformats.org/officeDocument/2006/relationships/hyperlink" Target="https://your-domain.com/partner/orders" TargetMode="External" Id="rId57"/><Relationship Type="http://schemas.openxmlformats.org/officeDocument/2006/relationships/hyperlink" Target="https://your-domain.com/partner/menu/%5bid%5d" TargetMode="External" Id="rId58"/><Relationship Type="http://schemas.openxmlformats.org/officeDocument/2006/relationships/hyperlink" Target="https://your-domain.com/partner/menu/new" TargetMode="External" Id="rId59"/><Relationship Type="http://schemas.openxmlformats.org/officeDocument/2006/relationships/hyperlink" Target="https://your-domain.com/partner/menu/%5bid%5d/edit" TargetMode="External" Id="rId60"/><Relationship Type="http://schemas.openxmlformats.org/officeDocument/2006/relationships/hyperlink" Target="https://your-domain.com/partner/menu" TargetMode="External" Id="rId61"/><Relationship Type="http://schemas.openxmlformats.org/officeDocument/2006/relationships/hyperlink" Target="https://your-domain.com/partner/menu" TargetMode="External" Id="rId62"/><Relationship Type="http://schemas.openxmlformats.org/officeDocument/2006/relationships/hyperlink" Target="https://your-domain.com/partner/menu" TargetMode="External" Id="rId63"/><Relationship Type="http://schemas.openxmlformats.org/officeDocument/2006/relationships/hyperlink" Target="https://your-domain.com/partner/menu/new" TargetMode="External" Id="rId64"/><Relationship Type="http://schemas.openxmlformats.org/officeDocument/2006/relationships/hyperlink" Target="https://your-domain.com/partner/payouts/%5bid%5d" TargetMode="External" Id="rId65"/><Relationship Type="http://schemas.openxmlformats.org/officeDocument/2006/relationships/hyperlink" Target="https://your-domain.com/partner/payouts/%5bid%5d" TargetMode="External" Id="rId66"/><Relationship Type="http://schemas.openxmlformats.org/officeDocument/2006/relationships/hyperlink" Target="https://your-domain.com/partner/payouts/%5bid%5d" TargetMode="External" Id="rId67"/><Relationship Type="http://schemas.openxmlformats.org/officeDocument/2006/relationships/hyperlink" Target="https://your-domain.com/partner/payouts/%5bid%5d" TargetMode="External" Id="rId68"/><Relationship Type="http://schemas.openxmlformats.org/officeDocument/2006/relationships/hyperlink" Target="https://your-domain.com/partner/profile/%5bid%5d" TargetMode="External" Id="rId69"/><Relationship Type="http://schemas.openxmlformats.org/officeDocument/2006/relationships/hyperlink" Target="https://your-domain.com/partner/profile/%5bid%5d/edit" TargetMode="External" Id="rId70"/><Relationship Type="http://schemas.openxmlformats.org/officeDocument/2006/relationships/hyperlink" Target="https://your-domain.com/partner/profile/%5bid%5d" TargetMode="External" Id="rId71"/><Relationship Type="http://schemas.openxmlformats.org/officeDocument/2006/relationships/hyperlink" Target="https://your-domain.com/partner/profile" TargetMode="External" Id="rId72"/><Relationship Type="http://schemas.openxmlformats.org/officeDocument/2006/relationships/hyperlink" Target="https://your-domain.com/partner/profile" TargetMode="External" Id="rId73"/><Relationship Type="http://schemas.openxmlformats.org/officeDocument/2006/relationships/hyperlink" Target="https://your-domain.com/partner/profile/%5bid%5d/edit" TargetMode="External" Id="rId74"/><Relationship Type="http://schemas.openxmlformats.org/officeDocument/2006/relationships/hyperlink" Target="https://your-domain.com/partner/profile/%5bid%5d/edit" TargetMode="External" Id="rId75"/><Relationship Type="http://schemas.openxmlformats.org/officeDocument/2006/relationships/hyperlink" Target="https://your-domain.com/admin/auth" TargetMode="External" Id="rId76"/><Relationship Type="http://schemas.openxmlformats.org/officeDocument/2006/relationships/hyperlink" Target="https://your-domain.com/admin/auth" TargetMode="External" Id="rId77"/><Relationship Type="http://schemas.openxmlformats.org/officeDocument/2006/relationships/hyperlink" Target="https://your-domain.com/admin/auth" TargetMode="External" Id="rId78"/><Relationship Type="http://schemas.openxmlformats.org/officeDocument/2006/relationships/hyperlink" Target="https://your-domain.com/admin/auth" TargetMode="External" Id="rId79"/><Relationship Type="http://schemas.openxmlformats.org/officeDocument/2006/relationships/hyperlink" Target="https://your-domain.com/admin/dashboard" TargetMode="External" Id="rId80"/><Relationship Type="http://schemas.openxmlformats.org/officeDocument/2006/relationships/hyperlink" Target="https://your-domain.com/admin/dashboard" TargetMode="External" Id="rId81"/><Relationship Type="http://schemas.openxmlformats.org/officeDocument/2006/relationships/hyperlink" Target="https://your-domain.com/admin/dashboard" TargetMode="External" Id="rId82"/><Relationship Type="http://schemas.openxmlformats.org/officeDocument/2006/relationships/hyperlink" Target="https://your-domain.com/admin/dashboard/%5bid%5d" TargetMode="External" Id="rId83"/><Relationship Type="http://schemas.openxmlformats.org/officeDocument/2006/relationships/hyperlink" Target="https://your-domain.com/admin/users/%5bid%5d" TargetMode="External" Id="rId84"/><Relationship Type="http://schemas.openxmlformats.org/officeDocument/2006/relationships/hyperlink" Target="https://your-domain.com/admin/users?q=%5bsearch-term%5d" TargetMode="External" Id="rId85"/><Relationship Type="http://schemas.openxmlformats.org/officeDocument/2006/relationships/hyperlink" Target="https://your-domain.com/admin/users?filter=%5bvalue%5d" TargetMode="External" Id="rId86"/><Relationship Type="http://schemas.openxmlformats.org/officeDocument/2006/relationships/hyperlink" Target="https://your-domain.com/admin/users/%5bid%5d" TargetMode="External" Id="rId87"/><Relationship Type="http://schemas.openxmlformats.org/officeDocument/2006/relationships/hyperlink" Target="https://your-domain.com/admin/users/%5bid%5d/edit" TargetMode="External" Id="rId88"/><Relationship Type="http://schemas.openxmlformats.org/officeDocument/2006/relationships/hyperlink" Target="https://your-domain.com/admin/users" TargetMode="External" Id="rId89"/><Relationship Type="http://schemas.openxmlformats.org/officeDocument/2006/relationships/hyperlink" Target="https://your-domain.com/admin/users" TargetMode="External" Id="rId90"/><Relationship Type="http://schemas.openxmlformats.org/officeDocument/2006/relationships/hyperlink" Target="https://your-domain.com/admin/restaurants/%5bid%5d" TargetMode="External" Id="rId91"/><Relationship Type="http://schemas.openxmlformats.org/officeDocument/2006/relationships/hyperlink" Target="https://your-domain.com/admin/restaurants/%5bid%5d" TargetMode="External" Id="rId92"/><Relationship Type="http://schemas.openxmlformats.org/officeDocument/2006/relationships/hyperlink" Target="https://your-domain.com/admin/restaurants" TargetMode="External" Id="rId93"/><Relationship Type="http://schemas.openxmlformats.org/officeDocument/2006/relationships/hyperlink" Target="https://your-domain.com/admin/restaurants" TargetMode="External" Id="rId94"/><Relationship Type="http://schemas.openxmlformats.org/officeDocument/2006/relationships/hyperlink" Target="https://your-domain.com/admin/restaurants/%5bid%5d" TargetMode="External" Id="rId95"/><Relationship Type="http://schemas.openxmlformats.org/officeDocument/2006/relationships/hyperlink" Target="https://your-domain.com/admin/restaurants/%5bid%5d/edit" TargetMode="External" Id="rId96"/><Relationship Type="http://schemas.openxmlformats.org/officeDocument/2006/relationships/hyperlink" Target="https://your-domain.com/admin/restaurants" TargetMode="External" Id="rId97"/><Relationship Type="http://schemas.openxmlformats.org/officeDocument/2006/relationships/hyperlink" Target="https://your-domain.com/admin/restaurants" TargetMode="External" Id="rId98"/><Relationship Type="http://schemas.openxmlformats.org/officeDocument/2006/relationships/hyperlink" Target="https://your-domain.com/admin/restaurants" TargetMode="External" Id="rId99"/><Relationship Type="http://schemas.openxmlformats.org/officeDocument/2006/relationships/hyperlink" Target="https://your-domain.com/admin/restaurants" TargetMode="External" Id="rId100"/><Relationship Type="http://schemas.openxmlformats.org/officeDocument/2006/relationships/hyperlink" Target="https://your-domain.com/admin/orders/%5bid%5d" TargetMode="External" Id="rId101"/><Relationship Type="http://schemas.openxmlformats.org/officeDocument/2006/relationships/hyperlink" Target="https://your-domain.com/admin/orders?filter=%5bvalue%5d" TargetMode="External" Id="rId102"/><Relationship Type="http://schemas.openxmlformats.org/officeDocument/2006/relationships/hyperlink" Target="https://your-domain.com/admin/orders?q=%5bsearch-term%5d" TargetMode="External" Id="rId103"/><Relationship Type="http://schemas.openxmlformats.org/officeDocument/2006/relationships/hyperlink" Target="https://your-domain.com/admin/orders/%5bid%5d" TargetMode="External" Id="rId104"/><Relationship Type="http://schemas.openxmlformats.org/officeDocument/2006/relationships/hyperlink" Target="https://your-domain.com/admin/orders/%5bid%5d/edit" TargetMode="External" Id="rId105"/><Relationship Type="http://schemas.openxmlformats.org/officeDocument/2006/relationships/hyperlink" Target="https://your-domain.com/admin/orders" TargetMode="External" Id="rId106"/><Relationship Type="http://schemas.openxmlformats.org/officeDocument/2006/relationships/hyperlink" Target="https://your-domain.com/admin/orders" TargetMode="External" Id="rId107"/><Relationship Type="http://schemas.openxmlformats.org/officeDocument/2006/relationships/hyperlink" Target="https://your-domain.com/admin/orders" TargetMode="External" Id="rId108"/><Relationship Type="http://schemas.openxmlformats.org/officeDocument/2006/relationships/hyperlink" Target="https://your-domain.com/admin/subscriptions/%5bid%5d" TargetMode="External" Id="rId109"/><Relationship Type="http://schemas.openxmlformats.org/officeDocument/2006/relationships/hyperlink" Target="https://your-domain.com/admin/subscriptions/%5bid%5d" TargetMode="External" Id="rId110"/><Relationship Type="http://schemas.openxmlformats.org/officeDocument/2006/relationships/hyperlink" Target="https://your-domain.com/admin/subscriptions/%5bid%5d/edit" TargetMode="External" Id="rId111"/><Relationship Type="http://schemas.openxmlformats.org/officeDocument/2006/relationships/hyperlink" Target="https://your-domain.com/admin/subscriptions/new" TargetMode="External" Id="rId112"/><Relationship Type="http://schemas.openxmlformats.org/officeDocument/2006/relationships/hyperlink" Target="https://your-domain.com/admin/subscriptions" TargetMode="External" Id="rId113"/><Relationship Type="http://schemas.openxmlformats.org/officeDocument/2006/relationships/hyperlink" Target="https://your-domain.com/admin/subscriptions" TargetMode="External" Id="rId114"/><Relationship Type="http://schemas.openxmlformats.org/officeDocument/2006/relationships/hyperlink" Target="https://your-domain.com/admin/content/%5bid%5d" TargetMode="External" Id="rId115"/><Relationship Type="http://schemas.openxmlformats.org/officeDocument/2006/relationships/hyperlink" Target="https://your-domain.com/admin/content/%5bid%5d/edit" TargetMode="External" Id="rId116"/><Relationship Type="http://schemas.openxmlformats.org/officeDocument/2006/relationships/hyperlink" Target="https://your-domain.com/admin/content" TargetMode="External" Id="rId117"/><Relationship Type="http://schemas.openxmlformats.org/officeDocument/2006/relationships/hyperlink" Target="https://your-domain.com/admin/content" TargetMode="External" Id="rId118"/><Relationship Type="http://schemas.openxmlformats.org/officeDocument/2006/relationships/hyperlink" Target="https://your-domain.com/admin/content/new" TargetMode="External" Id="rId119"/><Relationship Type="http://schemas.openxmlformats.org/officeDocument/2006/relationships/hyperlink" Target="https://your-domain.com/" TargetMode="External" Id="rId120"/><Relationship Type="http://schemas.openxmlformats.org/officeDocument/2006/relationships/hyperlink" Target="https://your-domain.com/" TargetMode="External" Id="rId121"/><Relationship Type="http://schemas.openxmlformats.org/officeDocument/2006/relationships/hyperlink" Target="https://your-domain.com/" TargetMode="External" Id="rId122"/><Relationship Type="http://schemas.openxmlformats.org/officeDocument/2006/relationships/hyperlink" Target="https://your-domain.com/" TargetMode="External" Id="rId123"/><Relationship Type="http://schemas.openxmlformats.org/officeDocument/2006/relationships/hyperlink" Target="https://your-domain.com/admin/payouts/%5bid%5d" TargetMode="External" Id="rId124"/><Relationship Type="http://schemas.openxmlformats.org/officeDocument/2006/relationships/hyperlink" Target="https://your-domain.com/admin/payouts" TargetMode="External" Id="rId125"/><Relationship Type="http://schemas.openxmlformats.org/officeDocument/2006/relationships/hyperlink" Target="https://your-domain.com/admin/payouts/%5bid%5d" TargetMode="External" Id="rId126"/><Relationship Type="http://schemas.openxmlformats.org/officeDocument/2006/relationships/hyperlink" Target="https://your-domain.com/admin/payouts" TargetMode="External" Id="rId127"/><Relationship Type="http://schemas.openxmlformats.org/officeDocument/2006/relationships/hyperlink" Target="https://your-domain.com/admin/settings" TargetMode="External" Id="rId128"/><Relationship Type="http://schemas.openxmlformats.org/officeDocument/2006/relationships/hyperlink" Target="https://your-domain.com/admin/settings" TargetMode="External" Id="rId129"/><Relationship Type="http://schemas.openxmlformats.org/officeDocument/2006/relationships/hyperlink" Target="https://your-domain.com/admin/settings" TargetMode="External" Id="rId130"/><Relationship Type="http://schemas.openxmlformats.org/officeDocument/2006/relationships/hyperlink" Target="https://your-domain.com/admin/settings" TargetMode="External" Id="rId131"/><Relationship Type="http://schemas.openxmlformats.org/officeDocument/2006/relationships/hyperlink" Target="https://your-domain.com/driver/auth" TargetMode="External" Id="rId132"/><Relationship Type="http://schemas.openxmlformats.org/officeDocument/2006/relationships/hyperlink" Target="https://your-domain.com/driver/auth" TargetMode="External" Id="rId133"/><Relationship Type="http://schemas.openxmlformats.org/officeDocument/2006/relationships/hyperlink" Target="https://your-domain.com/driver/dashboard" TargetMode="External" Id="rId134"/><Relationship Type="http://schemas.openxmlformats.org/officeDocument/2006/relationships/hyperlink" Target="https://your-domain.com/driver/dashboard/%5bid%5d" TargetMode="External" Id="rId135"/><Relationship Type="http://schemas.openxmlformats.org/officeDocument/2006/relationships/hyperlink" Target="https://your-domain.com/driver/deliveries/%5bid%5d" TargetMode="External" Id="rId136"/><Relationship Type="http://schemas.openxmlformats.org/officeDocument/2006/relationships/hyperlink" Target="https://your-domain.com/driver/deliveries" TargetMode="External" Id="rId137"/><Relationship Type="http://schemas.openxmlformats.org/officeDocument/2006/relationships/hyperlink" Target="https://your-domain.com/driver/deliveries/%5bid%5d" TargetMode="External" Id="rId138"/><Relationship Type="http://schemas.openxmlformats.org/officeDocument/2006/relationships/hyperlink" Target="https://your-domain.com/driver/deliveries" TargetMode="External" Id="rId139"/><Relationship Type="http://schemas.openxmlformats.org/officeDocument/2006/relationships/hyperlink" Target="https://your-domain.com/driver/deliveries" TargetMode="External" Id="rId140"/><Relationship Type="http://schemas.openxmlformats.org/officeDocument/2006/relationships/hyperlink" Target="https://your-domain.com/driver/deliveries" TargetMode="External" Id="rId141"/><Relationship Type="http://schemas.openxmlformats.org/officeDocument/2006/relationships/hyperlink" Target="https://your-domain.com/driver/deliveries" TargetMode="External" Id="rId142"/><Relationship Type="http://schemas.openxmlformats.org/officeDocument/2006/relationships/hyperlink" Target="https://your-domain.com/driver/deliveries/%5bid%5d" TargetMode="External" Id="rId143"/><Relationship Type="http://schemas.openxmlformats.org/officeDocument/2006/relationships/hyperlink" Target="https://your-domain.com/driver/deliveries/%5bid%5d" TargetMode="External" Id="rId144"/><Relationship Type="http://schemas.openxmlformats.org/officeDocument/2006/relationships/hyperlink" Target="https://your-domain.com/driver/earnings/%5bid%5d" TargetMode="External" Id="rId145"/><Relationship Type="http://schemas.openxmlformats.org/officeDocument/2006/relationships/hyperlink" Target="https://your-domain.com/driver/earnings/%5bid%5d" TargetMode="External" Id="rId146"/><Relationship Type="http://schemas.openxmlformats.org/officeDocument/2006/relationships/hyperlink" Target="https://your-domain.com/driver/earnings/%5bid%5d" TargetMode="External" Id="rId147"/><Relationship Type="http://schemas.openxmlformats.org/officeDocument/2006/relationships/hyperlink" Target="https://your-domain.com/driver/profile/%5bid%5d" TargetMode="External" Id="rId148"/><Relationship Type="http://schemas.openxmlformats.org/officeDocument/2006/relationships/hyperlink" Target="https://your-domain.com/driver/profile/%5bid%5d/edit" TargetMode="External" Id="rId149"/><Relationship Type="http://schemas.openxmlformats.org/officeDocument/2006/relationships/hyperlink" Target="https://your-domain.com/driver/profile/%5bid%5d/edit" TargetMode="External" Id="rId150"/><Relationship Type="http://schemas.openxmlformats.org/officeDocument/2006/relationships/hyperlink" Target="https://your-domain.com/driver/profile" TargetMode="External" Id="rId151"/><Relationship Type="http://schemas.openxmlformats.org/officeDocument/2006/relationships/hyperlink" Target="https://your-domain.com/driver/profile/%5bid%5d" TargetMode="External" Id="rId152"/><Relationship Type="http://schemas.openxmlformats.org/officeDocument/2006/relationships/hyperlink" Target="https://your-domain.com/" TargetMode="External" Id="rId153"/><Relationship Type="http://schemas.openxmlformats.org/officeDocument/2006/relationships/hyperlink" Target="https://your-domain.com/" TargetMode="External" Id="rId154"/><Relationship Type="http://schemas.openxmlformats.org/officeDocument/2006/relationships/hyperlink" Target="https://your-domain.com/" TargetMode="External" Id="rId155"/><Relationship Type="http://schemas.openxmlformats.org/officeDocument/2006/relationships/hyperlink" Target="https://your-domain.com/" TargetMode="External" Id="rId156"/><Relationship Type="http://schemas.openxmlformats.org/officeDocument/2006/relationships/hyperlink" Target="https://your-domain.com/" TargetMode="External" Id="rId157"/><Relationship Type="http://schemas.openxmlformats.org/officeDocument/2006/relationships/hyperlink" Target="https://your-domain.com/" TargetMode="External" Id="rId158"/><Relationship Type="http://schemas.openxmlformats.org/officeDocument/2006/relationships/hyperlink" Target="https://your-domain.com/" TargetMode="External" Id="rId159"/><Relationship Type="http://schemas.openxmlformats.org/officeDocument/2006/relationships/hyperlink" Target="https://your-domain.com/" TargetMode="External" Id="rId160"/><Relationship Type="http://schemas.openxmlformats.org/officeDocument/2006/relationships/hyperlink" Target="https://your-domain.com/" TargetMode="External" Id="rId161"/><Relationship Type="http://schemas.openxmlformats.org/officeDocument/2006/relationships/hyperlink" Target="https://your-domain.com/" TargetMode="External" Id="rId162"/><Relationship Type="http://schemas.openxmlformats.org/officeDocument/2006/relationships/hyperlink" Target="https://your-domain.com/partner/auth" TargetMode="External" Id="rId163"/><Relationship Type="http://schemas.openxmlformats.org/officeDocument/2006/relationships/hyperlink" Target="https://your-domain.com/partner/onboarding" TargetMode="External" Id="rId164"/><Relationship Type="http://schemas.openxmlformats.org/officeDocument/2006/relationships/hyperlink" Target="https://your-domain.com/partner/onboarding" TargetMode="External" Id="rId165"/><Relationship Type="http://schemas.openxmlformats.org/officeDocument/2006/relationships/hyperlink" Target="https://your-domain.com/partner/onboarding" TargetMode="External" Id="rId166"/><Relationship Type="http://schemas.openxmlformats.org/officeDocument/2006/relationships/hyperlink" Target="https://your-domain.com/partner/onboarding/%5bid%5d" TargetMode="External" Id="rId167"/><Relationship Type="http://schemas.openxmlformats.org/officeDocument/2006/relationships/hyperlink" Target="https://your-domain.com/partner/onboarding/%5bid%5d" TargetMode="External" Id="rId168"/><Relationship Type="http://schemas.openxmlformats.org/officeDocument/2006/relationships/hyperlink" Target="https://your-domain.com/partner/onboarding" TargetMode="External" Id="rId169"/><Relationship Type="http://schemas.openxmlformats.org/officeDocument/2006/relationships/hyperlink" Target="https://your-domain.com/partner/dashboard/%5bid%5d/edit" TargetMode="External" Id="rId170"/><Relationship Type="http://schemas.openxmlformats.org/officeDocument/2006/relationships/hyperlink" Target="https://your-domain.com/partner/dashboard/%5bid%5d" TargetMode="External" Id="rId171"/><Relationship Type="http://schemas.openxmlformats.org/officeDocument/2006/relationships/hyperlink" Target="https://your-domain.com/partner/dashboard/%5bid%5d" TargetMode="External" Id="rId172"/><Relationship Type="http://schemas.openxmlformats.org/officeDocument/2006/relationships/hyperlink" Target="https://your-domain.com/partner/dashboard" TargetMode="External" Id="rId173"/><Relationship Type="http://schemas.openxmlformats.org/officeDocument/2006/relationships/hyperlink" Target="https://your-domain.com/partner/orders" TargetMode="External" Id="rId174"/><Relationship Type="http://schemas.openxmlformats.org/officeDocument/2006/relationships/hyperlink" Target="https://your-domain.com/partner/orders?filter=%5bvalue%5d" TargetMode="External" Id="rId175"/><Relationship Type="http://schemas.openxmlformats.org/officeDocument/2006/relationships/hyperlink" Target="https://your-domain.com/partner/orders?filter=%5bvalue%5d" TargetMode="External" Id="rId176"/><Relationship Type="http://schemas.openxmlformats.org/officeDocument/2006/relationships/hyperlink" Target="https://your-domain.com/partner/orders?q=%5bsearch-term%5d" TargetMode="External" Id="rId177"/><Relationship Type="http://schemas.openxmlformats.org/officeDocument/2006/relationships/hyperlink" Target="https://your-domain.com/partner/orders/%5bid%5d" TargetMode="External" Id="rId178"/><Relationship Type="http://schemas.openxmlformats.org/officeDocument/2006/relationships/hyperlink" Target="https://your-domain.com/partner/orders/%5bid%5d" TargetMode="External" Id="rId179"/><Relationship Type="http://schemas.openxmlformats.org/officeDocument/2006/relationships/hyperlink" Target="https://your-domain.com/partner/orders" TargetMode="External" Id="rId180"/><Relationship Type="http://schemas.openxmlformats.org/officeDocument/2006/relationships/hyperlink" Target="https://your-domain.com/partner/orders" TargetMode="External" Id="rId181"/><Relationship Type="http://schemas.openxmlformats.org/officeDocument/2006/relationships/hyperlink" Target="https://your-domain.com/partner/menu" TargetMode="External" Id="rId182"/><Relationship Type="http://schemas.openxmlformats.org/officeDocument/2006/relationships/hyperlink" Target="https://your-domain.com/partner/menu" TargetMode="External" Id="rId183"/><Relationship Type="http://schemas.openxmlformats.org/officeDocument/2006/relationships/hyperlink" Target="https://your-domain.com/partner/menu" TargetMode="External" Id="rId184"/><Relationship Type="http://schemas.openxmlformats.org/officeDocument/2006/relationships/hyperlink" Target="https://your-domain.com/partner/menu" TargetMode="External" Id="rId185"/><Relationship Type="http://schemas.openxmlformats.org/officeDocument/2006/relationships/hyperlink" Target="https://your-domain.com/partner/menu" TargetMode="External" Id="rId186"/><Relationship Type="http://schemas.openxmlformats.org/officeDocument/2006/relationships/hyperlink" Target="https://your-domain.com/partner/menu/%5bid%5d" TargetMode="External" Id="rId187"/><Relationship Type="http://schemas.openxmlformats.org/officeDocument/2006/relationships/hyperlink" Target="https://your-domain.com/partner/menu" TargetMode="External" Id="rId188"/><Relationship Type="http://schemas.openxmlformats.org/officeDocument/2006/relationships/hyperlink" Target="https://your-domain.com/partner/menu" TargetMode="External" Id="rId189"/><Relationship Type="http://schemas.openxmlformats.org/officeDocument/2006/relationships/hyperlink" Target="https://your-domain.com/partner/payouts/%5bid%5d" TargetMode="External" Id="rId190"/><Relationship Type="http://schemas.openxmlformats.org/officeDocument/2006/relationships/hyperlink" Target="https://your-domain.com/partner/payouts/%5bid%5d" TargetMode="External" Id="rId191"/><Relationship Type="http://schemas.openxmlformats.org/officeDocument/2006/relationships/hyperlink" Target="https://your-domain.com/partner/payouts" TargetMode="External" Id="rId192"/><Relationship Type="http://schemas.openxmlformats.org/officeDocument/2006/relationships/hyperlink" Target="https://your-domain.com/partner/payouts" TargetMode="External" Id="rId193"/><Relationship Type="http://schemas.openxmlformats.org/officeDocument/2006/relationships/hyperlink" Target="https://your-domain.com/partner/payouts" TargetMode="External" Id="rId194"/><Relationship Type="http://schemas.openxmlformats.org/officeDocument/2006/relationships/hyperlink" Target="https://your-domain.com/partner/payouts" TargetMode="External" Id="rId195"/><Relationship Type="http://schemas.openxmlformats.org/officeDocument/2006/relationships/hyperlink" Target="https://your-domain.com/partner/profile" TargetMode="External" Id="rId196"/><Relationship Type="http://schemas.openxmlformats.org/officeDocument/2006/relationships/hyperlink" Target="https://your-domain.com/partner/profile" TargetMode="External" Id="rId197"/><Relationship Type="http://schemas.openxmlformats.org/officeDocument/2006/relationships/hyperlink" Target="https://your-domain.com/partner/profile" TargetMode="External" Id="rId198"/><Relationship Type="http://schemas.openxmlformats.org/officeDocument/2006/relationships/hyperlink" Target="https://your-domain.com/partner/profile" TargetMode="External" Id="rId199"/><Relationship Type="http://schemas.openxmlformats.org/officeDocument/2006/relationships/hyperlink" Target="https://your-domain.com/partner/profile" TargetMode="External" Id="rId200"/><Relationship Type="http://schemas.openxmlformats.org/officeDocument/2006/relationships/hyperlink" Target="https://your-domain.com/partner/profile" TargetMode="External" Id="rId201"/><Relationship Type="http://schemas.openxmlformats.org/officeDocument/2006/relationships/hyperlink" Target="https://your-domain.com/partner/profile/new" TargetMode="External" Id="rId202"/><Relationship Type="http://schemas.openxmlformats.org/officeDocument/2006/relationships/hyperlink" Target="https://your-domain.com/partner/profile" TargetMode="External" Id="rId203"/><Relationship Type="http://schemas.openxmlformats.org/officeDocument/2006/relationships/hyperlink" Target="https://your-domain.com/partner/analytics/%5bid%5d" TargetMode="External" Id="rId204"/><Relationship Type="http://schemas.openxmlformats.org/officeDocument/2006/relationships/hyperlink" Target="https://your-domain.com/partner/analytics/%5bid%5d" TargetMode="External" Id="rId205"/><Relationship Type="http://schemas.openxmlformats.org/officeDocument/2006/relationships/hyperlink" Target="https://your-domain.com/partner/analytics/%5bid%5d" TargetMode="External" Id="rId206"/><Relationship Type="http://schemas.openxmlformats.org/officeDocument/2006/relationships/hyperlink" Target="https://your-domain.com/partner/support" TargetMode="External" Id="rId207"/><Relationship Type="http://schemas.openxmlformats.org/officeDocument/2006/relationships/hyperlink" Target="https://your-domain.com/partner/support" TargetMode="External" Id="rId208"/><Relationship Type="http://schemas.openxmlformats.org/officeDocument/2006/relationships/hyperlink" Target="https://your-domain.com/partner/support" TargetMode="External" Id="rId209"/><Relationship Type="http://schemas.openxmlformats.org/officeDocument/2006/relationships/hyperlink" Target="https://your-domain.com/partner/auth" TargetMode="External" Id="rId210"/><Relationship Type="http://schemas.openxmlformats.org/officeDocument/2006/relationships/hyperlink" Target="https://your-domain.com/partner/onboarding" TargetMode="External" Id="rId211"/><Relationship Type="http://schemas.openxmlformats.org/officeDocument/2006/relationships/hyperlink" Target="https://your-domain.com/partner/onboarding" TargetMode="External" Id="rId212"/><Relationship Type="http://schemas.openxmlformats.org/officeDocument/2006/relationships/hyperlink" Target="https://your-domain.com/partner/onboarding" TargetMode="External" Id="rId213"/><Relationship Type="http://schemas.openxmlformats.org/officeDocument/2006/relationships/hyperlink" Target="https://your-domain.com/partner/onboarding/%5bid%5d" TargetMode="External" Id="rId214"/><Relationship Type="http://schemas.openxmlformats.org/officeDocument/2006/relationships/hyperlink" Target="https://your-domain.com/partner/onboarding/%5bid%5d" TargetMode="External" Id="rId215"/><Relationship Type="http://schemas.openxmlformats.org/officeDocument/2006/relationships/hyperlink" Target="https://your-domain.com/partner/onboarding" TargetMode="External" Id="rId216"/><Relationship Type="http://schemas.openxmlformats.org/officeDocument/2006/relationships/hyperlink" Target="https://your-domain.com/partner/dashboard/%5bid%5d/edit" TargetMode="External" Id="rId217"/><Relationship Type="http://schemas.openxmlformats.org/officeDocument/2006/relationships/hyperlink" Target="https://your-domain.com/partner/dashboard/%5bid%5d" TargetMode="External" Id="rId218"/><Relationship Type="http://schemas.openxmlformats.org/officeDocument/2006/relationships/hyperlink" Target="https://your-domain.com/partner/dashboard/%5bid%5d" TargetMode="External" Id="rId219"/><Relationship Type="http://schemas.openxmlformats.org/officeDocument/2006/relationships/hyperlink" Target="https://your-domain.com/partner/dashboard" TargetMode="External" Id="rId220"/><Relationship Type="http://schemas.openxmlformats.org/officeDocument/2006/relationships/hyperlink" Target="https://your-domain.com/partner/orders" TargetMode="External" Id="rId221"/><Relationship Type="http://schemas.openxmlformats.org/officeDocument/2006/relationships/hyperlink" Target="https://your-domain.com/partner/orders?filter=%5bvalue%5d" TargetMode="External" Id="rId222"/><Relationship Type="http://schemas.openxmlformats.org/officeDocument/2006/relationships/hyperlink" Target="https://your-domain.com/partner/orders?filter=%5bvalue%5d" TargetMode="External" Id="rId223"/><Relationship Type="http://schemas.openxmlformats.org/officeDocument/2006/relationships/hyperlink" Target="https://your-domain.com/partner/orders?q=%5bsearch-term%5d" TargetMode="External" Id="rId224"/><Relationship Type="http://schemas.openxmlformats.org/officeDocument/2006/relationships/hyperlink" Target="https://your-domain.com/partner/orders/%5bid%5d" TargetMode="External" Id="rId225"/><Relationship Type="http://schemas.openxmlformats.org/officeDocument/2006/relationships/hyperlink" Target="https://your-domain.com/partner/orders/%5bid%5d" TargetMode="External" Id="rId226"/><Relationship Type="http://schemas.openxmlformats.org/officeDocument/2006/relationships/hyperlink" Target="https://your-domain.com/partner/orders" TargetMode="External" Id="rId227"/><Relationship Type="http://schemas.openxmlformats.org/officeDocument/2006/relationships/hyperlink" Target="https://your-domain.com/partner/orders" TargetMode="External" Id="rId228"/><Relationship Type="http://schemas.openxmlformats.org/officeDocument/2006/relationships/hyperlink" Target="https://your-domain.com/partner/menu" TargetMode="External" Id="rId229"/><Relationship Type="http://schemas.openxmlformats.org/officeDocument/2006/relationships/hyperlink" Target="https://your-domain.com/partner/menu" TargetMode="External" Id="rId230"/><Relationship Type="http://schemas.openxmlformats.org/officeDocument/2006/relationships/hyperlink" Target="https://your-domain.com/partner/menu" TargetMode="External" Id="rId231"/><Relationship Type="http://schemas.openxmlformats.org/officeDocument/2006/relationships/hyperlink" Target="https://your-domain.com/partner/menu" TargetMode="External" Id="rId232"/><Relationship Type="http://schemas.openxmlformats.org/officeDocument/2006/relationships/hyperlink" Target="https://your-domain.com/partner/menu" TargetMode="External" Id="rId233"/><Relationship Type="http://schemas.openxmlformats.org/officeDocument/2006/relationships/hyperlink" Target="https://your-domain.com/partner/menu/%5bid%5d" TargetMode="External" Id="rId234"/><Relationship Type="http://schemas.openxmlformats.org/officeDocument/2006/relationships/hyperlink" Target="https://your-domain.com/partner/menu" TargetMode="External" Id="rId235"/><Relationship Type="http://schemas.openxmlformats.org/officeDocument/2006/relationships/hyperlink" Target="https://your-domain.com/partner/menu" TargetMode="External" Id="rId236"/><Relationship Type="http://schemas.openxmlformats.org/officeDocument/2006/relationships/hyperlink" Target="https://your-domain.com/partner/payouts/%5bid%5d" TargetMode="External" Id="rId237"/><Relationship Type="http://schemas.openxmlformats.org/officeDocument/2006/relationships/hyperlink" Target="https://your-domain.com/partner/payouts/%5bid%5d" TargetMode="External" Id="rId238"/><Relationship Type="http://schemas.openxmlformats.org/officeDocument/2006/relationships/hyperlink" Target="https://your-domain.com/partner/payouts" TargetMode="External" Id="rId239"/><Relationship Type="http://schemas.openxmlformats.org/officeDocument/2006/relationships/hyperlink" Target="https://your-domain.com/partner/payouts" TargetMode="External" Id="rId240"/><Relationship Type="http://schemas.openxmlformats.org/officeDocument/2006/relationships/hyperlink" Target="https://your-domain.com/partner/payouts" TargetMode="External" Id="rId241"/><Relationship Type="http://schemas.openxmlformats.org/officeDocument/2006/relationships/hyperlink" Target="https://your-domain.com/partner/payouts" TargetMode="External" Id="rId242"/><Relationship Type="http://schemas.openxmlformats.org/officeDocument/2006/relationships/hyperlink" Target="https://your-domain.com/partner/profile" TargetMode="External" Id="rId243"/><Relationship Type="http://schemas.openxmlformats.org/officeDocument/2006/relationships/hyperlink" Target="https://your-domain.com/partner/profile" TargetMode="External" Id="rId244"/><Relationship Type="http://schemas.openxmlformats.org/officeDocument/2006/relationships/hyperlink" Target="https://your-domain.com/partner/profile" TargetMode="External" Id="rId245"/><Relationship Type="http://schemas.openxmlformats.org/officeDocument/2006/relationships/hyperlink" Target="https://your-domain.com/partner/profile" TargetMode="External" Id="rId246"/><Relationship Type="http://schemas.openxmlformats.org/officeDocument/2006/relationships/hyperlink" Target="https://your-domain.com/partner/profile" TargetMode="External" Id="rId247"/><Relationship Type="http://schemas.openxmlformats.org/officeDocument/2006/relationships/hyperlink" Target="https://your-domain.com/partner/profile" TargetMode="External" Id="rId248"/><Relationship Type="http://schemas.openxmlformats.org/officeDocument/2006/relationships/hyperlink" Target="https://your-domain.com/partner/profile/new" TargetMode="External" Id="rId249"/><Relationship Type="http://schemas.openxmlformats.org/officeDocument/2006/relationships/hyperlink" Target="https://your-domain.com/partner/profile" TargetMode="External" Id="rId250"/><Relationship Type="http://schemas.openxmlformats.org/officeDocument/2006/relationships/hyperlink" Target="https://your-domain.com/partner/analytics/%5bid%5d" TargetMode="External" Id="rId251"/><Relationship Type="http://schemas.openxmlformats.org/officeDocument/2006/relationships/hyperlink" Target="https://your-domain.com/partner/analytics/%5bid%5d" TargetMode="External" Id="rId252"/><Relationship Type="http://schemas.openxmlformats.org/officeDocument/2006/relationships/hyperlink" Target="https://your-domain.com/partner/analytics/%5bid%5d" TargetMode="External" Id="rId253"/><Relationship Type="http://schemas.openxmlformats.org/officeDocument/2006/relationships/hyperlink" Target="https://your-domain.com/partner/support" TargetMode="External" Id="rId254"/><Relationship Type="http://schemas.openxmlformats.org/officeDocument/2006/relationships/hyperlink" Target="https://your-domain.com/partner/support" TargetMode="External" Id="rId255"/><Relationship Type="http://schemas.openxmlformats.org/officeDocument/2006/relationships/hyperlink" Target="https://your-domain.com/partner/support" TargetMode="External" Id="rId256"/><Relationship Type="http://schemas.openxmlformats.org/officeDocument/2006/relationships/hyperlink" Target="https://your-domain.com/wallet/%5bid%5d" TargetMode="External" Id="rId257"/><Relationship Type="http://schemas.openxmlformats.org/officeDocument/2006/relationships/hyperlink" Target="https://your-domain.com/wallet/new" TargetMode="External" Id="rId258"/><Relationship Type="http://schemas.openxmlformats.org/officeDocument/2006/relationships/hyperlink" Target="https://your-domain.com/wallet" TargetMode="External" Id="rId259"/><Relationship Type="http://schemas.openxmlformats.org/officeDocument/2006/relationships/hyperlink" Target="https://your-domain.com/profile?tab=referral/%5bid%5d" TargetMode="External" Id="rId260"/><Relationship Type="http://schemas.openxmlformats.org/officeDocument/2006/relationships/hyperlink" Target="https://your-domain.com/profile?tab=referral" TargetMode="External" Id="rId261"/><Relationship Type="http://schemas.openxmlformats.org/officeDocument/2006/relationships/hyperlink" Target="https://your-domain.com/profile?tab=referral" TargetMode="External" Id="rId262"/><Relationship Type="http://schemas.openxmlformats.org/officeDocument/2006/relationships/hyperlink" Target="https://your-domain.com/profile?tab=referral/%5bid%5d" TargetMode="External" Id="rId263"/><Relationship Type="http://schemas.openxmlformats.org/officeDocument/2006/relationships/hyperlink" Target="https://your-domain.com/profile?tab=referral" TargetMode="External" Id="rId264"/><Relationship Type="http://schemas.openxmlformats.org/officeDocument/2006/relationships/hyperlink" Target="https://your-domain.com/meals/new" TargetMode="External" Id="rId265"/><Relationship Type="http://schemas.openxmlformats.org/officeDocument/2006/relationships/hyperlink" Target="https://your-domain.com/meals" TargetMode="External" Id="rId266"/><Relationship Type="http://schemas.openxmlformats.org/officeDocument/2006/relationships/hyperlink" Target="https://your-domain.com/meals" TargetMode="External" Id="rId267"/><Relationship Type="http://schemas.openxmlformats.org/officeDocument/2006/relationships/hyperlink" Target="https://your-domain.com/meals/%5bid%5d" TargetMode="External" Id="rId268"/><Relationship Type="http://schemas.openxmlformats.org/officeDocument/2006/relationships/hyperlink" Target="https://your-domain.com/meals/%5bid%5d" TargetMode="External" Id="rId269"/><Relationship Type="http://schemas.openxmlformats.org/officeDocument/2006/relationships/hyperlink" Target="https://your-domain.com/orders" TargetMode="External" Id="rId270"/><Relationship Type="http://schemas.openxmlformats.org/officeDocument/2006/relationships/hyperlink" Target="https://your-domain.com/orders" TargetMode="External" Id="rId271"/><Relationship Type="http://schemas.openxmlformats.org/officeDocument/2006/relationships/hyperlink" Target="https://your-domain.com/orders" TargetMode="External" Id="rId272"/><Relationship Type="http://schemas.openxmlformats.org/officeDocument/2006/relationships/hyperlink" Target="https://your-domain.com/orders" TargetMode="External" Id="rId273"/><Relationship Type="http://schemas.openxmlformats.org/officeDocument/2006/relationships/hyperlink" Target="https://your-domain.com/orders/%5bid%5d" TargetMode="External" Id="rId274"/><Relationship Type="http://schemas.openxmlformats.org/officeDocument/2006/relationships/hyperlink" Target="https://your-domain.com/orders/new" TargetMode="External" Id="rId275"/><Relationship Type="http://schemas.openxmlformats.org/officeDocument/2006/relationships/hyperlink" Target="https://your-domain.com/subscription/%5bid%5d" TargetMode="External" Id="rId276"/><Relationship Type="http://schemas.openxmlformats.org/officeDocument/2006/relationships/hyperlink" Target="https://your-domain.com/subscription" TargetMode="External" Id="rId277"/><Relationship Type="http://schemas.openxmlformats.org/officeDocument/2006/relationships/hyperlink" Target="https://your-domain.com/subscription" TargetMode="External" Id="rId278"/><Relationship Type="http://schemas.openxmlformats.org/officeDocument/2006/relationships/hyperlink" Target="https://your-domain.com/subscription" TargetMode="External" Id="rId279"/><Relationship Type="http://schemas.openxmlformats.org/officeDocument/2006/relationships/hyperlink" Target="https://your-domain.com/profile/new" TargetMode="External" Id="rId280"/><Relationship Type="http://schemas.openxmlformats.org/officeDocument/2006/relationships/hyperlink" Target="https://your-domain.com/profile/new" TargetMode="External" Id="rId281"/><Relationship Type="http://schemas.openxmlformats.org/officeDocument/2006/relationships/hyperlink" Target="https://your-domain.com/profile/new" TargetMode="External" Id="rId282"/><Relationship Type="http://schemas.openxmlformats.org/officeDocument/2006/relationships/hyperlink" Target="https://your-domain.com/profile" TargetMode="External" Id="rId283"/><Relationship Type="http://schemas.openxmlformats.org/officeDocument/2006/relationships/hyperlink" Target="https://your-domain.com/profile" TargetMode="External" Id="rId284"/><Relationship Type="http://schemas.openxmlformats.org/officeDocument/2006/relationships/hyperlink" Target="https://your-domain.com/profile" TargetMode="External" Id="rId285"/><Relationship Type="http://schemas.openxmlformats.org/officeDocument/2006/relationships/hyperlink" Target="https://your-domain.com/profile" TargetMode="External" Id="rId286"/><Relationship Type="http://schemas.openxmlformats.org/officeDocument/2006/relationships/hyperlink" Target="https://your-domain.com/driver/auth" TargetMode="External" Id="rId287"/><Relationship Type="http://schemas.openxmlformats.org/officeDocument/2006/relationships/hyperlink" Target="https://your-domain.com/driver/dashboard/%5bid%5d" TargetMode="External" Id="rId288"/><Relationship Type="http://schemas.openxmlformats.org/officeDocument/2006/relationships/hyperlink" Target="https://your-domain.com/driver/dashboard/%5bid%5d" TargetMode="External" Id="rId289"/><Relationship Type="http://schemas.openxmlformats.org/officeDocument/2006/relationships/hyperlink" Target="https://your-domain.com/driver/deliveries?filter=%5bvalue%5d" TargetMode="External" Id="rId290"/><Relationship Type="http://schemas.openxmlformats.org/officeDocument/2006/relationships/hyperlink" Target="https://your-domain.com/driver/deliveries" TargetMode="External" Id="rId291"/><Relationship Type="http://schemas.openxmlformats.org/officeDocument/2006/relationships/hyperlink" Target="https://your-domain.com/driver/deliveries" TargetMode="External" Id="rId292"/><Relationship Type="http://schemas.openxmlformats.org/officeDocument/2006/relationships/hyperlink" Target="https://your-domain.com/driver/deliveries" TargetMode="External" Id="rId293"/><Relationship Type="http://schemas.openxmlformats.org/officeDocument/2006/relationships/hyperlink" Target="https://your-domain.com/driver/deliveries" TargetMode="External" Id="rId294"/><Relationship Type="http://schemas.openxmlformats.org/officeDocument/2006/relationships/hyperlink" Target="https://your-domain.com/driver/deliveries" TargetMode="External" Id="rId295"/><Relationship Type="http://schemas.openxmlformats.org/officeDocument/2006/relationships/hyperlink" Target="https://your-domain.com/driver/deliveries" TargetMode="External" Id="rId296"/><Relationship Type="http://schemas.openxmlformats.org/officeDocument/2006/relationships/hyperlink" Target="https://your-domain.com/driver/deliveries" TargetMode="External" Id="rId297"/><Relationship Type="http://schemas.openxmlformats.org/officeDocument/2006/relationships/hyperlink" Target="https://your-domain.com/driver/deliveries" TargetMode="External" Id="rId298"/><Relationship Type="http://schemas.openxmlformats.org/officeDocument/2006/relationships/hyperlink" Target="https://your-domain.com/driver/deliveries/new" TargetMode="External" Id="rId299"/><Relationship Type="http://schemas.openxmlformats.org/officeDocument/2006/relationships/hyperlink" Target="https://your-domain.com/driver/earnings/%5bid%5d" TargetMode="External" Id="rId300"/><Relationship Type="http://schemas.openxmlformats.org/officeDocument/2006/relationships/hyperlink" Target="https://your-domain.com/driver/earnings/%5bid%5d" TargetMode="External" Id="rId301"/><Relationship Type="http://schemas.openxmlformats.org/officeDocument/2006/relationships/hyperlink" Target="https://your-domain.com/driver/earnings" TargetMode="External" Id="rId302"/><Relationship Type="http://schemas.openxmlformats.org/officeDocument/2006/relationships/hyperlink" Target="https://your-domain.com/driver/earnings" TargetMode="External" Id="rId303"/><Relationship Type="http://schemas.openxmlformats.org/officeDocument/2006/relationships/hyperlink" Target="https://your-domain.com/driver/profile/%5bid%5d/edit" TargetMode="External" Id="rId304"/><Relationship Type="http://schemas.openxmlformats.org/officeDocument/2006/relationships/hyperlink" Target="https://your-domain.com/driver/profile" TargetMode="External" Id="rId305"/><Relationship Type="http://schemas.openxmlformats.org/officeDocument/2006/relationships/hyperlink" Target="https://your-domain.com/driver/profile" TargetMode="External" Id="rId306"/><Relationship Type="http://schemas.openxmlformats.org/officeDocument/2006/relationships/hyperlink" Target="https://your-domain.com/driver/profile" TargetMode="External" Id="rId307"/><Relationship Type="http://schemas.openxmlformats.org/officeDocument/2006/relationships/hyperlink" Target="https://your-domain.com/driver/support" TargetMode="External" Id="rId308"/><Relationship Type="http://schemas.openxmlformats.org/officeDocument/2006/relationships/hyperlink" Target="https://your-domain.com/driver/support" TargetMode="External" Id="rId309"/><Relationship Type="http://schemas.openxmlformats.org/officeDocument/2006/relationships/hyperlink" Target="https://your-domain.com/admin/restaurants/%5bid%5d" TargetMode="External" Id="rId310"/><Relationship Type="http://schemas.openxmlformats.org/officeDocument/2006/relationships/hyperlink" Target="https://your-domain.com/admin/restaurants/new" TargetMode="External" Id="rId311"/><Relationship Type="http://schemas.openxmlformats.org/officeDocument/2006/relationships/hyperlink" Target="https://your-domain.com/admin/restaurants" TargetMode="External" Id="rId312"/><Relationship Type="http://schemas.openxmlformats.org/officeDocument/2006/relationships/hyperlink" Target="https://your-domain.com/admin/restaurants" TargetMode="External" Id="rId313"/><Relationship Type="http://schemas.openxmlformats.org/officeDocument/2006/relationships/hyperlink" Target="https://your-domain.com/admin/restaurants/%5bid%5d" TargetMode="External" Id="rId314"/><Relationship Type="http://schemas.openxmlformats.org/officeDocument/2006/relationships/hyperlink" Target="https://your-domain.com/admin/payouts" TargetMode="External" Id="rId315"/><Relationship Type="http://schemas.openxmlformats.org/officeDocument/2006/relationships/hyperlink" Target="https://your-domain.com/admin/payouts/%5bid%5d" TargetMode="External" Id="rId316"/><Relationship Type="http://schemas.openxmlformats.org/officeDocument/2006/relationships/hyperlink" Target="https://your-domain.com/admin/payouts" TargetMode="External" Id="rId317"/><Relationship Type="http://schemas.openxmlformats.org/officeDocument/2006/relationships/hyperlink" Target="https://your-domain.com/admin/payouts" TargetMode="External" Id="rId318"/><Relationship Type="http://schemas.openxmlformats.org/officeDocument/2006/relationships/hyperlink" Target="https://your-domain.com/admin/payouts" TargetMode="External" Id="rId319"/><Relationship Type="http://schemas.openxmlformats.org/officeDocument/2006/relationships/hyperlink" Target="https://your-domain.com/admin/users" TargetMode="External" Id="rId320"/><Relationship Type="http://schemas.openxmlformats.org/officeDocument/2006/relationships/hyperlink" Target="https://your-domain.com/admin/users" TargetMode="External" Id="rId321"/><Relationship Type="http://schemas.openxmlformats.org/officeDocument/2006/relationships/hyperlink" Target="https://your-domain.com/admin/users/%5bid%5d" TargetMode="External" Id="rId322"/><Relationship Type="http://schemas.openxmlformats.org/officeDocument/2006/relationships/hyperlink" Target="https://your-domain.com/admin/content/%5bid%5d/edit" TargetMode="External" Id="rId323"/><Relationship Type="http://schemas.openxmlformats.org/officeDocument/2006/relationships/hyperlink" Target="https://your-domain.com/admin/content/%5bid%5d" TargetMode="External" Id="rId324"/><Relationship Type="http://schemas.openxmlformats.org/officeDocument/2006/relationships/hyperlink" Target="https://your-domain.com/admin/content/new" TargetMode="External" Id="rId325"/><Relationship Type="http://schemas.openxmlformats.org/officeDocument/2006/relationships/hyperlink" Target="https://your-domain.com/admin/content" TargetMode="External" Id="rId326"/><Relationship Type="http://schemas.openxmlformats.org/officeDocument/2006/relationships/hyperlink" Target="https://your-domain.com/admin/analytics/%5bid%5d" TargetMode="External" Id="rId327"/><Relationship Type="http://schemas.openxmlformats.org/officeDocument/2006/relationships/hyperlink" Target="https://your-domain.com/admin/analytics/%5bid%5d" TargetMode="External" Id="rId328"/><Relationship Type="http://schemas.openxmlformats.org/officeDocument/2006/relationships/hyperlink" Target="https://your-domain.com/admin/analytics/%5bid%5d" TargetMode="External" Id="rId329"/><Relationship Type="http://schemas.openxmlformats.org/officeDocument/2006/relationships/hyperlink" Target="https://your-domain.com/admin/analytics" TargetMode="External" Id="rId330"/><Relationship Type="http://schemas.openxmlformats.org/officeDocument/2006/relationships/hyperlink" Target="https://your-domain.com/admin/settings" TargetMode="External" Id="rId331"/><Relationship Type="http://schemas.openxmlformats.org/officeDocument/2006/relationships/hyperlink" Target="https://your-domain.com/admin/settings/%5bid%5d/edit" TargetMode="External" Id="rId332"/><Relationship Type="http://schemas.openxmlformats.org/officeDocument/2006/relationships/hyperlink" Target="https://your-domain.com/admin/settings" TargetMode="External" Id="rId333"/><Relationship Type="http://schemas.openxmlformats.org/officeDocument/2006/relationships/hyperlink" Target="https://your-domain.com/admin/settings" TargetMode="External" Id="rId334"/><Relationship Type="http://schemas.openxmlformats.org/officeDocument/2006/relationships/hyperlink" Target="https://your-domain.com/" TargetMode="External" Id="rId335"/><Relationship Type="http://schemas.openxmlformats.org/officeDocument/2006/relationships/hyperlink" Target="https://your-domain.com/" TargetMode="External" Id="rId336"/><Relationship Type="http://schemas.openxmlformats.org/officeDocument/2006/relationships/hyperlink" Target="https://your-domain.com/" TargetMode="External" Id="rId337"/><Relationship Type="http://schemas.openxmlformats.org/officeDocument/2006/relationships/hyperlink" Target="https://your-domain.com/" TargetMode="External" Id="rId338"/><Relationship Type="http://schemas.openxmlformats.org/officeDocument/2006/relationships/hyperlink" Target="https://your-domain.com/" TargetMode="External" Id="rId339"/><Relationship Type="http://schemas.openxmlformats.org/officeDocument/2006/relationships/hyperlink" Target="https://your-domain.com/" TargetMode="External" Id="rId340"/><Relationship Type="http://schemas.openxmlformats.org/officeDocument/2006/relationships/hyperlink" Target="https://your-domain.com/" TargetMode="External" Id="rId341"/><Relationship Type="http://schemas.openxmlformats.org/officeDocument/2006/relationships/hyperlink" Target="https://your-domain.com/" TargetMode="External" Id="rId342"/><Relationship Type="http://schemas.openxmlformats.org/officeDocument/2006/relationships/hyperlink" Target="https://your-domain.com/" TargetMode="External" Id="rId343"/><Relationship Type="http://schemas.openxmlformats.org/officeDocument/2006/relationships/hyperlink" Target="https://your-domain.com/" TargetMode="External" Id="rId344"/><Relationship Type="http://schemas.openxmlformats.org/officeDocument/2006/relationships/hyperlink" Target="https://your-domain.com/" TargetMode="External" Id="rId345"/><Relationship Type="http://schemas.openxmlformats.org/officeDocument/2006/relationships/hyperlink" Target="https://your-domain.com/" TargetMode="External" Id="rId346"/><Relationship Type="http://schemas.openxmlformats.org/officeDocument/2006/relationships/hyperlink" Target="https://your-domain.com/" TargetMode="External" Id="rId347"/><Relationship Type="http://schemas.openxmlformats.org/officeDocument/2006/relationships/hyperlink" Target="https://your-domain.com/" TargetMode="External" Id="rId348"/><Relationship Type="http://schemas.openxmlformats.org/officeDocument/2006/relationships/hyperlink" Target="https://your-domain.com/" TargetMode="External" Id="rId349"/><Relationship Type="http://schemas.openxmlformats.org/officeDocument/2006/relationships/hyperlink" Target="https://your-domain.com/" TargetMode="External" Id="rId350"/><Relationship Type="http://schemas.openxmlformats.org/officeDocument/2006/relationships/hyperlink" Target="https://your-domain.com/" TargetMode="External" Id="rId351"/><Relationship Type="http://schemas.openxmlformats.org/officeDocument/2006/relationships/hyperlink" Target="https://your-domain.com/" TargetMode="External" Id="rId3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:F1"/>
    </sheetView>
  </sheetViews>
  <sheetFormatPr baseColWidth="8" defaultRowHeight="15"/>
  <cols>
    <col width="18" customWidth="1" style="16" min="1" max="1"/>
    <col width="35" customWidth="1" style="16" min="2" max="2"/>
    <col width="20" customWidth="1" style="16" min="3" max="3"/>
    <col width="30" customWidth="1" style="16" min="4" max="4"/>
  </cols>
  <sheetData>
    <row r="1" ht="21" customHeight="1" s="16">
      <c r="A1" s="15" t="inlineStr">
        <is>
          <t>NUTRIO FUEL - E2E TEST PLAN</t>
        </is>
      </c>
    </row>
    <row r="3" ht="18.75" customHeight="1" s="16">
      <c r="A3" s="1" t="inlineStr">
        <is>
          <t>Test Plan Overview</t>
        </is>
      </c>
    </row>
    <row r="4">
      <c r="A4" t="inlineStr">
        <is>
          <t>Total Test Cases</t>
        </is>
      </c>
      <c r="B4">
        <f>COUNTA('Test Cases'!A:A)-1</f>
        <v/>
      </c>
    </row>
    <row r="5">
      <c r="A5" t="inlineStr">
        <is>
          <t>Customer Portal Tests</t>
        </is>
      </c>
      <c r="B5">
        <f>COUNTIF('Test Cases'!A:A,"*Customer*")</f>
        <v/>
      </c>
    </row>
    <row r="6">
      <c r="A6" t="inlineStr">
        <is>
          <t>Partner Portal Tests</t>
        </is>
      </c>
      <c r="B6">
        <f>COUNTIF('Test Cases'!A:A,"*Partner*")</f>
        <v/>
      </c>
    </row>
    <row r="7">
      <c r="A7" t="inlineStr">
        <is>
          <t>Admin Portal Tests</t>
        </is>
      </c>
      <c r="B7">
        <f>COUNTIF('Test Cases'!A:A,"*Admin*")</f>
        <v/>
      </c>
    </row>
    <row r="8">
      <c r="A8" t="inlineStr">
        <is>
          <t>Driver Portal Tests</t>
        </is>
      </c>
      <c r="B8">
        <f>COUNTIF('Test Cases'!A:A,"*Driver*")</f>
        <v/>
      </c>
    </row>
    <row r="10">
      <c r="A10" t="inlineStr">
        <is>
          <t>Passed</t>
        </is>
      </c>
      <c r="B10">
        <f>COUNTIF('Test Cases'!F:F,"PASS")</f>
        <v/>
      </c>
    </row>
    <row r="11">
      <c r="A11" t="inlineStr">
        <is>
          <t>Failed</t>
        </is>
      </c>
      <c r="B11">
        <f>COUNTIF('Test Cases'!F:F,"FAIL")</f>
        <v/>
      </c>
    </row>
    <row r="12">
      <c r="A12" t="inlineStr">
        <is>
          <t>Pending</t>
        </is>
      </c>
      <c r="B12">
        <f>COUNTIF('Test Cases'!F:F,"PENDING")</f>
        <v/>
      </c>
    </row>
    <row r="13">
      <c r="A13" t="inlineStr">
        <is>
          <t>Blocked</t>
        </is>
      </c>
      <c r="B13">
        <f>COUNTIF('Test Cases'!F:F,"BLOCKED")</f>
        <v/>
      </c>
    </row>
    <row r="15">
      <c r="A15" t="inlineStr">
        <is>
          <t>Pass Rate</t>
        </is>
      </c>
      <c r="B15" s="2">
        <f>IF(COUNTA('Test Cases'!F:F)&gt;1,COUNTIF('Test Cases'!F:F,"PASS")/(COUNTA('Test Cases'!F:F)-1),0)</f>
        <v/>
      </c>
    </row>
    <row r="17" ht="18.75" customHeight="1" s="16">
      <c r="A17" s="1" t="inlineStr">
        <is>
          <t>Test Environment Details</t>
        </is>
      </c>
    </row>
    <row r="18">
      <c r="A18" t="inlineStr">
        <is>
          <t>Environment</t>
        </is>
      </c>
      <c r="B18" t="inlineStr">
        <is>
          <t>Staging/Production</t>
        </is>
      </c>
    </row>
    <row r="19">
      <c r="A19" t="inlineStr">
        <is>
          <t>Test Date</t>
        </is>
      </c>
    </row>
    <row r="20">
      <c r="A20" t="inlineStr">
        <is>
          <t>Tester Name</t>
        </is>
      </c>
    </row>
    <row r="21">
      <c r="A21" t="inlineStr">
        <is>
          <t>Browser</t>
        </is>
      </c>
    </row>
    <row r="22">
      <c r="A22" t="inlineStr">
        <is>
          <t>Device</t>
        </is>
      </c>
    </row>
    <row r="23">
      <c r="A23" t="inlineStr">
        <is>
          <t>Notes</t>
        </is>
      </c>
    </row>
    <row r="26">
      <c r="A26" s="17" t="inlineStr">
        <is>
          <t>Test Accounts</t>
        </is>
      </c>
    </row>
    <row r="27">
      <c r="A27" s="18" t="inlineStr">
        <is>
          <t>Role/Portal</t>
        </is>
      </c>
      <c r="B27" s="18" t="inlineStr">
        <is>
          <t>Email</t>
        </is>
      </c>
      <c r="C27" s="18" t="inlineStr">
        <is>
          <t>Password</t>
        </is>
      </c>
      <c r="D27" s="18" t="inlineStr">
        <is>
          <t>Notes</t>
        </is>
      </c>
    </row>
    <row r="28">
      <c r="A28" s="19" t="inlineStr">
        <is>
          <t>Driver</t>
        </is>
      </c>
      <c r="B28" s="19" t="inlineStr">
        <is>
          <t>driver@nutriofuel.com</t>
        </is>
      </c>
      <c r="C28" s="19" t="inlineStr">
        <is>
          <t>Driver123!</t>
        </is>
      </c>
      <c r="D28" s="19" t="inlineStr">
        <is>
          <t>Fleet Manager Account</t>
        </is>
      </c>
    </row>
    <row r="29">
      <c r="A29" s="19" t="inlineStr">
        <is>
          <t>Admin</t>
        </is>
      </c>
      <c r="B29" s="19" t="inlineStr">
        <is>
          <t>admin@nutrio.com</t>
        </is>
      </c>
      <c r="C29" s="19" t="inlineStr">
        <is>
          <t>Khamees1992#</t>
        </is>
      </c>
      <c r="D29" s="19" t="inlineStr">
        <is>
          <t>Main Admin Account</t>
        </is>
      </c>
    </row>
    <row r="30" ht="18.75" customHeight="1" s="16">
      <c r="A30" s="20" t="inlineStr">
        <is>
          <t>Admin (Alt)</t>
        </is>
      </c>
      <c r="B30" s="19" t="inlineStr">
        <is>
          <t>khamis-1992@hotmail.com</t>
        </is>
      </c>
      <c r="C30" s="19" t="inlineStr">
        <is>
          <t>Khamees1992#</t>
        </is>
      </c>
      <c r="D30" s="19" t="inlineStr">
        <is>
          <t>Alternate Admin Account</t>
        </is>
      </c>
    </row>
    <row r="31">
      <c r="A31" s="21" t="inlineStr">
        <is>
          <t>Partner</t>
        </is>
      </c>
      <c r="B31" s="21" t="inlineStr">
        <is>
          <t>khamis4everever@gmail.com</t>
        </is>
      </c>
      <c r="C31" s="21" t="inlineStr">
        <is>
          <t>123456789</t>
        </is>
      </c>
      <c r="D31" s="19" t="inlineStr">
        <is>
          <t>Restaurant Partner Account</t>
        </is>
      </c>
    </row>
    <row r="32">
      <c r="A32" s="19" t="inlineStr">
        <is>
          <t>Customer</t>
        </is>
      </c>
      <c r="B32" s="19" t="inlineStr">
        <is>
          <t>eng.aljabor@gmail.com</t>
        </is>
      </c>
      <c r="C32" s="19" t="inlineStr">
        <is>
          <t>123456789</t>
        </is>
      </c>
      <c r="D32" s="19" t="inlineStr">
        <is>
          <t>Normal User Account</t>
        </is>
      </c>
    </row>
    <row r="33">
      <c r="A33" s="9" t="inlineStr">
        <is>
          <t>Partner</t>
        </is>
      </c>
      <c r="B33" s="9" t="n">
        <v>124</v>
      </c>
      <c r="C33" s="9" t="inlineStr">
        <is>
          <t>Partner Tests</t>
        </is>
      </c>
    </row>
    <row r="34">
      <c r="A34" s="9" t="inlineStr">
        <is>
          <t>Admin</t>
        </is>
      </c>
      <c r="B34" s="9" t="n">
        <v>81</v>
      </c>
      <c r="C34" s="9" t="inlineStr">
        <is>
          <t>Admin Tests</t>
        </is>
      </c>
    </row>
    <row r="35">
      <c r="A35" s="9" t="inlineStr">
        <is>
          <t>Driver</t>
        </is>
      </c>
      <c r="B35" s="9" t="n">
        <v>44</v>
      </c>
      <c r="C35" s="9" t="inlineStr">
        <is>
          <t>Driver Tests</t>
        </is>
      </c>
    </row>
    <row r="36">
      <c r="A36" s="9" t="inlineStr">
        <is>
          <t>System</t>
        </is>
      </c>
      <c r="B36" s="9" t="n">
        <v>28</v>
      </c>
      <c r="C36" s="9" t="inlineStr">
        <is>
          <t>System Tests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I6" sqref="I6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75" customHeight="1" s="16">
      <c r="A2" s="4" t="inlineStr">
        <is>
          <t>TC046</t>
        </is>
      </c>
      <c r="B2" s="4" t="inlineStr">
        <is>
          <t>Partner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Partner Login</t>
        </is>
      </c>
      <c r="F2" s="4" t="inlineStr">
        <is>
          <t>1. Navigate to /partner/auth
2. Enter Email: khamis4everever@gmail.com
3. Enter Password: 123456789
4. Click Sign In</t>
        </is>
      </c>
      <c r="G2" s="13" t="inlineStr">
        <is>
          <t>https://nutrio.me/partner/auth</t>
        </is>
      </c>
      <c r="H2" s="4" t="inlineStr">
        <is>
          <t>Partner logged in, redirected to partner dashboard</t>
        </is>
      </c>
      <c r="I2" s="4" t="inlineStr">
        <is>
          <t>PASS</t>
        </is>
      </c>
      <c r="J2" s="4" t="n"/>
      <c r="K2" s="4" t="n"/>
      <c r="L2" s="5" t="inlineStr">
        <is>
          <t>High</t>
        </is>
      </c>
      <c r="M2" s="4" t="n"/>
    </row>
    <row r="3" ht="45" customHeight="1" s="16">
      <c r="A3" s="4" t="inlineStr">
        <is>
          <t>TC047</t>
        </is>
      </c>
      <c r="B3" s="4" t="inlineStr">
        <is>
          <t>Partner</t>
        </is>
      </c>
      <c r="C3" s="4" t="inlineStr">
        <is>
          <t>Auth</t>
        </is>
      </c>
      <c r="D3" s="4" t="inlineStr">
        <is>
          <t>Invalid Login</t>
        </is>
      </c>
      <c r="E3" s="4" t="inlineStr">
        <is>
          <t>Partner Login - Invalid Credentials</t>
        </is>
      </c>
      <c r="F3" s="4" t="inlineStr">
        <is>
          <t>1. Enter wrong password
2. Click Sign In</t>
        </is>
      </c>
      <c r="G3" s="13" t="inlineStr">
        <is>
          <t>https://nutrio.me/partner/auth</t>
        </is>
      </c>
      <c r="H3" s="4" t="inlineStr">
        <is>
          <t>Error message displayed</t>
        </is>
      </c>
      <c r="I3" s="4" t="inlineStr">
        <is>
          <t>PASS</t>
        </is>
      </c>
      <c r="J3" s="4" t="n"/>
      <c r="K3" s="4" t="n"/>
      <c r="L3" s="5" t="inlineStr">
        <is>
          <t>High</t>
        </is>
      </c>
      <c r="M3" s="4" t="n"/>
    </row>
    <row r="4" ht="60" customHeight="1" s="16">
      <c r="A4" s="4" t="inlineStr">
        <is>
          <t>TC048</t>
        </is>
      </c>
      <c r="B4" s="4" t="inlineStr">
        <is>
          <t>Partner</t>
        </is>
      </c>
      <c r="C4" s="4" t="inlineStr">
        <is>
          <t>Auth</t>
        </is>
      </c>
      <c r="D4" s="4" t="inlineStr">
        <is>
          <t>Logout</t>
        </is>
      </c>
      <c r="E4" s="4" t="inlineStr">
        <is>
          <t>Partner Logout</t>
        </is>
      </c>
      <c r="F4" s="4" t="inlineStr">
        <is>
          <t>1. Click user menu
2. Click Logout</t>
        </is>
      </c>
      <c r="G4" s="13" t="inlineStr">
        <is>
          <t>https://nutrio.me/partner/auth</t>
        </is>
      </c>
      <c r="H4" s="4" t="inlineStr">
        <is>
          <t>Logged out, redirected to login page</t>
        </is>
      </c>
      <c r="I4" s="4" t="inlineStr">
        <is>
          <t>PASS</t>
        </is>
      </c>
      <c r="J4" s="4" t="n"/>
      <c r="K4" s="4" t="n"/>
      <c r="L4" s="5" t="inlineStr">
        <is>
          <t>High</t>
        </is>
      </c>
      <c r="M4" s="4" t="n"/>
    </row>
    <row r="5" ht="120" customHeight="1" s="16">
      <c r="A5" s="4" t="inlineStr">
        <is>
          <t>TC049</t>
        </is>
      </c>
      <c r="B5" s="4" t="inlineStr">
        <is>
          <t>Partner</t>
        </is>
      </c>
      <c r="C5" s="4" t="inlineStr">
        <is>
          <t>Dashboard</t>
        </is>
      </c>
      <c r="D5" s="4" t="inlineStr">
        <is>
          <t>View</t>
        </is>
      </c>
      <c r="E5" s="4" t="inlineStr">
        <is>
          <t>Partner Dashboard Load</t>
        </is>
      </c>
      <c r="F5" s="4" t="inlineStr">
        <is>
          <t>1. Login as partner
2. View dashboard</t>
        </is>
      </c>
      <c r="G5" s="13" t="inlineStr">
        <is>
          <t>https://nutrio.me/partner/dashboard</t>
        </is>
      </c>
      <c r="H5" s="4" t="inlineStr">
        <is>
          <t>Dashboard shows: today's orders, earnings, ratings, quick actions</t>
        </is>
      </c>
      <c r="I5" s="4" t="inlineStr">
        <is>
          <t>PASS</t>
        </is>
      </c>
      <c r="J5" s="4" t="n"/>
      <c r="K5" s="4" t="n"/>
      <c r="L5" s="5" t="inlineStr">
        <is>
          <t>High</t>
        </is>
      </c>
      <c r="M5" s="4" t="n"/>
    </row>
    <row r="6" ht="105" customHeight="1" s="16">
      <c r="A6" s="4" t="inlineStr">
        <is>
          <t>TC050</t>
        </is>
      </c>
      <c r="B6" s="4" t="inlineStr">
        <is>
          <t>Partner</t>
        </is>
      </c>
      <c r="C6" s="4" t="inlineStr">
        <is>
          <t>Dashboard</t>
        </is>
      </c>
      <c r="D6" s="4" t="inlineStr">
        <is>
          <t>Stats</t>
        </is>
      </c>
      <c r="E6" s="4" t="inlineStr">
        <is>
          <t>Dashboard Statistics</t>
        </is>
      </c>
      <c r="F6" s="4" t="inlineStr">
        <is>
          <t>1. On dashboard
2. Verify stats accuracy</t>
        </is>
      </c>
      <c r="G6" s="13" t="inlineStr">
        <is>
          <t>https://nutrio.me/partner/dashboard</t>
        </is>
      </c>
      <c r="H6" s="4" t="inlineStr">
        <is>
          <t>Today's orders, weekly earnings, average rating correct</t>
        </is>
      </c>
      <c r="I6" s="4">
        <f>IF(J6="","",IF(J6=H6,"PASS","FAIL"))</f>
        <v/>
      </c>
      <c r="J6" s="4" t="n"/>
      <c r="K6" s="4" t="n"/>
      <c r="L6" s="5" t="inlineStr">
        <is>
          <t>High</t>
        </is>
      </c>
      <c r="M6" s="4" t="n"/>
    </row>
    <row r="7" ht="45" customHeight="1" s="16">
      <c r="A7" s="4" t="inlineStr">
        <is>
          <t>TC051</t>
        </is>
      </c>
      <c r="B7" s="4" t="inlineStr">
        <is>
          <t>Partner</t>
        </is>
      </c>
      <c r="C7" s="4" t="inlineStr">
        <is>
          <t>Dashboard</t>
        </is>
      </c>
      <c r="D7" s="4" t="inlineStr">
        <is>
          <t>Quick Actions</t>
        </is>
      </c>
      <c r="E7" s="4" t="inlineStr">
        <is>
          <t>Dashboard Quick Actions</t>
        </is>
      </c>
      <c r="F7" s="4" t="inlineStr">
        <is>
          <t>1. Click 'View Orders'
2. Click 'Update Menu'
3. Click 'View Earnings'</t>
        </is>
      </c>
      <c r="G7" s="13" t="inlineStr">
        <is>
          <t>https://nutrio.me/partner/dashboard</t>
        </is>
      </c>
      <c r="H7" s="4" t="inlineStr">
        <is>
          <t>Each button navigates to correct page</t>
        </is>
      </c>
      <c r="I7" s="4">
        <f>IF(J7="","",IF(J7=H7,"PASS","FAIL"))</f>
        <v/>
      </c>
      <c r="J7" s="4" t="n"/>
      <c r="K7" s="4" t="n"/>
      <c r="L7" s="6" t="inlineStr">
        <is>
          <t>Medium</t>
        </is>
      </c>
      <c r="M7" s="4" t="n"/>
    </row>
    <row r="8" ht="90" customHeight="1" s="16">
      <c r="A8" s="4" t="inlineStr">
        <is>
          <t>TC052</t>
        </is>
      </c>
      <c r="B8" s="4" t="inlineStr">
        <is>
          <t>Partner</t>
        </is>
      </c>
      <c r="C8" s="4" t="inlineStr">
        <is>
          <t>Orders</t>
        </is>
      </c>
      <c r="D8" s="4" t="inlineStr">
        <is>
          <t>View Active</t>
        </is>
      </c>
      <c r="E8" s="4" t="inlineStr">
        <is>
          <t>View Active Orders</t>
        </is>
      </c>
      <c r="F8" s="4" t="inlineStr">
        <is>
          <t>1. Go to Orders page
2. View active orders list</t>
        </is>
      </c>
      <c r="G8" s="13" t="inlineStr">
        <is>
          <t>https://nutrio.me/partner/orders/[id]</t>
        </is>
      </c>
      <c r="H8" s="4" t="inlineStr">
        <is>
          <t>All pending/preparing orders displayed with details</t>
        </is>
      </c>
      <c r="I8" s="4">
        <f>IF(J8="","",IF(J8=H8,"PASS","FAIL"))</f>
        <v/>
      </c>
      <c r="J8" s="4" t="n"/>
      <c r="K8" s="4" t="n"/>
      <c r="L8" s="7" t="inlineStr">
        <is>
          <t>Critical</t>
        </is>
      </c>
      <c r="M8" s="4" t="n"/>
    </row>
    <row r="9" ht="90" customHeight="1" s="16">
      <c r="A9" s="4" t="inlineStr">
        <is>
          <t>TC053</t>
        </is>
      </c>
      <c r="B9" s="4" t="inlineStr">
        <is>
          <t>Partner</t>
        </is>
      </c>
      <c r="C9" s="4" t="inlineStr">
        <is>
          <t>Orders</t>
        </is>
      </c>
      <c r="D9" s="4" t="inlineStr">
        <is>
          <t>View History</t>
        </is>
      </c>
      <c r="E9" s="4" t="inlineStr">
        <is>
          <t>View Order History</t>
        </is>
      </c>
      <c r="F9" s="4" t="inlineStr">
        <is>
          <t>1. Click History tab
2. View past orders</t>
        </is>
      </c>
      <c r="G9" s="13" t="inlineStr">
        <is>
          <t>https://nutrio.me/partner/orders/[id]</t>
        </is>
      </c>
      <c r="H9" s="4" t="inlineStr">
        <is>
          <t>Completed orders displayed with dates and amounts</t>
        </is>
      </c>
      <c r="I9" s="4">
        <f>IF(J9="","",IF(J9=H9,"PASS","FAIL"))</f>
        <v/>
      </c>
      <c r="J9" s="4" t="n"/>
      <c r="K9" s="4" t="n"/>
      <c r="L9" s="5" t="inlineStr">
        <is>
          <t>High</t>
        </is>
      </c>
      <c r="M9" s="4" t="n"/>
    </row>
    <row r="10" ht="45" customHeight="1" s="16">
      <c r="A10" s="4" t="inlineStr">
        <is>
          <t>TC054</t>
        </is>
      </c>
      <c r="B10" s="4" t="inlineStr">
        <is>
          <t>Partner</t>
        </is>
      </c>
      <c r="C10" s="4" t="inlineStr">
        <is>
          <t>Orders</t>
        </is>
      </c>
      <c r="D10" s="4" t="inlineStr">
        <is>
          <t>Accept Order</t>
        </is>
      </c>
      <c r="E10" s="4" t="inlineStr">
        <is>
          <t>Accept New Order</t>
        </is>
      </c>
      <c r="F10" s="4" t="inlineStr">
        <is>
          <t>1. New order notification received
2. Click Accept
3. Or wait for auto-accept</t>
        </is>
      </c>
      <c r="G10" s="13" t="inlineStr">
        <is>
          <t>https://nutrio.me/partner/orders</t>
        </is>
      </c>
      <c r="H10" s="4" t="inlineStr">
        <is>
          <t>Order status changes to Confirmed</t>
        </is>
      </c>
      <c r="I10" s="4">
        <f>IF(J10="","",IF(J10=H10,"PASS","FAIL"))</f>
        <v/>
      </c>
      <c r="J10" s="4" t="n"/>
      <c r="K10" s="4" t="n"/>
      <c r="L10" s="7" t="inlineStr">
        <is>
          <t>Critical</t>
        </is>
      </c>
      <c r="M10" s="4" t="n"/>
    </row>
    <row r="11" ht="75" customHeight="1" s="16">
      <c r="A11" s="4" t="inlineStr">
        <is>
          <t>TC055</t>
        </is>
      </c>
      <c r="B11" s="4" t="inlineStr">
        <is>
          <t>Partner</t>
        </is>
      </c>
      <c r="C11" s="4" t="inlineStr">
        <is>
          <t>Orders</t>
        </is>
      </c>
      <c r="D11" s="4" t="inlineStr">
        <is>
          <t>Update Status</t>
        </is>
      </c>
      <c r="E11" s="4" t="inlineStr">
        <is>
          <t>Update Order Status</t>
        </is>
      </c>
      <c r="F11" s="4" t="inlineStr">
        <is>
          <t>1. Click on active order
2. Click 'Mark as Preparing'
3. Later click 'Mark as Ready'</t>
        </is>
      </c>
      <c r="G11" s="13" t="inlineStr">
        <is>
          <t>https://nutrio.me/partner/orders/[id]/edit</t>
        </is>
      </c>
      <c r="H11" s="4" t="inlineStr">
        <is>
          <t>Status updates, customer receives notification</t>
        </is>
      </c>
      <c r="I11" s="4">
        <f>IF(J11="","",IF(J11=H11,"PASS","FAIL"))</f>
        <v/>
      </c>
      <c r="J11" s="4" t="n"/>
      <c r="K11" s="4" t="n"/>
      <c r="L11" s="7" t="inlineStr">
        <is>
          <t>Critical</t>
        </is>
      </c>
      <c r="M11" s="4" t="n"/>
    </row>
    <row r="12" ht="135" customHeight="1" s="16">
      <c r="A12" s="4" t="inlineStr">
        <is>
          <t>TC056</t>
        </is>
      </c>
      <c r="B12" s="4" t="inlineStr">
        <is>
          <t>Partner</t>
        </is>
      </c>
      <c r="C12" s="4" t="inlineStr">
        <is>
          <t>Orders</t>
        </is>
      </c>
      <c r="D12" s="4" t="inlineStr">
        <is>
          <t>Order Details</t>
        </is>
      </c>
      <c r="E12" s="4" t="inlineStr">
        <is>
          <t>View Order Details</t>
        </is>
      </c>
      <c r="F12" s="4" t="inlineStr">
        <is>
          <t>1. Click on any order
2. View full details</t>
        </is>
      </c>
      <c r="G12" s="13" t="inlineStr">
        <is>
          <t>https://nutrio.me/partner/orders/[id]</t>
        </is>
      </c>
      <c r="H12" s="4" t="inlineStr">
        <is>
          <t>Order items, customer info, delivery address, special instructions displayed</t>
        </is>
      </c>
      <c r="I12" s="4">
        <f>IF(J12="","",IF(J12=H12,"PASS","FAIL"))</f>
        <v/>
      </c>
      <c r="J12" s="4" t="n"/>
      <c r="K12" s="4" t="n"/>
      <c r="L12" s="5" t="inlineStr">
        <is>
          <t>High</t>
        </is>
      </c>
      <c r="M12" s="4" t="n"/>
    </row>
    <row r="13" ht="60" customHeight="1" s="16">
      <c r="A13" s="4" t="inlineStr">
        <is>
          <t>TC057</t>
        </is>
      </c>
      <c r="B13" s="4" t="inlineStr">
        <is>
          <t>Partner</t>
        </is>
      </c>
      <c r="C13" s="4" t="inlineStr">
        <is>
          <t>Orders</t>
        </is>
      </c>
      <c r="D13" s="4" t="inlineStr">
        <is>
          <t>Print Order</t>
        </is>
      </c>
      <c r="E13" s="4" t="inlineStr">
        <is>
          <t>Print Order Ticket</t>
        </is>
      </c>
      <c r="F13" s="4" t="inlineStr">
        <is>
          <t>1. Open order details
2. Click Print</t>
        </is>
      </c>
      <c r="G13" s="13" t="inlineStr">
        <is>
          <t>https://nutrio.me/partner/orders</t>
        </is>
      </c>
      <c r="H13" s="4" t="inlineStr">
        <is>
          <t>Order prints with kitchen ticket format</t>
        </is>
      </c>
      <c r="I13" s="4">
        <f>IF(J13="","",IF(J13=H13,"PASS","FAIL"))</f>
        <v/>
      </c>
      <c r="J13" s="4" t="n"/>
      <c r="K13" s="4" t="n"/>
      <c r="L13" s="4" t="inlineStr">
        <is>
          <t>Low</t>
        </is>
      </c>
      <c r="M13" s="4" t="n"/>
    </row>
    <row r="14" ht="75" customHeight="1" s="16">
      <c r="A14" s="4" t="inlineStr">
        <is>
          <t>TC058</t>
        </is>
      </c>
      <c r="B14" s="4" t="inlineStr">
        <is>
          <t>Partner</t>
        </is>
      </c>
      <c r="C14" s="4" t="inlineStr">
        <is>
          <t>Menu</t>
        </is>
      </c>
      <c r="D14" s="4" t="inlineStr">
        <is>
          <t>View Menu</t>
        </is>
      </c>
      <c r="E14" s="4" t="inlineStr">
        <is>
          <t>View Current Menu</t>
        </is>
      </c>
      <c r="F14" s="4" t="inlineStr">
        <is>
          <t>1. Navigate to Menu page
2. View all items</t>
        </is>
      </c>
      <c r="G14" s="13" t="inlineStr">
        <is>
          <t>https://nutrio.me/partner/menu/[id]</t>
        </is>
      </c>
      <c r="H14" s="4" t="inlineStr">
        <is>
          <t>All menu items displayed with photos and status</t>
        </is>
      </c>
      <c r="I14" s="4">
        <f>IF(J14="","",IF(J14=H14,"PASS","FAIL"))</f>
        <v/>
      </c>
      <c r="J14" s="4" t="n"/>
      <c r="K14" s="4" t="n"/>
      <c r="L14" s="5" t="inlineStr">
        <is>
          <t>High</t>
        </is>
      </c>
      <c r="M14" s="4" t="n"/>
    </row>
    <row r="15" ht="60" customHeight="1" s="16">
      <c r="A15" s="4" t="inlineStr">
        <is>
          <t>TC059</t>
        </is>
      </c>
      <c r="B15" s="4" t="inlineStr">
        <is>
          <t>Partner</t>
        </is>
      </c>
      <c r="C15" s="4" t="inlineStr">
        <is>
          <t>Menu</t>
        </is>
      </c>
      <c r="D15" s="4" t="inlineStr">
        <is>
          <t>Add Item</t>
        </is>
      </c>
      <c r="E15" s="4" t="inlineStr">
        <is>
          <t>Add New Menu Item</t>
        </is>
      </c>
      <c r="F15" s="4" t="inlineStr">
        <is>
          <t>1. Click 'Add New Meal'
2. Fill all fields (name, desc, nutrition, photo)
3. Click Save</t>
        </is>
      </c>
      <c r="G15" s="13" t="inlineStr">
        <is>
          <t>https://nutrio.me/partner/menu/new</t>
        </is>
      </c>
      <c r="H15" s="4" t="inlineStr">
        <is>
          <t>Item added to menu, visible to customers</t>
        </is>
      </c>
      <c r="I15" s="4">
        <f>IF(J15="","",IF(J15=H15,"PASS","FAIL"))</f>
        <v/>
      </c>
      <c r="J15" s="4" t="n"/>
      <c r="K15" s="4" t="n"/>
      <c r="L15" s="5" t="inlineStr">
        <is>
          <t>High</t>
        </is>
      </c>
      <c r="M15" s="4" t="n"/>
    </row>
    <row r="16" ht="60" customHeight="1" s="16">
      <c r="A16" s="4" t="inlineStr">
        <is>
          <t>TC060</t>
        </is>
      </c>
      <c r="B16" s="4" t="inlineStr">
        <is>
          <t>Partner</t>
        </is>
      </c>
      <c r="C16" s="4" t="inlineStr">
        <is>
          <t>Menu</t>
        </is>
      </c>
      <c r="D16" s="4" t="inlineStr">
        <is>
          <t>Edit Item</t>
        </is>
      </c>
      <c r="E16" s="4" t="inlineStr">
        <is>
          <t>Edit Menu Item</t>
        </is>
      </c>
      <c r="F16" s="4" t="inlineStr">
        <is>
          <t>1. Click on menu item
2. Click Edit
3. Change details
4. Save</t>
        </is>
      </c>
      <c r="G16" s="13" t="inlineStr">
        <is>
          <t>https://nutrio.me/partner/menu/[id]/edit</t>
        </is>
      </c>
      <c r="H16" s="4" t="inlineStr">
        <is>
          <t>Item updated with new information</t>
        </is>
      </c>
      <c r="I16" s="4">
        <f>IF(J16="","",IF(J16=H16,"PASS","FAIL"))</f>
        <v/>
      </c>
      <c r="J16" s="4" t="n"/>
      <c r="K16" s="4" t="n"/>
      <c r="L16" s="5" t="inlineStr">
        <is>
          <t>High</t>
        </is>
      </c>
      <c r="M16" s="4" t="n"/>
    </row>
    <row r="17" ht="45" customHeight="1" s="16">
      <c r="A17" s="4" t="inlineStr">
        <is>
          <t>TC061</t>
        </is>
      </c>
      <c r="B17" s="4" t="inlineStr">
        <is>
          <t>Partner</t>
        </is>
      </c>
      <c r="C17" s="4" t="inlineStr">
        <is>
          <t>Menu</t>
        </is>
      </c>
      <c r="D17" s="4" t="inlineStr">
        <is>
          <t>Delete Item</t>
        </is>
      </c>
      <c r="E17" s="4" t="inlineStr">
        <is>
          <t>Delete Menu Item</t>
        </is>
      </c>
      <c r="F17" s="4" t="inlineStr">
        <is>
          <t>1. Click on menu item
2. Click Delete
3. Confirm</t>
        </is>
      </c>
      <c r="G17" s="13" t="inlineStr">
        <is>
          <t>https://nutrio.me/partner/menu</t>
        </is>
      </c>
      <c r="H17" s="4" t="inlineStr">
        <is>
          <t>Item removed from menu</t>
        </is>
      </c>
      <c r="I17" s="4">
        <f>IF(J17="","",IF(J17=H17,"PASS","FAIL"))</f>
        <v/>
      </c>
      <c r="J17" s="4" t="n"/>
      <c r="K17" s="4" t="n"/>
      <c r="L17" s="6" t="inlineStr">
        <is>
          <t>Medium</t>
        </is>
      </c>
      <c r="M17" s="4" t="n"/>
    </row>
    <row r="18" ht="90" customHeight="1" s="16">
      <c r="A18" s="4" t="inlineStr">
        <is>
          <t>TC062</t>
        </is>
      </c>
      <c r="B18" s="4" t="inlineStr">
        <is>
          <t>Partner</t>
        </is>
      </c>
      <c r="C18" s="4" t="inlineStr">
        <is>
          <t>Menu</t>
        </is>
      </c>
      <c r="D18" s="4" t="inlineStr">
        <is>
          <t>Toggle Availability</t>
        </is>
      </c>
      <c r="E18" s="4" t="inlineStr">
        <is>
          <t>Toggle Item Availability</t>
        </is>
      </c>
      <c r="F18" s="4" t="inlineStr">
        <is>
          <t>1. Find menu item
2. Toggle 'Available' switch
3. Verify status change</t>
        </is>
      </c>
      <c r="G18" s="13" t="inlineStr">
        <is>
          <t>https://nutrio.me/partner/menu</t>
        </is>
      </c>
      <c r="H18" s="4" t="inlineStr">
        <is>
          <t>Item availability changes, customers see/hide item</t>
        </is>
      </c>
      <c r="I18" s="4">
        <f>IF(J18="","",IF(J18=H18,"PASS","FAIL"))</f>
        <v/>
      </c>
      <c r="J18" s="4" t="n"/>
      <c r="K18" s="4" t="n"/>
      <c r="L18" s="5" t="inlineStr">
        <is>
          <t>High</t>
        </is>
      </c>
      <c r="M18" s="4" t="n"/>
    </row>
    <row r="19" ht="90" customHeight="1" s="16">
      <c r="A19" s="4" t="inlineStr">
        <is>
          <t>TC063</t>
        </is>
      </c>
      <c r="B19" s="4" t="inlineStr">
        <is>
          <t>Partner</t>
        </is>
      </c>
      <c r="C19" s="4" t="inlineStr">
        <is>
          <t>Menu</t>
        </is>
      </c>
      <c r="D19" s="4" t="inlineStr">
        <is>
          <t>Upload Photo</t>
        </is>
      </c>
      <c r="E19" s="4" t="inlineStr">
        <is>
          <t>Upload Meal Photo</t>
        </is>
      </c>
      <c r="F19" s="4" t="inlineStr">
        <is>
          <t>1. Add/Edit meal
2. Click Upload Photo
3. Select image
4. Save</t>
        </is>
      </c>
      <c r="G19" s="13" t="inlineStr">
        <is>
          <t>https://nutrio.me/partner/menu</t>
        </is>
      </c>
      <c r="H19" s="4" t="inlineStr">
        <is>
          <t>Photo uploaded and displayed on meal card</t>
        </is>
      </c>
      <c r="I19" s="4">
        <f>IF(J19="","",IF(J19=H19,"PASS","FAIL"))</f>
        <v/>
      </c>
      <c r="J19" s="4" t="n"/>
      <c r="K19" s="4" t="n"/>
      <c r="L19" s="6" t="inlineStr">
        <is>
          <t>Medium</t>
        </is>
      </c>
      <c r="M19" s="4" t="n"/>
    </row>
    <row r="20" ht="75" customHeight="1" s="16">
      <c r="A20" s="4" t="inlineStr">
        <is>
          <t>TC064</t>
        </is>
      </c>
      <c r="B20" s="4" t="inlineStr">
        <is>
          <t>Partner</t>
        </is>
      </c>
      <c r="C20" s="4" t="inlineStr">
        <is>
          <t>Menu</t>
        </is>
      </c>
      <c r="D20" s="4" t="inlineStr">
        <is>
          <t>Nutrition Info</t>
        </is>
      </c>
      <c r="E20" s="4" t="inlineStr">
        <is>
          <t>Add Nutrition Information</t>
        </is>
      </c>
      <c r="F20" s="4" t="inlineStr">
        <is>
          <t>1. Edit meal
2. Add calories, protein, carbs, fat
3. Save</t>
        </is>
      </c>
      <c r="G20" s="13" t="inlineStr">
        <is>
          <t>https://nutrio.me/partner/menu/new</t>
        </is>
      </c>
      <c r="H20" s="4" t="inlineStr">
        <is>
          <t>Nutrition info saved and displayed to customers</t>
        </is>
      </c>
      <c r="I20" s="4">
        <f>IF(J20="","",IF(J20=H20,"PASS","FAIL"))</f>
        <v/>
      </c>
      <c r="J20" s="4" t="n"/>
      <c r="K20" s="4" t="n"/>
      <c r="L20" s="6" t="inlineStr">
        <is>
          <t>Medium</t>
        </is>
      </c>
      <c r="M20" s="4" t="n"/>
    </row>
    <row r="21" ht="90" customHeight="1" s="16">
      <c r="A21" s="4" t="inlineStr">
        <is>
          <t>TC065</t>
        </is>
      </c>
      <c r="B21" s="4" t="inlineStr">
        <is>
          <t>Partner</t>
        </is>
      </c>
      <c r="C21" s="4" t="inlineStr">
        <is>
          <t>Earnings</t>
        </is>
      </c>
      <c r="D21" s="4" t="inlineStr">
        <is>
          <t>View Earnings</t>
        </is>
      </c>
      <c r="E21" s="4" t="inlineStr">
        <is>
          <t>View Earnings Dashboard</t>
        </is>
      </c>
      <c r="F21" s="4" t="inlineStr">
        <is>
          <t>1. Go to Earnings page
2. View summary</t>
        </is>
      </c>
      <c r="G21" s="13" t="inlineStr">
        <is>
          <t>https://nutrio.me/partner/payouts/[id]</t>
        </is>
      </c>
      <c r="H21" s="4" t="inlineStr">
        <is>
          <t>Today's earnings, weekly, monthly totals displayed</t>
        </is>
      </c>
      <c r="I21" s="4">
        <f>IF(J21="","",IF(J21=H21,"PASS","FAIL"))</f>
        <v/>
      </c>
      <c r="J21" s="4" t="n"/>
      <c r="K21" s="4" t="n"/>
      <c r="L21" s="5" t="inlineStr">
        <is>
          <t>High</t>
        </is>
      </c>
      <c r="M21" s="4" t="n"/>
    </row>
    <row r="22" ht="75" customHeight="1" s="16">
      <c r="A22" s="4" t="inlineStr">
        <is>
          <t>TC066</t>
        </is>
      </c>
      <c r="B22" s="4" t="inlineStr">
        <is>
          <t>Partner</t>
        </is>
      </c>
      <c r="C22" s="4" t="inlineStr">
        <is>
          <t>Earnings</t>
        </is>
      </c>
      <c r="D22" s="4" t="inlineStr">
        <is>
          <t>View Payout History</t>
        </is>
      </c>
      <c r="E22" s="4" t="inlineStr">
        <is>
          <t>View Payout History</t>
        </is>
      </c>
      <c r="F22" s="4" t="inlineStr">
        <is>
          <t>1. Click Payout History
2. View past payouts</t>
        </is>
      </c>
      <c r="G22" s="13" t="inlineStr">
        <is>
          <t>https://nutrio.me/partner/payouts/[id]</t>
        </is>
      </c>
      <c r="H22" s="4" t="inlineStr">
        <is>
          <t>All weekly payouts listed with dates and amounts</t>
        </is>
      </c>
      <c r="I22" s="4">
        <f>IF(J22="","",IF(J22=H22,"PASS","FAIL"))</f>
        <v/>
      </c>
      <c r="J22" s="4" t="n"/>
      <c r="K22" s="4" t="n"/>
      <c r="L22" s="5" t="inlineStr">
        <is>
          <t>High</t>
        </is>
      </c>
      <c r="M22" s="4" t="n"/>
    </row>
    <row r="23" ht="90" customHeight="1" s="16">
      <c r="A23" s="4" t="inlineStr">
        <is>
          <t>TC067</t>
        </is>
      </c>
      <c r="B23" s="4" t="inlineStr">
        <is>
          <t>Partner</t>
        </is>
      </c>
      <c r="C23" s="4" t="inlineStr">
        <is>
          <t>Earnings</t>
        </is>
      </c>
      <c r="D23" s="4" t="inlineStr">
        <is>
          <t>Payout Details</t>
        </is>
      </c>
      <c r="E23" s="4" t="inlineStr">
        <is>
          <t>View Payout Details</t>
        </is>
      </c>
      <c r="F23" s="4" t="inlineStr">
        <is>
          <t>1. Click on payout
2. View breakdown</t>
        </is>
      </c>
      <c r="G23" s="13" t="inlineStr">
        <is>
          <t>https://nutrio.me/partner/payouts/[id]</t>
        </is>
      </c>
      <c r="H23" s="4" t="inlineStr">
        <is>
          <t>Daily breakdown of orders and earnings shown</t>
        </is>
      </c>
      <c r="I23" s="4">
        <f>IF(J23="","",IF(J23=H23,"PASS","FAIL"))</f>
        <v/>
      </c>
      <c r="J23" s="4" t="n"/>
      <c r="K23" s="4" t="n"/>
      <c r="L23" s="6" t="inlineStr">
        <is>
          <t>Medium</t>
        </is>
      </c>
      <c r="M23" s="4" t="n"/>
    </row>
    <row r="24" ht="45" customHeight="1" s="16">
      <c r="A24" s="4" t="inlineStr">
        <is>
          <t>TC068</t>
        </is>
      </c>
      <c r="B24" s="4" t="inlineStr">
        <is>
          <t>Partner</t>
        </is>
      </c>
      <c r="C24" s="4" t="inlineStr">
        <is>
          <t>Earnings</t>
        </is>
      </c>
      <c r="D24" s="4" t="inlineStr">
        <is>
          <t>Stats</t>
        </is>
      </c>
      <c r="E24" s="4" t="inlineStr">
        <is>
          <t>View Performance Stats</t>
        </is>
      </c>
      <c r="F24" s="4" t="inlineStr">
        <is>
          <t>1. View statistics section
2. Check meals served and ratings</t>
        </is>
      </c>
      <c r="G24" s="13" t="inlineStr">
        <is>
          <t>https://nutrio.me/partner/payouts/[id]</t>
        </is>
      </c>
      <c r="H24" s="4" t="inlineStr">
        <is>
          <t>Accurate statistics displayed</t>
        </is>
      </c>
      <c r="I24" s="4">
        <f>IF(J24="","",IF(J24=H24,"PASS","FAIL"))</f>
        <v/>
      </c>
      <c r="J24" s="4" t="n"/>
      <c r="K24" s="4" t="n"/>
      <c r="L24" s="6" t="inlineStr">
        <is>
          <t>Medium</t>
        </is>
      </c>
      <c r="M24" s="4" t="n"/>
    </row>
    <row r="25" ht="75" customHeight="1" s="16">
      <c r="A25" s="4" t="inlineStr">
        <is>
          <t>TC069</t>
        </is>
      </c>
      <c r="B25" s="4" t="inlineStr">
        <is>
          <t>Partner</t>
        </is>
      </c>
      <c r="C25" s="4" t="inlineStr">
        <is>
          <t>Profile</t>
        </is>
      </c>
      <c r="D25" s="4" t="inlineStr">
        <is>
          <t>View Profile</t>
        </is>
      </c>
      <c r="E25" s="4" t="inlineStr">
        <is>
          <t>View Restaurant Profile</t>
        </is>
      </c>
      <c r="F25" s="4" t="inlineStr">
        <is>
          <t>1. Go to Profile page
2. View info</t>
        </is>
      </c>
      <c r="G25" s="13" t="inlineStr">
        <is>
          <t>https://nutrio.me/partner/profile/[id]</t>
        </is>
      </c>
      <c r="H25" s="4" t="inlineStr">
        <is>
          <t>Restaurant details, hours, capacity displayed</t>
        </is>
      </c>
      <c r="I25" s="4">
        <f>IF(J25="","",IF(J25=H25,"PASS","FAIL"))</f>
        <v/>
      </c>
      <c r="J25" s="4" t="n"/>
      <c r="K25" s="4" t="n"/>
      <c r="L25" s="5" t="inlineStr">
        <is>
          <t>High</t>
        </is>
      </c>
      <c r="M25" s="4" t="n"/>
    </row>
    <row r="26" ht="45" customHeight="1" s="16">
      <c r="A26" s="4" t="inlineStr">
        <is>
          <t>TC070</t>
        </is>
      </c>
      <c r="B26" s="4" t="inlineStr">
        <is>
          <t>Partner</t>
        </is>
      </c>
      <c r="C26" s="4" t="inlineStr">
        <is>
          <t>Profile</t>
        </is>
      </c>
      <c r="D26" s="4" t="inlineStr">
        <is>
          <t>Edit Profile</t>
        </is>
      </c>
      <c r="E26" s="4" t="inlineStr">
        <is>
          <t>Edit Restaurant Info</t>
        </is>
      </c>
      <c r="F26" s="4" t="inlineStr">
        <is>
          <t>1. Click Edit
2. Change description, hours
3. Save</t>
        </is>
      </c>
      <c r="G26" s="13" t="inlineStr">
        <is>
          <t>https://nutrio.me/partner/profile/[id]/edit</t>
        </is>
      </c>
      <c r="H26" s="4" t="inlineStr">
        <is>
          <t>Profile updated successfully</t>
        </is>
      </c>
      <c r="I26" s="4">
        <f>IF(J26="","",IF(J26=H26,"PASS","FAIL"))</f>
        <v/>
      </c>
      <c r="J26" s="4" t="n"/>
      <c r="K26" s="4" t="n"/>
      <c r="L26" s="6" t="inlineStr">
        <is>
          <t>Medium</t>
        </is>
      </c>
      <c r="M26" s="4" t="n"/>
    </row>
    <row r="27" ht="60" customHeight="1" s="16">
      <c r="A27" s="4" t="inlineStr">
        <is>
          <t>TC071</t>
        </is>
      </c>
      <c r="B27" s="4" t="inlineStr">
        <is>
          <t>Partner</t>
        </is>
      </c>
      <c r="C27" s="4" t="inlineStr">
        <is>
          <t>Profile</t>
        </is>
      </c>
      <c r="D27" s="4" t="inlineStr">
        <is>
          <t>Update Bank</t>
        </is>
      </c>
      <c r="E27" s="4" t="inlineStr">
        <is>
          <t>Update Bank Details</t>
        </is>
      </c>
      <c r="F27" s="4" t="inlineStr">
        <is>
          <t>1. Go to Profile
2. Edit bank account info
3. Save</t>
        </is>
      </c>
      <c r="G27" s="13" t="inlineStr">
        <is>
          <t>https://nutrio.me/partner/profile/[id]</t>
        </is>
      </c>
      <c r="H27" s="4" t="inlineStr">
        <is>
          <t>Bank details updated for future payouts</t>
        </is>
      </c>
      <c r="I27" s="4">
        <f>IF(J27="","",IF(J27=H27,"PASS","FAIL"))</f>
        <v/>
      </c>
      <c r="J27" s="4" t="n"/>
      <c r="K27" s="4" t="n"/>
      <c r="L27" s="5" t="inlineStr">
        <is>
          <t>High</t>
        </is>
      </c>
      <c r="M27" s="4" t="n"/>
    </row>
    <row r="28" ht="75" customHeight="1" s="16">
      <c r="A28" s="4" t="inlineStr">
        <is>
          <t>TC072</t>
        </is>
      </c>
      <c r="B28" s="4" t="inlineStr">
        <is>
          <t>Partner</t>
        </is>
      </c>
      <c r="C28" s="4" t="inlineStr">
        <is>
          <t>Profile</t>
        </is>
      </c>
      <c r="D28" s="4" t="inlineStr">
        <is>
          <t>Set Capacity</t>
        </is>
      </c>
      <c r="E28" s="4" t="inlineStr">
        <is>
          <t>Set Daily Capacity</t>
        </is>
      </c>
      <c r="F28" s="4" t="inlineStr">
        <is>
          <t>1. Go to Profile
2. Change daily capacity
3. Save</t>
        </is>
      </c>
      <c r="G28" s="13" t="inlineStr">
        <is>
          <t>https://nutrio.me/partner/profile</t>
        </is>
      </c>
      <c r="H28" s="4" t="inlineStr">
        <is>
          <t>Capacity updated, affects order acceptance</t>
        </is>
      </c>
      <c r="I28" s="4">
        <f>IF(J28="","",IF(J28=H28,"PASS","FAIL"))</f>
        <v/>
      </c>
      <c r="J28" s="4" t="n"/>
      <c r="K28" s="4" t="n"/>
      <c r="L28" s="5" t="inlineStr">
        <is>
          <t>High</t>
        </is>
      </c>
      <c r="M28" s="4" t="n"/>
    </row>
    <row r="29" ht="75" customHeight="1" s="16">
      <c r="A29" s="4" t="inlineStr">
        <is>
          <t>TC073</t>
        </is>
      </c>
      <c r="B29" s="4" t="inlineStr">
        <is>
          <t>Partner</t>
        </is>
      </c>
      <c r="C29" s="4" t="inlineStr">
        <is>
          <t>Profile</t>
        </is>
      </c>
      <c r="D29" s="4" t="inlineStr">
        <is>
          <t>Toggle Orders</t>
        </is>
      </c>
      <c r="E29" s="4" t="inlineStr">
        <is>
          <t>Toggle Accepting Orders</t>
        </is>
      </c>
      <c r="F29" s="4" t="inlineStr">
        <is>
          <t>1. Go to Profile
2. Toggle 'Accepting Orders'
3. Save</t>
        </is>
      </c>
      <c r="G29" s="13" t="inlineStr">
        <is>
          <t>https://nutrio.me/partner/profile</t>
        </is>
      </c>
      <c r="H29" s="4" t="inlineStr">
        <is>
          <t>Status changes, customers can/cannot place orders</t>
        </is>
      </c>
      <c r="I29" s="4">
        <f>IF(J29="","",IF(J29=H29,"PASS","FAIL"))</f>
        <v/>
      </c>
      <c r="J29" s="4" t="n"/>
      <c r="K29" s="4" t="n"/>
      <c r="L29" s="5" t="inlineStr">
        <is>
          <t>High</t>
        </is>
      </c>
      <c r="M29" s="4" t="n"/>
    </row>
    <row r="30" ht="60" customHeight="1" s="16">
      <c r="A30" s="4" t="inlineStr">
        <is>
          <t>TC074</t>
        </is>
      </c>
      <c r="B30" s="4" t="inlineStr">
        <is>
          <t>Partner</t>
        </is>
      </c>
      <c r="C30" s="4" t="inlineStr">
        <is>
          <t>Profile</t>
        </is>
      </c>
      <c r="D30" s="4" t="inlineStr">
        <is>
          <t>Update Logo</t>
        </is>
      </c>
      <c r="E30" s="4" t="inlineStr">
        <is>
          <t>Update Restaurant Logo</t>
        </is>
      </c>
      <c r="F30" s="4" t="inlineStr">
        <is>
          <t>1. Go to Profile
2. Click Update Logo
3. Upload new image
4. Save</t>
        </is>
      </c>
      <c r="G30" s="13" t="inlineStr">
        <is>
          <t>https://nutrio.me/partner/profile/[id]/edit</t>
        </is>
      </c>
      <c r="H30" s="4" t="inlineStr">
        <is>
          <t>Logo updated across platform</t>
        </is>
      </c>
      <c r="I30" s="4">
        <f>IF(J30="","",IF(J30=H30,"PASS","FAIL"))</f>
        <v/>
      </c>
      <c r="J30" s="4" t="n"/>
      <c r="K30" s="4" t="n"/>
      <c r="L30" s="4" t="inlineStr">
        <is>
          <t>Low</t>
        </is>
      </c>
      <c r="M30" s="4" t="n"/>
    </row>
    <row r="31" ht="45" customHeight="1" s="16">
      <c r="A31" s="4" t="inlineStr">
        <is>
          <t>TC075</t>
        </is>
      </c>
      <c r="B31" s="4" t="inlineStr">
        <is>
          <t>Partner</t>
        </is>
      </c>
      <c r="C31" s="4" t="inlineStr">
        <is>
          <t>Profile</t>
        </is>
      </c>
      <c r="D31" s="4" t="inlineStr">
        <is>
          <t>Update Photos</t>
        </is>
      </c>
      <c r="E31" s="4" t="inlineStr">
        <is>
          <t>Update Restaurant Photos</t>
        </is>
      </c>
      <c r="F31" s="4" t="inlineStr">
        <is>
          <t>1. Go to Profile
2. Add/Remove photos
3. Save</t>
        </is>
      </c>
      <c r="G31" s="13" t="inlineStr">
        <is>
          <t>https://nutrio.me/partner/profile/[id]/edit</t>
        </is>
      </c>
      <c r="H31" s="4" t="inlineStr">
        <is>
          <t>Photo gallery updated</t>
        </is>
      </c>
      <c r="I31" s="4">
        <f>IF(J31="","",IF(J31=H31,"PASS","FAIL"))</f>
        <v/>
      </c>
      <c r="J31" s="4" t="n"/>
      <c r="K31" s="4" t="n"/>
      <c r="L31" s="4" t="inlineStr">
        <is>
          <t>Low</t>
        </is>
      </c>
      <c r="M31" s="4" t="n"/>
    </row>
    <row r="32" ht="90" customHeight="1" s="16">
      <c r="A32" s="4" t="inlineStr">
        <is>
          <t>TC153</t>
        </is>
      </c>
      <c r="B32" s="4" t="inlineStr">
        <is>
          <t>Partner</t>
        </is>
      </c>
      <c r="C32" s="4" t="inlineStr">
        <is>
          <t>Auth</t>
        </is>
      </c>
      <c r="D32" s="4" t="inlineStr">
        <is>
          <t>Password Reset</t>
        </is>
      </c>
      <c r="E32" s="4" t="inlineStr">
        <is>
          <t>Partner Password Reset Flow</t>
        </is>
      </c>
      <c r="F32" s="4" t="inlineStr">
        <is>
          <t>1. Click Forgot Password on partner login
2. Enter registered email
3. Check email for reset link
4. Click link and set new password
5. Login with new password</t>
        </is>
      </c>
      <c r="G32" s="13" t="inlineStr">
        <is>
          <t>https://nutrio.me/partner/auth</t>
        </is>
      </c>
      <c r="H32" s="4" t="inlineStr">
        <is>
          <t>Password reset successful, can login with new credentials</t>
        </is>
      </c>
      <c r="I32" s="4">
        <f>IF(J32="","",IF(J32=H32,"PASS","FAIL"))</f>
        <v/>
      </c>
      <c r="J32" s="4" t="n"/>
      <c r="K32" s="4" t="n"/>
      <c r="L32" s="5" t="inlineStr">
        <is>
          <t>High</t>
        </is>
      </c>
      <c r="M32" s="4" t="n"/>
    </row>
    <row r="33" ht="75" customHeight="1" s="16">
      <c r="A33" s="4" t="inlineStr">
        <is>
          <t>TC154</t>
        </is>
      </c>
      <c r="B33" s="4" t="inlineStr">
        <is>
          <t>Partner</t>
        </is>
      </c>
      <c r="C33" s="4" t="inlineStr">
        <is>
          <t>Onboarding</t>
        </is>
      </c>
      <c r="D33" s="4" t="inlineStr">
        <is>
          <t>Wizard Step 1</t>
        </is>
      </c>
      <c r="E33" s="4" t="inlineStr">
        <is>
          <t>Complete Onboarding Step 1 - Basic Info</t>
        </is>
      </c>
      <c r="F33" s="4" t="inlineStr">
        <is>
          <t>1. Start partner registration
2. Fill restaurant name
3. Add description
4. Select cuisine type
5. Add dietary tags</t>
        </is>
      </c>
      <c r="G33" s="13" t="inlineStr">
        <is>
          <t>https://nutrio.me/partner/onboarding</t>
        </is>
      </c>
      <c r="H33" s="4" t="inlineStr">
        <is>
          <t>Step 1 saved, can proceed to Step 2</t>
        </is>
      </c>
      <c r="I33" s="4">
        <f>IF(J33="","",IF(J33=H33,"PASS","FAIL"))</f>
        <v/>
      </c>
      <c r="J33" s="4" t="n"/>
      <c r="K33" s="4" t="n"/>
      <c r="L33" s="5" t="inlineStr">
        <is>
          <t>High</t>
        </is>
      </c>
      <c r="M33" s="4" t="n"/>
    </row>
    <row r="34" ht="75" customHeight="1" s="16">
      <c r="A34" s="4" t="inlineStr">
        <is>
          <t>TC155</t>
        </is>
      </c>
      <c r="B34" s="4" t="inlineStr">
        <is>
          <t>Partner</t>
        </is>
      </c>
      <c r="C34" s="4" t="inlineStr">
        <is>
          <t>Onboarding</t>
        </is>
      </c>
      <c r="D34" s="4" t="inlineStr">
        <is>
          <t>Wizard Step 2</t>
        </is>
      </c>
      <c r="E34" s="4" t="inlineStr">
        <is>
          <t>Complete Onboarding Step 2 - Location</t>
        </is>
      </c>
      <c r="F34" s="4" t="inlineStr">
        <is>
          <t>1. Enter address
2. Pin location on map
3. Add phone number
4. Add email
5. Set operating hours</t>
        </is>
      </c>
      <c r="G34" s="13" t="inlineStr">
        <is>
          <t>https://nutrio.me/partner/onboarding</t>
        </is>
      </c>
      <c r="H34" s="4" t="inlineStr">
        <is>
          <t>Step 2 saved, can proceed to Step 3</t>
        </is>
      </c>
      <c r="I34" s="4">
        <f>IF(J34="","",IF(J34=H34,"PASS","FAIL"))</f>
        <v/>
      </c>
      <c r="J34" s="4" t="n"/>
      <c r="K34" s="4" t="n"/>
      <c r="L34" s="5" t="inlineStr">
        <is>
          <t>High</t>
        </is>
      </c>
      <c r="M34" s="4" t="n"/>
    </row>
    <row r="35" ht="60" customHeight="1" s="16">
      <c r="A35" s="4" t="inlineStr">
        <is>
          <t>TC156</t>
        </is>
      </c>
      <c r="B35" s="4" t="inlineStr">
        <is>
          <t>Partner</t>
        </is>
      </c>
      <c r="C35" s="4" t="inlineStr">
        <is>
          <t>Onboarding</t>
        </is>
      </c>
      <c r="D35" s="4" t="inlineStr">
        <is>
          <t>Wizard Step 3</t>
        </is>
      </c>
      <c r="E35" s="4" t="inlineStr">
        <is>
          <t>Complete Onboarding Step 3 - Media</t>
        </is>
      </c>
      <c r="F35" s="4" t="inlineStr">
        <is>
          <t>1. Upload logo (required)
2. Upload restaurant photos
3. Verify image preview
4. Check file size limits</t>
        </is>
      </c>
      <c r="G35" s="13" t="inlineStr">
        <is>
          <t>https://nutrio.me/partner/onboarding</t>
        </is>
      </c>
      <c r="H35" s="4" t="inlineStr">
        <is>
          <t>Images uploaded and preview shown</t>
        </is>
      </c>
      <c r="I35" s="4">
        <f>IF(J35="","",IF(J35=H35,"PASS","FAIL"))</f>
        <v/>
      </c>
      <c r="J35" s="4" t="n"/>
      <c r="K35" s="4" t="n"/>
      <c r="L35" s="5" t="inlineStr">
        <is>
          <t>High</t>
        </is>
      </c>
      <c r="M35" s="4" t="n"/>
    </row>
    <row r="36" ht="75" customHeight="1" s="16">
      <c r="A36" s="4" t="inlineStr">
        <is>
          <t>TC157</t>
        </is>
      </c>
      <c r="B36" s="4" t="inlineStr">
        <is>
          <t>Partner</t>
        </is>
      </c>
      <c r="C36" s="4" t="inlineStr">
        <is>
          <t>Onboarding</t>
        </is>
      </c>
      <c r="D36" s="4" t="inlineStr">
        <is>
          <t>Wizard Step 4</t>
        </is>
      </c>
      <c r="E36" s="4" t="inlineStr">
        <is>
          <t>Complete Onboarding Step 4 - Kitchen Details</t>
        </is>
      </c>
      <c r="F36" s="4" t="inlineStr">
        <is>
          <t>1. Set average prep time
2. Set daily capacity
3. Add bank account info
4. Add bank name and IBAN</t>
        </is>
      </c>
      <c r="G36" s="13" t="inlineStr">
        <is>
          <t>https://nutrio.me/partner/onboarding/[id]</t>
        </is>
      </c>
      <c r="H36" s="4" t="inlineStr">
        <is>
          <t>Kitchen details saved, can proceed to Step 5</t>
        </is>
      </c>
      <c r="I36" s="4">
        <f>IF(J36="","",IF(J36=H36,"PASS","FAIL"))</f>
        <v/>
      </c>
      <c r="J36" s="4" t="n"/>
      <c r="K36" s="4" t="n"/>
      <c r="L36" s="7" t="inlineStr">
        <is>
          <t>Critical</t>
        </is>
      </c>
      <c r="M36" s="4" t="n"/>
    </row>
    <row r="37" ht="90" customHeight="1" s="16">
      <c r="A37" s="4" t="inlineStr">
        <is>
          <t>TC158</t>
        </is>
      </c>
      <c r="B37" s="4" t="inlineStr">
        <is>
          <t>Partner</t>
        </is>
      </c>
      <c r="C37" s="4" t="inlineStr">
        <is>
          <t>Onboarding</t>
        </is>
      </c>
      <c r="D37" s="4" t="inlineStr">
        <is>
          <t>Wizard Step 5</t>
        </is>
      </c>
      <c r="E37" s="4" t="inlineStr">
        <is>
          <t>Complete Onboarding Step 5 - Review &amp; Submit</t>
        </is>
      </c>
      <c r="F37" s="4" t="inlineStr">
        <is>
          <t>1. Review all entered information
2. Check accuracy of details
3. Accept terms and conditions
4. Click Submit</t>
        </is>
      </c>
      <c r="G37" s="13" t="inlineStr">
        <is>
          <t>https://nutrio.me/partner/onboarding/[id]</t>
        </is>
      </c>
      <c r="H37" s="4" t="inlineStr">
        <is>
          <t>Application submitted, status shows 'pending_approval'</t>
        </is>
      </c>
      <c r="I37" s="4">
        <f>IF(J37="","",IF(J37=H37,"PASS","FAIL"))</f>
        <v/>
      </c>
      <c r="J37" s="4" t="n"/>
      <c r="K37" s="4" t="n"/>
      <c r="L37" s="7" t="inlineStr">
        <is>
          <t>Critical</t>
        </is>
      </c>
      <c r="M37" s="4" t="n"/>
    </row>
    <row r="38" ht="75" customHeight="1" s="16">
      <c r="A38" s="4" t="inlineStr">
        <is>
          <t>TC159</t>
        </is>
      </c>
      <c r="B38" s="4" t="inlineStr">
        <is>
          <t>Partner</t>
        </is>
      </c>
      <c r="C38" s="4" t="inlineStr">
        <is>
          <t>Onboarding</t>
        </is>
      </c>
      <c r="D38" s="4" t="inlineStr">
        <is>
          <t>Save Progress</t>
        </is>
      </c>
      <c r="E38" s="4" t="inlineStr">
        <is>
          <t>Save Onboarding Progress</t>
        </is>
      </c>
      <c r="F38" s="4" t="inlineStr">
        <is>
          <t>1. Fill partial information
2. Click Save Progress
3. Logout
4. Login again
5. Continue from where left off</t>
        </is>
      </c>
      <c r="G38" s="13" t="inlineStr">
        <is>
          <t>https://nutrio.me/partner/onboarding</t>
        </is>
      </c>
      <c r="H38" s="4" t="inlineStr">
        <is>
          <t>Progress saved, can resume onboarding</t>
        </is>
      </c>
      <c r="I38" s="4">
        <f>IF(J38="","",IF(J38=H38,"PASS","FAIL"))</f>
        <v/>
      </c>
      <c r="J38" s="4" t="n"/>
      <c r="K38" s="4" t="n"/>
      <c r="L38" s="6" t="inlineStr">
        <is>
          <t>Medium</t>
        </is>
      </c>
      <c r="M38" s="4" t="n"/>
    </row>
    <row r="39" ht="75" customHeight="1" s="16">
      <c r="A39" s="4" t="inlineStr">
        <is>
          <t>TC160</t>
        </is>
      </c>
      <c r="B39" s="4" t="inlineStr">
        <is>
          <t>Partner</t>
        </is>
      </c>
      <c r="C39" s="4" t="inlineStr">
        <is>
          <t>Dashboard</t>
        </is>
      </c>
      <c r="D39" s="4" t="inlineStr">
        <is>
          <t>Real-time Updates</t>
        </is>
      </c>
      <c r="E39" s="4" t="inlineStr">
        <is>
          <t>Dashboard Real-time Order Updates</t>
        </is>
      </c>
      <c r="F39" s="4" t="inlineStr">
        <is>
          <t>1. Keep dashboard open
2. Have customer place order
3. Verify order appears without refresh
4. Check notification received</t>
        </is>
      </c>
      <c r="G39" s="13" t="inlineStr">
        <is>
          <t>https://nutrio.me/partner/dashboard/[id]/edit</t>
        </is>
      </c>
      <c r="H39" s="4" t="inlineStr">
        <is>
          <t>New order appears automatically on dashboard</t>
        </is>
      </c>
      <c r="I39" s="4">
        <f>IF(J39="","",IF(J39=H39,"PASS","FAIL"))</f>
        <v/>
      </c>
      <c r="J39" s="4" t="n"/>
      <c r="K39" s="4" t="n"/>
      <c r="L39" s="5" t="inlineStr">
        <is>
          <t>High</t>
        </is>
      </c>
      <c r="M39" s="4" t="n"/>
    </row>
    <row r="40" ht="90" customHeight="1" s="16">
      <c r="A40" s="4" t="inlineStr">
        <is>
          <t>TC161</t>
        </is>
      </c>
      <c r="B40" s="4" t="inlineStr">
        <is>
          <t>Partner</t>
        </is>
      </c>
      <c r="C40" s="4" t="inlineStr">
        <is>
          <t>Dashboard</t>
        </is>
      </c>
      <c r="D40" s="4" t="inlineStr">
        <is>
          <t>Performance Chart</t>
        </is>
      </c>
      <c r="E40" s="4" t="inlineStr">
        <is>
          <t>View Performance Charts</t>
        </is>
      </c>
      <c r="F40" s="4" t="inlineStr">
        <is>
          <t>1. On dashboard, scroll to charts
2. View orders chart
3. View earnings chart
4. Hover for detailed values</t>
        </is>
      </c>
      <c r="G40" s="13" t="inlineStr">
        <is>
          <t>https://nutrio.me/partner/dashboard/[id]</t>
        </is>
      </c>
      <c r="H40" s="4" t="inlineStr">
        <is>
          <t>Charts display correctly with accurate data</t>
        </is>
      </c>
      <c r="I40" s="4">
        <f>IF(J40="","",IF(J40=H40,"PASS","FAIL"))</f>
        <v/>
      </c>
      <c r="J40" s="4" t="n"/>
      <c r="K40" s="4" t="n"/>
      <c r="L40" s="4" t="inlineStr">
        <is>
          <t>Low</t>
        </is>
      </c>
      <c r="M40" s="4" t="n"/>
    </row>
    <row r="41" ht="105" customHeight="1" s="16">
      <c r="A41" s="4" t="inlineStr">
        <is>
          <t>TC162</t>
        </is>
      </c>
      <c r="B41" s="4" t="inlineStr">
        <is>
          <t>Partner</t>
        </is>
      </c>
      <c r="C41" s="4" t="inlineStr">
        <is>
          <t>Dashboard</t>
        </is>
      </c>
      <c r="D41" s="4" t="inlineStr">
        <is>
          <t>Recent Orders</t>
        </is>
      </c>
      <c r="E41" s="4" t="inlineStr">
        <is>
          <t>View Recent Orders on Dashboard</t>
        </is>
      </c>
      <c r="F41" s="4" t="inlineStr">
        <is>
          <t>1. Look at Recent Orders section
2. Click View All
3. Verify navigation to Orders page</t>
        </is>
      </c>
      <c r="G41" s="13" t="inlineStr">
        <is>
          <t>https://nutrio.me/partner/dashboard/[id]</t>
        </is>
      </c>
      <c r="H41" s="4" t="inlineStr">
        <is>
          <t>Recent orders displayed, click navigates to full orders page</t>
        </is>
      </c>
      <c r="I41" s="4">
        <f>IF(J41="","",IF(J41=H41,"PASS","FAIL"))</f>
        <v/>
      </c>
      <c r="J41" s="4" t="n"/>
      <c r="K41" s="4" t="n"/>
      <c r="L41" s="6" t="inlineStr">
        <is>
          <t>Medium</t>
        </is>
      </c>
      <c r="M41" s="4" t="n"/>
    </row>
    <row r="42" ht="75" customHeight="1" s="16">
      <c r="A42" s="4" t="inlineStr">
        <is>
          <t>TC163</t>
        </is>
      </c>
      <c r="B42" s="4" t="inlineStr">
        <is>
          <t>Partner</t>
        </is>
      </c>
      <c r="C42" s="4" t="inlineStr">
        <is>
          <t>Dashboard</t>
        </is>
      </c>
      <c r="D42" s="4" t="inlineStr">
        <is>
          <t>Quick Stats</t>
        </is>
      </c>
      <c r="E42" s="4" t="inlineStr">
        <is>
          <t>Dashboard Quick Stats Cards</t>
        </is>
      </c>
      <c r="F42" s="4" t="inlineStr">
        <is>
          <t>1. Verify Today's Orders card
2. Verify Today's Earnings card
3. Verify Weekly Total card
4. Verify Rating card
5. Check all values are accurate</t>
        </is>
      </c>
      <c r="G42" s="13" t="inlineStr">
        <is>
          <t>https://nutrio.me/partner/dashboard</t>
        </is>
      </c>
      <c r="H42" s="4" t="inlineStr">
        <is>
          <t>All stat cards show correct information</t>
        </is>
      </c>
      <c r="I42" s="4">
        <f>IF(J42="","",IF(J42=H42,"PASS","FAIL"))</f>
        <v/>
      </c>
      <c r="J42" s="4" t="n"/>
      <c r="K42" s="4" t="n"/>
      <c r="L42" s="5" t="inlineStr">
        <is>
          <t>High</t>
        </is>
      </c>
      <c r="M42" s="4" t="n"/>
    </row>
    <row r="43" ht="60" customHeight="1" s="16">
      <c r="A43" s="4" t="inlineStr">
        <is>
          <t>TC164</t>
        </is>
      </c>
      <c r="B43" s="4" t="inlineStr">
        <is>
          <t>Partner</t>
        </is>
      </c>
      <c r="C43" s="4" t="inlineStr">
        <is>
          <t>Orders</t>
        </is>
      </c>
      <c r="D43" s="4" t="inlineStr">
        <is>
          <t>Bulk Actions</t>
        </is>
      </c>
      <c r="E43" s="4" t="inlineStr">
        <is>
          <t>Bulk Order Actions</t>
        </is>
      </c>
      <c r="F43" s="4" t="inlineStr">
        <is>
          <t>1. Select multiple orders
2. Click bulk action
3. Mark all as preparing
4. Verify all updated</t>
        </is>
      </c>
      <c r="G43" s="13" t="inlineStr">
        <is>
          <t>https://nutrio.me/partner/orders</t>
        </is>
      </c>
      <c r="H43" s="4" t="inlineStr">
        <is>
          <t>All selected orders updated to new status</t>
        </is>
      </c>
      <c r="I43" s="4">
        <f>IF(J43="","",IF(J43=H43,"PASS","FAIL"))</f>
        <v/>
      </c>
      <c r="J43" s="4" t="n"/>
      <c r="K43" s="4" t="n"/>
      <c r="L43" s="4" t="inlineStr">
        <is>
          <t>Low</t>
        </is>
      </c>
      <c r="M43" s="4" t="n"/>
    </row>
    <row r="44" ht="60" customHeight="1" s="16">
      <c r="A44" s="4" t="inlineStr">
        <is>
          <t>TC165</t>
        </is>
      </c>
      <c r="B44" s="4" t="inlineStr">
        <is>
          <t>Partner</t>
        </is>
      </c>
      <c r="C44" s="4" t="inlineStr">
        <is>
          <t>Orders</t>
        </is>
      </c>
      <c r="D44" s="4" t="inlineStr">
        <is>
          <t>Filter by Status</t>
        </is>
      </c>
      <c r="E44" s="4" t="inlineStr">
        <is>
          <t>Filter Orders by Status</t>
        </is>
      </c>
      <c r="F44" s="4" t="inlineStr">
        <is>
          <t>1. On orders page
2. Click filter dropdown
3. Select 'Preparing'
4. Verify only preparing orders shown</t>
        </is>
      </c>
      <c r="G44" s="13" t="inlineStr">
        <is>
          <t>https://nutrio.me/partner/orders?filter=[value]</t>
        </is>
      </c>
      <c r="H44" s="4" t="inlineStr">
        <is>
          <t>Orders filtered by selected status</t>
        </is>
      </c>
      <c r="I44" s="4">
        <f>IF(J44="","",IF(J44=H44,"PASS","FAIL"))</f>
        <v/>
      </c>
      <c r="J44" s="4" t="n"/>
      <c r="K44" s="4" t="n"/>
      <c r="L44" s="6" t="inlineStr">
        <is>
          <t>Medium</t>
        </is>
      </c>
      <c r="M44" s="4" t="n"/>
    </row>
    <row r="45" ht="45" customHeight="1" s="16">
      <c r="A45" s="4" t="inlineStr">
        <is>
          <t>TC166</t>
        </is>
      </c>
      <c r="B45" s="4" t="inlineStr">
        <is>
          <t>Partner</t>
        </is>
      </c>
      <c r="C45" s="4" t="inlineStr">
        <is>
          <t>Orders</t>
        </is>
      </c>
      <c r="D45" s="4" t="inlineStr">
        <is>
          <t>Filter by Date</t>
        </is>
      </c>
      <c r="E45" s="4" t="inlineStr">
        <is>
          <t>Filter Orders by Date Range</t>
        </is>
      </c>
      <c r="F45" s="4" t="inlineStr">
        <is>
          <t>1. Select date range
2. Apply filter
3. Verify orders within range displayed</t>
        </is>
      </c>
      <c r="G45" s="13" t="inlineStr">
        <is>
          <t>https://nutrio.me/partner/orders?filter=[value]</t>
        </is>
      </c>
      <c r="H45" s="4" t="inlineStr">
        <is>
          <t>Orders filtered by date range</t>
        </is>
      </c>
      <c r="I45" s="4">
        <f>IF(J45="","",IF(J45=H45,"PASS","FAIL"))</f>
        <v/>
      </c>
      <c r="J45" s="4" t="n"/>
      <c r="K45" s="4" t="n"/>
      <c r="L45" s="6" t="inlineStr">
        <is>
          <t>Medium</t>
        </is>
      </c>
      <c r="M45" s="4" t="n"/>
    </row>
    <row r="46" ht="75" customHeight="1" s="16">
      <c r="A46" s="4" t="inlineStr">
        <is>
          <t>TC167</t>
        </is>
      </c>
      <c r="B46" s="4" t="inlineStr">
        <is>
          <t>Partner</t>
        </is>
      </c>
      <c r="C46" s="4" t="inlineStr">
        <is>
          <t>Orders</t>
        </is>
      </c>
      <c r="D46" s="4" t="inlineStr">
        <is>
          <t>Search Orders</t>
        </is>
      </c>
      <c r="E46" s="4" t="inlineStr">
        <is>
          <t>Search Orders by Order ID or Customer</t>
        </is>
      </c>
      <c r="F46" s="4" t="inlineStr">
        <is>
          <t>1. Enter order ID in search
2. Press Enter
3. Verify matching order displayed
4. Try searching by customer name</t>
        </is>
      </c>
      <c r="G46" s="13" t="inlineStr">
        <is>
          <t>https://nutrio.me/partner/orders?q=[search-term]</t>
        </is>
      </c>
      <c r="H46" s="4" t="inlineStr">
        <is>
          <t>Search results show matching orders</t>
        </is>
      </c>
      <c r="I46" s="4">
        <f>IF(J46="","",IF(J46=H46,"PASS","FAIL"))</f>
        <v/>
      </c>
      <c r="J46" s="4" t="n"/>
      <c r="K46" s="4" t="n"/>
      <c r="L46" s="6" t="inlineStr">
        <is>
          <t>Medium</t>
        </is>
      </c>
      <c r="M46" s="4" t="n"/>
    </row>
    <row r="47" ht="75" customHeight="1" s="16">
      <c r="A47" s="4" t="inlineStr">
        <is>
          <t>TC168</t>
        </is>
      </c>
      <c r="B47" s="4" t="inlineStr">
        <is>
          <t>Partner</t>
        </is>
      </c>
      <c r="C47" s="4" t="inlineStr">
        <is>
          <t>Orders</t>
        </is>
      </c>
      <c r="D47" s="4" t="inlineStr">
        <is>
          <t>Order Timeline</t>
        </is>
      </c>
      <c r="E47" s="4" t="inlineStr">
        <is>
          <t>View Order Status Timeline</t>
        </is>
      </c>
      <c r="F47" s="4" t="inlineStr">
        <is>
          <t>1. Open order details
2. View status timeline
3. Check all status changes logged
4. Verify timestamps accurate</t>
        </is>
      </c>
      <c r="G47" s="13" t="inlineStr">
        <is>
          <t>https://nutrio.me/partner/orders/[id]</t>
        </is>
      </c>
      <c r="H47" s="4" t="inlineStr">
        <is>
          <t>Complete timeline of order status changes shown</t>
        </is>
      </c>
      <c r="I47" s="4">
        <f>IF(J47="","",IF(J47=H47,"PASS","FAIL"))</f>
        <v/>
      </c>
      <c r="J47" s="4" t="n"/>
      <c r="K47" s="4" t="n"/>
      <c r="L47" s="6" t="inlineStr">
        <is>
          <t>Medium</t>
        </is>
      </c>
      <c r="M47" s="4" t="n"/>
    </row>
    <row r="48" ht="75" customHeight="1" s="16">
      <c r="A48" s="4" t="inlineStr">
        <is>
          <t>TC169</t>
        </is>
      </c>
      <c r="B48" s="4" t="inlineStr">
        <is>
          <t>Partner</t>
        </is>
      </c>
      <c r="C48" s="4" t="inlineStr">
        <is>
          <t>Orders</t>
        </is>
      </c>
      <c r="D48" s="4" t="inlineStr">
        <is>
          <t>Customer Details</t>
        </is>
      </c>
      <c r="E48" s="4" t="inlineStr">
        <is>
          <t>View Customer Details in Order</t>
        </is>
      </c>
      <c r="F48" s="4" t="inlineStr">
        <is>
          <t>1. Open order details
2. View customer section
3. Verify name, phone, address shown
4. Check delivery instructions</t>
        </is>
      </c>
      <c r="G48" s="13" t="inlineStr">
        <is>
          <t>https://nutrio.me/partner/orders/[id]</t>
        </is>
      </c>
      <c r="H48" s="4" t="inlineStr">
        <is>
          <t>All customer information displayed accurately</t>
        </is>
      </c>
      <c r="I48" s="4">
        <f>IF(J48="","",IF(J48=H48,"PASS","FAIL"))</f>
        <v/>
      </c>
      <c r="J48" s="4" t="n"/>
      <c r="K48" s="4" t="n"/>
      <c r="L48" s="5" t="inlineStr">
        <is>
          <t>High</t>
        </is>
      </c>
      <c r="M48" s="4" t="n"/>
    </row>
    <row r="49" ht="75" customHeight="1" s="16">
      <c r="A49" s="4" t="inlineStr">
        <is>
          <t>TC170</t>
        </is>
      </c>
      <c r="B49" s="4" t="inlineStr">
        <is>
          <t>Partner</t>
        </is>
      </c>
      <c r="C49" s="4" t="inlineStr">
        <is>
          <t>Orders</t>
        </is>
      </c>
      <c r="D49" s="4" t="inlineStr">
        <is>
          <t>Print Order</t>
        </is>
      </c>
      <c r="E49" s="4" t="inlineStr">
        <is>
          <t>Print Order Ticket</t>
        </is>
      </c>
      <c r="F49" s="4" t="inlineStr">
        <is>
          <t>1. Open order details
2. Click Print button
3. Verify print dialog opens
4. Check ticket format</t>
        </is>
      </c>
      <c r="G49" s="13" t="inlineStr">
        <is>
          <t>https://nutrio.me/partner/orders</t>
        </is>
      </c>
      <c r="H49" s="4" t="inlineStr">
        <is>
          <t>Print dialog opens with kitchen-friendly format</t>
        </is>
      </c>
      <c r="I49" s="4">
        <f>IF(J49="","",IF(J49=H49,"PASS","FAIL"))</f>
        <v/>
      </c>
      <c r="J49" s="4" t="n"/>
      <c r="K49" s="4" t="n"/>
      <c r="L49" s="4" t="inlineStr">
        <is>
          <t>Low</t>
        </is>
      </c>
      <c r="M49" s="4" t="n"/>
    </row>
    <row r="50" ht="60" customHeight="1" s="16">
      <c r="A50" s="4" t="inlineStr">
        <is>
          <t>TC171</t>
        </is>
      </c>
      <c r="B50" s="4" t="inlineStr">
        <is>
          <t>Partner</t>
        </is>
      </c>
      <c r="C50" s="4" t="inlineStr">
        <is>
          <t>Orders</t>
        </is>
      </c>
      <c r="D50" s="4" t="inlineStr">
        <is>
          <t>Order Notifications</t>
        </is>
      </c>
      <c r="E50" s="4" t="inlineStr">
        <is>
          <t>Order Notification Settings</t>
        </is>
      </c>
      <c r="F50" s="4" t="inlineStr">
        <is>
          <t>1. Go to profile
2. Check notification settings
3. Enable/disable order notifications
4. Save settings</t>
        </is>
      </c>
      <c r="G50" s="13" t="inlineStr">
        <is>
          <t>https://nutrio.me/partner/orders</t>
        </is>
      </c>
      <c r="H50" s="4" t="inlineStr">
        <is>
          <t>Notification preferences saved and applied</t>
        </is>
      </c>
      <c r="I50" s="4">
        <f>IF(J50="","",IF(J50=H50,"PASS","FAIL"))</f>
        <v/>
      </c>
      <c r="J50" s="4" t="n"/>
      <c r="K50" s="4" t="n"/>
      <c r="L50" s="4" t="inlineStr">
        <is>
          <t>Low</t>
        </is>
      </c>
      <c r="M50" s="4" t="n"/>
    </row>
    <row r="51" ht="60" customHeight="1" s="16">
      <c r="A51" s="4" t="inlineStr">
        <is>
          <t>TC172</t>
        </is>
      </c>
      <c r="B51" s="4" t="inlineStr">
        <is>
          <t>Partner</t>
        </is>
      </c>
      <c r="C51" s="4" t="inlineStr">
        <is>
          <t>Menu</t>
        </is>
      </c>
      <c r="D51" s="4" t="inlineStr">
        <is>
          <t>Bulk Toggle</t>
        </is>
      </c>
      <c r="E51" s="4" t="inlineStr">
        <is>
          <t>Bulk Toggle Item Availability</t>
        </is>
      </c>
      <c r="F51" s="4" t="inlineStr">
        <is>
          <t>1. Select multiple menu items
2. Click Toggle Availability
3. Verify all items status changed</t>
        </is>
      </c>
      <c r="G51" s="13" t="inlineStr">
        <is>
          <t>https://nutrio.me/partner/menu</t>
        </is>
      </c>
      <c r="H51" s="4" t="inlineStr">
        <is>
          <t>All selected items availability toggled</t>
        </is>
      </c>
      <c r="I51" s="4">
        <f>IF(J51="","",IF(J51=H51,"PASS","FAIL"))</f>
        <v/>
      </c>
      <c r="J51" s="4" t="n"/>
      <c r="K51" s="4" t="n"/>
      <c r="L51" s="4" t="inlineStr">
        <is>
          <t>Low</t>
        </is>
      </c>
      <c r="M51" s="4" t="n"/>
    </row>
    <row r="52" ht="75" customHeight="1" s="16">
      <c r="A52" s="4" t="inlineStr">
        <is>
          <t>TC173</t>
        </is>
      </c>
      <c r="B52" s="4" t="inlineStr">
        <is>
          <t>Partner</t>
        </is>
      </c>
      <c r="C52" s="4" t="inlineStr">
        <is>
          <t>Menu</t>
        </is>
      </c>
      <c r="D52" s="4" t="inlineStr">
        <is>
          <t>Duplicate Item</t>
        </is>
      </c>
      <c r="E52" s="4" t="inlineStr">
        <is>
          <t>Duplicate Menu Item</t>
        </is>
      </c>
      <c r="F52" s="4" t="inlineStr">
        <is>
          <t>1. Find existing item
2. Click Duplicate
3. Modify details
4. Save as new item</t>
        </is>
      </c>
      <c r="G52" s="13" t="inlineStr">
        <is>
          <t>https://nutrio.me/partner/menu</t>
        </is>
      </c>
      <c r="H52" s="4" t="inlineStr">
        <is>
          <t>Item duplicated with editable copy</t>
        </is>
      </c>
      <c r="I52" s="4">
        <f>IF(J52="","",IF(J52=H52,"PASS","FAIL"))</f>
        <v/>
      </c>
      <c r="J52" s="4" t="n"/>
      <c r="K52" s="4" t="n"/>
      <c r="L52" s="4" t="inlineStr">
        <is>
          <t>Low</t>
        </is>
      </c>
      <c r="M52" s="4" t="n"/>
    </row>
    <row r="53" ht="60" customHeight="1" s="16">
      <c r="A53" s="4" t="inlineStr">
        <is>
          <t>TC174</t>
        </is>
      </c>
      <c r="B53" s="4" t="inlineStr">
        <is>
          <t>Partner</t>
        </is>
      </c>
      <c r="C53" s="4" t="inlineStr">
        <is>
          <t>Menu</t>
        </is>
      </c>
      <c r="D53" s="4" t="inlineStr">
        <is>
          <t>Image Crop</t>
        </is>
      </c>
      <c r="E53" s="4" t="inlineStr">
        <is>
          <t>Crop Uploaded Image</t>
        </is>
      </c>
      <c r="F53" s="4" t="inlineStr">
        <is>
          <t>1. Upload meal photo
2. Click crop tool
3. Adjust crop area
4. Save cropped image</t>
        </is>
      </c>
      <c r="G53" s="13" t="inlineStr">
        <is>
          <t>https://nutrio.me/partner/menu</t>
        </is>
      </c>
      <c r="H53" s="4" t="inlineStr">
        <is>
          <t>Image cropped and saved correctly</t>
        </is>
      </c>
      <c r="I53" s="4">
        <f>IF(J53="","",IF(J53=H53,"PASS","FAIL"))</f>
        <v/>
      </c>
      <c r="J53" s="4" t="n"/>
      <c r="K53" s="4" t="n"/>
      <c r="L53" s="4" t="inlineStr">
        <is>
          <t>Low</t>
        </is>
      </c>
      <c r="M53" s="4" t="n"/>
    </row>
    <row r="54" ht="75" customHeight="1" s="16">
      <c r="A54" s="4" t="inlineStr">
        <is>
          <t>TC175</t>
        </is>
      </c>
      <c r="B54" s="4" t="inlineStr">
        <is>
          <t>Partner</t>
        </is>
      </c>
      <c r="C54" s="4" t="inlineStr">
        <is>
          <t>Menu</t>
        </is>
      </c>
      <c r="D54" s="4" t="inlineStr">
        <is>
          <t>Nutrition Calculator</t>
        </is>
      </c>
      <c r="E54" s="4" t="inlineStr">
        <is>
          <t>Use Nutrition Calculator</t>
        </is>
      </c>
      <c r="F54" s="4" t="inlineStr">
        <is>
          <t>1. Add new meal
2. Enter ingredients
3. Use nutrition calculator
4. Verify auto-calculated values</t>
        </is>
      </c>
      <c r="G54" s="13" t="inlineStr">
        <is>
          <t>https://nutrio.me/partner/menu</t>
        </is>
      </c>
      <c r="H54" s="4" t="inlineStr">
        <is>
          <t>Nutrition values auto-calculated from ingredients</t>
        </is>
      </c>
      <c r="I54" s="4">
        <f>IF(J54="","",IF(J54=H54,"PASS","FAIL"))</f>
        <v/>
      </c>
      <c r="J54" s="4" t="n"/>
      <c r="K54" s="4" t="n"/>
      <c r="L54" s="4" t="inlineStr">
        <is>
          <t>Low</t>
        </is>
      </c>
      <c r="M54" s="4" t="n"/>
    </row>
    <row r="55" ht="60" customHeight="1" s="16">
      <c r="A55" s="4" t="inlineStr">
        <is>
          <t>TC176</t>
        </is>
      </c>
      <c r="B55" s="4" t="inlineStr">
        <is>
          <t>Partner</t>
        </is>
      </c>
      <c r="C55" s="4" t="inlineStr">
        <is>
          <t>Menu</t>
        </is>
      </c>
      <c r="D55" s="4" t="inlineStr">
        <is>
          <t>Menu Categories</t>
        </is>
      </c>
      <c r="E55" s="4" t="inlineStr">
        <is>
          <t>Organize Menu by Categories</t>
        </is>
      </c>
      <c r="F55" s="4" t="inlineStr">
        <is>
          <t>1. Create category (e.g., 'Main Course')
2. Assign meals to category
3. View menu by category
4. Reorder categories</t>
        </is>
      </c>
      <c r="G55" s="13" t="inlineStr">
        <is>
          <t>https://nutrio.me/partner/menu</t>
        </is>
      </c>
      <c r="H55" s="4" t="inlineStr">
        <is>
          <t>Meals organized by categories</t>
        </is>
      </c>
      <c r="I55" s="4">
        <f>IF(J55="","",IF(J55=H55,"PASS","FAIL"))</f>
        <v/>
      </c>
      <c r="J55" s="4" t="n"/>
      <c r="K55" s="4" t="n"/>
      <c r="L55" s="4" t="inlineStr">
        <is>
          <t>Low</t>
        </is>
      </c>
      <c r="M55" s="4" t="n"/>
    </row>
    <row r="56" ht="75" customHeight="1" s="16">
      <c r="A56" s="4" t="inlineStr">
        <is>
          <t>TC177</t>
        </is>
      </c>
      <c r="B56" s="4" t="inlineStr">
        <is>
          <t>Partner</t>
        </is>
      </c>
      <c r="C56" s="4" t="inlineStr">
        <is>
          <t>Menu</t>
        </is>
      </c>
      <c r="D56" s="4" t="inlineStr">
        <is>
          <t>Preview Menu</t>
        </is>
      </c>
      <c r="E56" s="4" t="inlineStr">
        <is>
          <t>Preview Menu as Customer Sees It</t>
        </is>
      </c>
      <c r="F56" s="4" t="inlineStr">
        <is>
          <t>1. Click Preview button
2. View menu as customer sees it
3. Verify all items display correctly
4. Check photos and descriptions</t>
        </is>
      </c>
      <c r="G56" s="13" t="inlineStr">
        <is>
          <t>https://nutrio.me/partner/menu/[id]</t>
        </is>
      </c>
      <c r="H56" s="4" t="inlineStr">
        <is>
          <t>Menu preview matches customer view</t>
        </is>
      </c>
      <c r="I56" s="4">
        <f>IF(J56="","",IF(J56=H56,"PASS","FAIL"))</f>
        <v/>
      </c>
      <c r="J56" s="4" t="n"/>
      <c r="K56" s="4" t="n"/>
      <c r="L56" s="6" t="inlineStr">
        <is>
          <t>Medium</t>
        </is>
      </c>
      <c r="M56" s="4" t="n"/>
    </row>
    <row r="57" ht="60" customHeight="1" s="16">
      <c r="A57" s="4" t="inlineStr">
        <is>
          <t>TC178</t>
        </is>
      </c>
      <c r="B57" s="4" t="inlineStr">
        <is>
          <t>Partner</t>
        </is>
      </c>
      <c r="C57" s="4" t="inlineStr">
        <is>
          <t>Menu</t>
        </is>
      </c>
      <c r="D57" s="4" t="inlineStr">
        <is>
          <t>Export Menu</t>
        </is>
      </c>
      <c r="E57" s="4" t="inlineStr">
        <is>
          <t>Export Menu Data</t>
        </is>
      </c>
      <c r="F57" s="4" t="inlineStr">
        <is>
          <t>1. Go to menu
2. Click Export
3. Select format (CSV/Excel)
4. Download file</t>
        </is>
      </c>
      <c r="G57" s="13" t="inlineStr">
        <is>
          <t>https://nutrio.me/partner/menu</t>
        </is>
      </c>
      <c r="H57" s="4" t="inlineStr">
        <is>
          <t>Menu data exported successfully</t>
        </is>
      </c>
      <c r="I57" s="4">
        <f>IF(J57="","",IF(J57=H57,"PASS","FAIL"))</f>
        <v/>
      </c>
      <c r="J57" s="4" t="n"/>
      <c r="K57" s="4" t="n"/>
      <c r="L57" s="4" t="inlineStr">
        <is>
          <t>Low</t>
        </is>
      </c>
      <c r="M57" s="4" t="n"/>
    </row>
    <row r="58" ht="75" customHeight="1" s="16">
      <c r="A58" s="4" t="inlineStr">
        <is>
          <t>TC179</t>
        </is>
      </c>
      <c r="B58" s="4" t="inlineStr">
        <is>
          <t>Partner</t>
        </is>
      </c>
      <c r="C58" s="4" t="inlineStr">
        <is>
          <t>Menu</t>
        </is>
      </c>
      <c r="D58" s="4" t="inlineStr">
        <is>
          <t>Import Menu</t>
        </is>
      </c>
      <c r="E58" s="4" t="inlineStr">
        <is>
          <t>Import Menu Items</t>
        </is>
      </c>
      <c r="F58" s="4" t="inlineStr">
        <is>
          <t>1. Prepare import file
2. Click Import
3. Upload file
4. Map fields
5. Complete import</t>
        </is>
      </c>
      <c r="G58" s="13" t="inlineStr">
        <is>
          <t>https://nutrio.me/partner/menu</t>
        </is>
      </c>
      <c r="H58" s="4" t="inlineStr">
        <is>
          <t>Menu items imported successfully</t>
        </is>
      </c>
      <c r="I58" s="4">
        <f>IF(J58="","",IF(J58=H58,"PASS","FAIL"))</f>
        <v/>
      </c>
      <c r="J58" s="4" t="n"/>
      <c r="K58" s="4" t="n"/>
      <c r="L58" s="4" t="inlineStr">
        <is>
          <t>Low</t>
        </is>
      </c>
      <c r="M58" s="4" t="n"/>
    </row>
    <row r="59" ht="75" customHeight="1" s="16">
      <c r="A59" s="4" t="inlineStr">
        <is>
          <t>TC180</t>
        </is>
      </c>
      <c r="B59" s="4" t="inlineStr">
        <is>
          <t>Partner</t>
        </is>
      </c>
      <c r="C59" s="4" t="inlineStr">
        <is>
          <t>Earnings</t>
        </is>
      </c>
      <c r="D59" s="4" t="inlineStr">
        <is>
          <t>Earnings Chart</t>
        </is>
      </c>
      <c r="E59" s="4" t="inlineStr">
        <is>
          <t>View Earnings Chart</t>
        </is>
      </c>
      <c r="F59" s="4" t="inlineStr">
        <is>
          <t>1. Go to earnings page
2. View earnings chart
3. Switch between daily/weekly/monthly views
4. Hover for detailed values</t>
        </is>
      </c>
      <c r="G59" s="13" t="inlineStr">
        <is>
          <t>https://nutrio.me/partner/payouts/[id]</t>
        </is>
      </c>
      <c r="H59" s="4" t="inlineStr">
        <is>
          <t>Chart displays earnings trends accurately</t>
        </is>
      </c>
      <c r="I59" s="4">
        <f>IF(J59="","",IF(J59=H59,"PASS","FAIL"))</f>
        <v/>
      </c>
      <c r="J59" s="4" t="n"/>
      <c r="K59" s="4" t="n"/>
      <c r="L59" s="4" t="inlineStr">
        <is>
          <t>Low</t>
        </is>
      </c>
      <c r="M59" s="4" t="n"/>
    </row>
    <row r="60" ht="75" customHeight="1" s="16">
      <c r="A60" s="4" t="inlineStr">
        <is>
          <t>TC181</t>
        </is>
      </c>
      <c r="B60" s="4" t="inlineStr">
        <is>
          <t>Partner</t>
        </is>
      </c>
      <c r="C60" s="4" t="inlineStr">
        <is>
          <t>Earnings</t>
        </is>
      </c>
      <c r="D60" s="4" t="inlineStr">
        <is>
          <t>Top Meals</t>
        </is>
      </c>
      <c r="E60" s="4" t="inlineStr">
        <is>
          <t>View Top Performing Meals</t>
        </is>
      </c>
      <c r="F60" s="4" t="inlineStr">
        <is>
          <t>1. Scroll to Top Meals section
2. View best-selling items
3. Check quantities sold
4. View revenue per item</t>
        </is>
      </c>
      <c r="G60" s="13" t="inlineStr">
        <is>
          <t>https://nutrio.me/partner/payouts/[id]</t>
        </is>
      </c>
      <c r="H60" s="4" t="inlineStr">
        <is>
          <t>Top performing meals displayed with stats</t>
        </is>
      </c>
      <c r="I60" s="4">
        <f>IF(J60="","",IF(J60=H60,"PASS","FAIL"))</f>
        <v/>
      </c>
      <c r="J60" s="4" t="n"/>
      <c r="K60" s="4" t="n"/>
      <c r="L60" s="6" t="inlineStr">
        <is>
          <t>Medium</t>
        </is>
      </c>
      <c r="M60" s="4" t="n"/>
    </row>
    <row r="61" ht="75" customHeight="1" s="16">
      <c r="A61" s="4" t="inlineStr">
        <is>
          <t>TC182</t>
        </is>
      </c>
      <c r="B61" s="4" t="inlineStr">
        <is>
          <t>Partner</t>
        </is>
      </c>
      <c r="C61" s="4" t="inlineStr">
        <is>
          <t>Earnings</t>
        </is>
      </c>
      <c r="D61" s="4" t="inlineStr">
        <is>
          <t>Payout Invoice</t>
        </is>
      </c>
      <c r="E61" s="4" t="inlineStr">
        <is>
          <t>Download Payout Invoice</t>
        </is>
      </c>
      <c r="F61" s="4" t="inlineStr">
        <is>
          <t>1. Go to payout history
2. Click on payout
3. Click Download Invoice
4. Verify PDF contains correct details</t>
        </is>
      </c>
      <c r="G61" s="13" t="inlineStr">
        <is>
          <t>https://nutrio.me/partner/payouts</t>
        </is>
      </c>
      <c r="H61" s="4" t="inlineStr">
        <is>
          <t>Invoice downloaded with accurate information</t>
        </is>
      </c>
      <c r="I61" s="4">
        <f>IF(J61="","",IF(J61=H61,"PASS","FAIL"))</f>
        <v/>
      </c>
      <c r="J61" s="4" t="n"/>
      <c r="K61" s="4" t="n"/>
      <c r="L61" s="6" t="inlineStr">
        <is>
          <t>Medium</t>
        </is>
      </c>
      <c r="M61" s="4" t="n"/>
    </row>
    <row r="62" ht="90" customHeight="1" s="16">
      <c r="A62" s="4" t="inlineStr">
        <is>
          <t>TC183</t>
        </is>
      </c>
      <c r="B62" s="4" t="inlineStr">
        <is>
          <t>Partner</t>
        </is>
      </c>
      <c r="C62" s="4" t="inlineStr">
        <is>
          <t>Earnings</t>
        </is>
      </c>
      <c r="D62" s="4" t="inlineStr">
        <is>
          <t>Dispute Payout</t>
        </is>
      </c>
      <c r="E62" s="4" t="inlineStr">
        <is>
          <t>Dispute a Payout</t>
        </is>
      </c>
      <c r="F62" s="4" t="inlineStr">
        <is>
          <t>1. Find payout in history
2. Click Dispute
3. Enter reason
4. Submit dispute
5. Verify confirmation</t>
        </is>
      </c>
      <c r="G62" s="13" t="inlineStr">
        <is>
          <t>https://nutrio.me/partner/payouts</t>
        </is>
      </c>
      <c r="H62" s="4" t="inlineStr">
        <is>
          <t>Dispute submitted, under review status shown</t>
        </is>
      </c>
      <c r="I62" s="4">
        <f>IF(J62="","",IF(J62=H62,"PASS","FAIL"))</f>
        <v/>
      </c>
      <c r="J62" s="4" t="n"/>
      <c r="K62" s="4" t="n"/>
      <c r="L62" s="6" t="inlineStr">
        <is>
          <t>Medium</t>
        </is>
      </c>
      <c r="M62" s="4" t="n"/>
    </row>
    <row r="63" ht="75" customHeight="1" s="16">
      <c r="A63" s="4" t="inlineStr">
        <is>
          <t>TC184</t>
        </is>
      </c>
      <c r="B63" s="4" t="inlineStr">
        <is>
          <t>Partner</t>
        </is>
      </c>
      <c r="C63" s="4" t="inlineStr">
        <is>
          <t>Earnings</t>
        </is>
      </c>
      <c r="D63" s="4" t="inlineStr">
        <is>
          <t>Tax Report</t>
        </is>
      </c>
      <c r="E63" s="4" t="inlineStr">
        <is>
          <t>Generate Tax Report</t>
        </is>
      </c>
      <c r="F63" s="4" t="inlineStr">
        <is>
          <t>1. Go to earnings
2. Click Tax Report
3. Select year
4. Generate report
5. Download PDF</t>
        </is>
      </c>
      <c r="G63" s="13" t="inlineStr">
        <is>
          <t>https://nutrio.me/partner/payouts</t>
        </is>
      </c>
      <c r="H63" s="4" t="inlineStr">
        <is>
          <t>Tax report generated with all earnings data</t>
        </is>
      </c>
      <c r="I63" s="4">
        <f>IF(J63="","",IF(J63=H63,"PASS","FAIL"))</f>
        <v/>
      </c>
      <c r="J63" s="4" t="n"/>
      <c r="K63" s="4" t="n"/>
      <c r="L63" s="4" t="inlineStr">
        <is>
          <t>Low</t>
        </is>
      </c>
      <c r="M63" s="4" t="n"/>
    </row>
    <row r="64" ht="90" customHeight="1" s="16">
      <c r="A64" s="4" t="inlineStr">
        <is>
          <t>TC185</t>
        </is>
      </c>
      <c r="B64" s="4" t="inlineStr">
        <is>
          <t>Partner</t>
        </is>
      </c>
      <c r="C64" s="4" t="inlineStr">
        <is>
          <t>Earnings</t>
        </is>
      </c>
      <c r="D64" s="4" t="inlineStr">
        <is>
          <t>Compare Periods</t>
        </is>
      </c>
      <c r="E64" s="4" t="inlineStr">
        <is>
          <t>Compare Earnings Periods</t>
        </is>
      </c>
      <c r="F64" s="4" t="inlineStr">
        <is>
          <t>1. Select first period
2. Select comparison period
3. View comparison chart
4. Analyze differences</t>
        </is>
      </c>
      <c r="G64" s="13" t="inlineStr">
        <is>
          <t>https://nutrio.me/partner/payouts</t>
        </is>
      </c>
      <c r="H64" s="4" t="inlineStr">
        <is>
          <t>Period comparison displayed with growth/decline metrics</t>
        </is>
      </c>
      <c r="I64" s="4">
        <f>IF(J64="","",IF(J64=H64,"PASS","FAIL"))</f>
        <v/>
      </c>
      <c r="J64" s="4" t="n"/>
      <c r="K64" s="4" t="n"/>
      <c r="L64" s="4" t="inlineStr">
        <is>
          <t>Low</t>
        </is>
      </c>
      <c r="M64" s="4" t="n"/>
    </row>
    <row r="65" ht="90" customHeight="1" s="16">
      <c r="A65" s="4" t="inlineStr">
        <is>
          <t>TC186</t>
        </is>
      </c>
      <c r="B65" s="4" t="inlineStr">
        <is>
          <t>Partner</t>
        </is>
      </c>
      <c r="C65" s="4" t="inlineStr">
        <is>
          <t>Profile</t>
        </is>
      </c>
      <c r="D65" s="4" t="inlineStr">
        <is>
          <t>Change Password</t>
        </is>
      </c>
      <c r="E65" s="4" t="inlineStr">
        <is>
          <t>Change Account Password</t>
        </is>
      </c>
      <c r="F65" s="4" t="inlineStr">
        <is>
          <t>1. Go to profile
2. Click Change Password
3. Enter current password
4. Enter new password
5. Confirm
6. Logout and test new password</t>
        </is>
      </c>
      <c r="G65" s="13" t="inlineStr">
        <is>
          <t>https://nutrio.me/partner/profile</t>
        </is>
      </c>
      <c r="H65" s="4" t="inlineStr">
        <is>
          <t>Password changed successfully</t>
        </is>
      </c>
      <c r="I65" s="4">
        <f>IF(J65="","",IF(J65=H65,"PASS","FAIL"))</f>
        <v/>
      </c>
      <c r="J65" s="4" t="n"/>
      <c r="K65" s="4" t="n"/>
      <c r="L65" s="5" t="inlineStr">
        <is>
          <t>High</t>
        </is>
      </c>
      <c r="M65" s="4" t="n"/>
    </row>
    <row r="66" ht="75" customHeight="1" s="16">
      <c r="A66" s="4" t="inlineStr">
        <is>
          <t>TC187</t>
        </is>
      </c>
      <c r="B66" s="4" t="inlineStr">
        <is>
          <t>Partner</t>
        </is>
      </c>
      <c r="C66" s="4" t="inlineStr">
        <is>
          <t>Profile</t>
        </is>
      </c>
      <c r="D66" s="4" t="inlineStr">
        <is>
          <t>Two-Factor Auth</t>
        </is>
      </c>
      <c r="E66" s="4" t="inlineStr">
        <is>
          <t>Enable Two-Factor Authentication</t>
        </is>
      </c>
      <c r="F66" s="4" t="inlineStr">
        <is>
          <t>1. Go to security settings
2. Enable 2FA
3. Scan QR code
4. Enter verification code
5. Save backup codes</t>
        </is>
      </c>
      <c r="G66" s="13" t="inlineStr">
        <is>
          <t>https://nutrio.me/partner/profile</t>
        </is>
      </c>
      <c r="H66" s="4" t="inlineStr">
        <is>
          <t>2FA enabled, backup codes provided</t>
        </is>
      </c>
      <c r="I66" s="4">
        <f>IF(J66="","",IF(J66=H66,"PASS","FAIL"))</f>
        <v/>
      </c>
      <c r="J66" s="4" t="n"/>
      <c r="K66" s="4" t="n"/>
      <c r="L66" s="4" t="inlineStr">
        <is>
          <t>Low</t>
        </is>
      </c>
      <c r="M66" s="4" t="n"/>
    </row>
    <row r="67" ht="75" customHeight="1" s="16">
      <c r="A67" s="4" t="inlineStr">
        <is>
          <t>TC188</t>
        </is>
      </c>
      <c r="B67" s="4" t="inlineStr">
        <is>
          <t>Partner</t>
        </is>
      </c>
      <c r="C67" s="4" t="inlineStr">
        <is>
          <t>Profile</t>
        </is>
      </c>
      <c r="D67" s="4" t="inlineStr">
        <is>
          <t>Notification Preferences</t>
        </is>
      </c>
      <c r="E67" s="4" t="inlineStr">
        <is>
          <t>Set Notification Preferences</t>
        </is>
      </c>
      <c r="F67" s="4" t="inlineStr">
        <is>
          <t>1. Go to profile
2. Click Notifications
3. Toggle email notifications
4. Toggle WhatsApp notifications
5. Set quiet hours</t>
        </is>
      </c>
      <c r="G67" s="13" t="inlineStr">
        <is>
          <t>https://nutrio.me/partner/profile</t>
        </is>
      </c>
      <c r="H67" s="4" t="inlineStr">
        <is>
          <t>Notification preferences saved</t>
        </is>
      </c>
      <c r="I67" s="4">
        <f>IF(J67="","",IF(J67=H67,"PASS","FAIL"))</f>
        <v/>
      </c>
      <c r="J67" s="4" t="n"/>
      <c r="K67" s="4" t="n"/>
      <c r="L67" s="4" t="inlineStr">
        <is>
          <t>Low</t>
        </is>
      </c>
      <c r="M67" s="4" t="n"/>
    </row>
    <row r="68" ht="75" customHeight="1" s="16">
      <c r="A68" s="4" t="inlineStr">
        <is>
          <t>TC189</t>
        </is>
      </c>
      <c r="B68" s="4" t="inlineStr">
        <is>
          <t>Partner</t>
        </is>
      </c>
      <c r="C68" s="4" t="inlineStr">
        <is>
          <t>Profile</t>
        </is>
      </c>
      <c r="D68" s="4" t="inlineStr">
        <is>
          <t>API Access</t>
        </is>
      </c>
      <c r="E68" s="4" t="inlineStr">
        <is>
          <t>Generate API Key</t>
        </is>
      </c>
      <c r="F68" s="4" t="inlineStr">
        <is>
          <t>1. Go to profile
2. Click API Access
3. Generate new key
4. Copy and save key
5. View API documentation</t>
        </is>
      </c>
      <c r="G68" s="13" t="inlineStr">
        <is>
          <t>https://nutrio.me/partner/profile</t>
        </is>
      </c>
      <c r="H68" s="4" t="inlineStr">
        <is>
          <t>API key generated and displayed</t>
        </is>
      </c>
      <c r="I68" s="4">
        <f>IF(J68="","",IF(J68=H68,"PASS","FAIL"))</f>
        <v/>
      </c>
      <c r="J68" s="4" t="n"/>
      <c r="K68" s="4" t="n"/>
      <c r="L68" s="4" t="inlineStr">
        <is>
          <t>Low</t>
        </is>
      </c>
      <c r="M68" s="4" t="n"/>
    </row>
    <row r="69" ht="75" customHeight="1" s="16">
      <c r="A69" s="4" t="inlineStr">
        <is>
          <t>TC190</t>
        </is>
      </c>
      <c r="B69" s="4" t="inlineStr">
        <is>
          <t>Partner</t>
        </is>
      </c>
      <c r="C69" s="4" t="inlineStr">
        <is>
          <t>Profile</t>
        </is>
      </c>
      <c r="D69" s="4" t="inlineStr">
        <is>
          <t>Business Hours</t>
        </is>
      </c>
      <c r="E69" s="4" t="inlineStr">
        <is>
          <t>Set Special Hours</t>
        </is>
      </c>
      <c r="F69" s="4" t="inlineStr">
        <is>
          <t>1. Go to operating hours
2. Set regular hours
3. Add special hours (holidays)
4. Mark temporary closures
5. Save</t>
        </is>
      </c>
      <c r="G69" s="13" t="inlineStr">
        <is>
          <t>https://nutrio.me/partner/profile</t>
        </is>
      </c>
      <c r="H69" s="4" t="inlineStr">
        <is>
          <t>Special hours saved and applied</t>
        </is>
      </c>
      <c r="I69" s="4">
        <f>IF(J69="","",IF(J69=H69,"PASS","FAIL"))</f>
        <v/>
      </c>
      <c r="J69" s="4" t="n"/>
      <c r="K69" s="4" t="n"/>
      <c r="L69" s="6" t="inlineStr">
        <is>
          <t>Medium</t>
        </is>
      </c>
      <c r="M69" s="4" t="n"/>
    </row>
    <row r="70" ht="90" customHeight="1" s="16">
      <c r="A70" s="4" t="inlineStr">
        <is>
          <t>TC191</t>
        </is>
      </c>
      <c r="B70" s="4" t="inlineStr">
        <is>
          <t>Partner</t>
        </is>
      </c>
      <c r="C70" s="4" t="inlineStr">
        <is>
          <t>Profile</t>
        </is>
      </c>
      <c r="D70" s="4" t="inlineStr">
        <is>
          <t>Delivery Zones</t>
        </is>
      </c>
      <c r="E70" s="4" t="inlineStr">
        <is>
          <t>Set Delivery Zones</t>
        </is>
      </c>
      <c r="F70" s="4" t="inlineStr">
        <is>
          <t>1. Go to delivery settings
2. View map
3. Draw delivery zone
4. Set minimum order
5. Set delivery fee
6. Save</t>
        </is>
      </c>
      <c r="G70" s="13" t="inlineStr">
        <is>
          <t>https://nutrio.me/partner/profile</t>
        </is>
      </c>
      <c r="H70" s="4" t="inlineStr">
        <is>
          <t>Delivery zone saved and shown on map</t>
        </is>
      </c>
      <c r="I70" s="4">
        <f>IF(J70="","",IF(J70=H70,"PASS","FAIL"))</f>
        <v/>
      </c>
      <c r="J70" s="4" t="n"/>
      <c r="K70" s="4" t="n"/>
      <c r="L70" s="4" t="inlineStr">
        <is>
          <t>Low</t>
        </is>
      </c>
      <c r="M70" s="4" t="n"/>
    </row>
    <row r="71" ht="90" customHeight="1" s="16">
      <c r="A71" s="4" t="inlineStr">
        <is>
          <t>TC192</t>
        </is>
      </c>
      <c r="B71" s="4" t="inlineStr">
        <is>
          <t>Partner</t>
        </is>
      </c>
      <c r="C71" s="4" t="inlineStr">
        <is>
          <t>Profile</t>
        </is>
      </c>
      <c r="D71" s="4" t="inlineStr">
        <is>
          <t>Team Members</t>
        </is>
      </c>
      <c r="E71" s="4" t="inlineStr">
        <is>
          <t>Add Team Members</t>
        </is>
      </c>
      <c r="F71" s="4" t="inlineStr">
        <is>
          <t>1. Go to team management
2. Click Add Member
3. Enter email
4. Set role (Admin/Staff)
5. Send invitation</t>
        </is>
      </c>
      <c r="G71" s="13" t="inlineStr">
        <is>
          <t>https://nutrio.me/partner/profile/new</t>
        </is>
      </c>
      <c r="H71" s="4" t="inlineStr">
        <is>
          <t>Invitation sent, member can access with limited permissions</t>
        </is>
      </c>
      <c r="I71" s="4">
        <f>IF(J71="","",IF(J71=H71,"PASS","FAIL"))</f>
        <v/>
      </c>
      <c r="J71" s="4" t="n"/>
      <c r="K71" s="4" t="n"/>
      <c r="L71" s="4" t="inlineStr">
        <is>
          <t>Low</t>
        </is>
      </c>
      <c r="M71" s="4" t="n"/>
    </row>
    <row r="72" ht="60" customHeight="1" s="16">
      <c r="A72" s="4" t="inlineStr">
        <is>
          <t>TC193</t>
        </is>
      </c>
      <c r="B72" s="4" t="inlineStr">
        <is>
          <t>Partner</t>
        </is>
      </c>
      <c r="C72" s="4" t="inlineStr">
        <is>
          <t>Profile</t>
        </is>
      </c>
      <c r="D72" s="4" t="inlineStr">
        <is>
          <t>Remove Team Member</t>
        </is>
      </c>
      <c r="E72" s="4" t="inlineStr">
        <is>
          <t>Remove Team Member</t>
        </is>
      </c>
      <c r="F72" s="4" t="inlineStr">
        <is>
          <t>1. Go to team management
2. Find member
3. Click Remove
4. Confirm removal</t>
        </is>
      </c>
      <c r="G72" s="13" t="inlineStr">
        <is>
          <t>https://nutrio.me/partner/profile</t>
        </is>
      </c>
      <c r="H72" s="4" t="inlineStr">
        <is>
          <t>Member removed, access revoked</t>
        </is>
      </c>
      <c r="I72" s="4">
        <f>IF(J72="","",IF(J72=H72,"PASS","FAIL"))</f>
        <v/>
      </c>
      <c r="J72" s="4" t="n"/>
      <c r="K72" s="4" t="n"/>
      <c r="L72" s="4" t="inlineStr">
        <is>
          <t>Low</t>
        </is>
      </c>
      <c r="M72" s="4" t="n"/>
    </row>
    <row r="73" ht="75" customHeight="1" s="16">
      <c r="A73" s="4" t="inlineStr">
        <is>
          <t>TC194</t>
        </is>
      </c>
      <c r="B73" s="4" t="inlineStr">
        <is>
          <t>Partner</t>
        </is>
      </c>
      <c r="C73" s="4" t="inlineStr">
        <is>
          <t>Analytics</t>
        </is>
      </c>
      <c r="D73" s="4" t="inlineStr">
        <is>
          <t>View Analytics</t>
        </is>
      </c>
      <c r="E73" s="4" t="inlineStr">
        <is>
          <t>View Business Analytics</t>
        </is>
      </c>
      <c r="F73" s="4" t="inlineStr">
        <is>
          <t>1. Go to Analytics page
2. View order trends
3. View customer insights
4. View peak hours
5. Export analytics report</t>
        </is>
      </c>
      <c r="G73" s="13" t="inlineStr">
        <is>
          <t>https://nutrio.me/partner/analytics/[id]</t>
        </is>
      </c>
      <c r="H73" s="4" t="inlineStr">
        <is>
          <t>Analytics displayed with actionable insights</t>
        </is>
      </c>
      <c r="I73" s="4">
        <f>IF(J73="","",IF(J73=H73,"PASS","FAIL"))</f>
        <v/>
      </c>
      <c r="J73" s="4" t="n"/>
      <c r="K73" s="4" t="n"/>
      <c r="L73" s="6" t="inlineStr">
        <is>
          <t>Medium</t>
        </is>
      </c>
      <c r="M73" s="4" t="n"/>
    </row>
    <row r="74" ht="75" customHeight="1" s="16">
      <c r="A74" s="4" t="inlineStr">
        <is>
          <t>TC195</t>
        </is>
      </c>
      <c r="B74" s="4" t="inlineStr">
        <is>
          <t>Partner</t>
        </is>
      </c>
      <c r="C74" s="4" t="inlineStr">
        <is>
          <t>Analytics</t>
        </is>
      </c>
      <c r="D74" s="4" t="inlineStr">
        <is>
          <t>Customer Feedback</t>
        </is>
      </c>
      <c r="E74" s="4" t="inlineStr">
        <is>
          <t>View Customer Feedback</t>
        </is>
      </c>
      <c r="F74" s="4" t="inlineStr">
        <is>
          <t>1. Go to Reviews section
2. View all customer reviews
3. Filter by rating
4. Respond to review
5. Mark as resolved</t>
        </is>
      </c>
      <c r="G74" s="13" t="inlineStr">
        <is>
          <t>https://nutrio.me/partner/analytics/[id]</t>
        </is>
      </c>
      <c r="H74" s="4" t="inlineStr">
        <is>
          <t>Reviews displayed, can respond to customers</t>
        </is>
      </c>
      <c r="I74" s="4">
        <f>IF(J74="","",IF(J74=H74,"PASS","FAIL"))</f>
        <v/>
      </c>
      <c r="J74" s="4" t="n"/>
      <c r="K74" s="4" t="n"/>
      <c r="L74" s="6" t="inlineStr">
        <is>
          <t>Medium</t>
        </is>
      </c>
      <c r="M74" s="4" t="n"/>
    </row>
    <row r="75" ht="60" customHeight="1" s="16">
      <c r="A75" s="4" t="inlineStr">
        <is>
          <t>TC196</t>
        </is>
      </c>
      <c r="B75" s="4" t="inlineStr">
        <is>
          <t>Partner</t>
        </is>
      </c>
      <c r="C75" s="4" t="inlineStr">
        <is>
          <t>Analytics</t>
        </is>
      </c>
      <c r="D75" s="4" t="inlineStr">
        <is>
          <t>Performance Metrics</t>
        </is>
      </c>
      <c r="E75" s="4" t="inlineStr">
        <is>
          <t>View Detailed Performance Metrics</t>
        </is>
      </c>
      <c r="F75" s="4" t="inlineStr">
        <is>
          <t>1. View order fulfillment rate
2. View average prep time
3. View on-time delivery rate
4. Compare with industry average</t>
        </is>
      </c>
      <c r="G75" s="13" t="inlineStr">
        <is>
          <t>https://nutrio.me/partner/analytics/[id]</t>
        </is>
      </c>
      <c r="H75" s="4" t="inlineStr">
        <is>
          <t>All performance metrics displayed</t>
        </is>
      </c>
      <c r="I75" s="4">
        <f>IF(J75="","",IF(J75=H75,"PASS","FAIL"))</f>
        <v/>
      </c>
      <c r="J75" s="4" t="n"/>
      <c r="K75" s="4" t="n"/>
      <c r="L75" s="6" t="inlineStr">
        <is>
          <t>Medium</t>
        </is>
      </c>
      <c r="M75" s="4" t="n"/>
    </row>
    <row r="76" ht="75" customHeight="1" s="16">
      <c r="A76" s="4" t="inlineStr">
        <is>
          <t>TC197</t>
        </is>
      </c>
      <c r="B76" s="4" t="inlineStr">
        <is>
          <t>Partner</t>
        </is>
      </c>
      <c r="C76" s="4" t="inlineStr">
        <is>
          <t>Support</t>
        </is>
      </c>
      <c r="D76" s="4" t="inlineStr">
        <is>
          <t>Contact Support</t>
        </is>
      </c>
      <c r="E76" s="4" t="inlineStr">
        <is>
          <t>Contact Support via Dashboard</t>
        </is>
      </c>
      <c r="F76" s="4" t="inlineStr">
        <is>
          <t>1. Click Support button
2. Select issue type
3. Describe problem
4. Attach screenshot
5. Submit ticket</t>
        </is>
      </c>
      <c r="G76" s="13" t="inlineStr">
        <is>
          <t>https://nutrio.me/partner/support</t>
        </is>
      </c>
      <c r="H76" s="4" t="inlineStr">
        <is>
          <t>Support ticket created, confirmation shown</t>
        </is>
      </c>
      <c r="I76" s="4">
        <f>IF(J76="","",IF(J76=H76,"PASS","FAIL"))</f>
        <v/>
      </c>
      <c r="J76" s="4" t="n"/>
      <c r="K76" s="4" t="n"/>
      <c r="L76" s="5" t="inlineStr">
        <is>
          <t>High</t>
        </is>
      </c>
      <c r="M76" s="4" t="n"/>
    </row>
    <row r="77" ht="60" customHeight="1" s="16">
      <c r="A77" s="4" t="inlineStr">
        <is>
          <t>TC198</t>
        </is>
      </c>
      <c r="B77" s="4" t="inlineStr">
        <is>
          <t>Partner</t>
        </is>
      </c>
      <c r="C77" s="4" t="inlineStr">
        <is>
          <t>Support</t>
        </is>
      </c>
      <c r="D77" s="4" t="inlineStr">
        <is>
          <t>View Knowledge Base</t>
        </is>
      </c>
      <c r="E77" s="4" t="inlineStr">
        <is>
          <t>Access Knowledge Base</t>
        </is>
      </c>
      <c r="F77" s="4" t="inlineStr">
        <is>
          <t>1. Click Help
2. Browse articles
3. Search for topic
4. View article</t>
        </is>
      </c>
      <c r="G77" s="13" t="inlineStr">
        <is>
          <t>https://nutrio.me/partner/support</t>
        </is>
      </c>
      <c r="H77" s="4" t="inlineStr">
        <is>
          <t>Knowledge base articles displayed</t>
        </is>
      </c>
      <c r="I77" s="4">
        <f>IF(J77="","",IF(J77=H77,"PASS","FAIL"))</f>
        <v/>
      </c>
      <c r="J77" s="4" t="n"/>
      <c r="K77" s="4" t="n"/>
      <c r="L77" s="4" t="inlineStr">
        <is>
          <t>Low</t>
        </is>
      </c>
      <c r="M77" s="4" t="n"/>
    </row>
    <row r="78" ht="60" customHeight="1" s="16">
      <c r="A78" s="4" t="inlineStr">
        <is>
          <t>TC199</t>
        </is>
      </c>
      <c r="B78" s="4" t="inlineStr">
        <is>
          <t>Partner</t>
        </is>
      </c>
      <c r="C78" s="4" t="inlineStr">
        <is>
          <t>Support</t>
        </is>
      </c>
      <c r="D78" s="4" t="inlineStr">
        <is>
          <t>Live Chat</t>
        </is>
      </c>
      <c r="E78" s="4" t="inlineStr">
        <is>
          <t>Start Live Chat</t>
        </is>
      </c>
      <c r="F78" s="4" t="inlineStr">
        <is>
          <t>1. Click Chat icon
2. Start conversation
3. Send message
4. Receive response</t>
        </is>
      </c>
      <c r="G78" s="13" t="inlineStr">
        <is>
          <t>https://nutrio.me/partner/support</t>
        </is>
      </c>
      <c r="H78" s="4" t="inlineStr">
        <is>
          <t>Chat connected, messages exchanged</t>
        </is>
      </c>
      <c r="I78" s="4">
        <f>IF(J78="","",IF(J78=H78,"PASS","FAIL"))</f>
        <v/>
      </c>
      <c r="J78" s="4" t="n"/>
      <c r="K78" s="4" t="n"/>
      <c r="L78" s="6" t="inlineStr">
        <is>
          <t>Medium</t>
        </is>
      </c>
      <c r="M78" s="4" t="n"/>
    </row>
    <row r="79" ht="90" customHeight="1" s="16">
      <c r="A79" s="4" t="inlineStr">
        <is>
          <t>TC153</t>
        </is>
      </c>
      <c r="B79" s="4" t="inlineStr">
        <is>
          <t>Partner</t>
        </is>
      </c>
      <c r="C79" s="4" t="inlineStr">
        <is>
          <t>Auth</t>
        </is>
      </c>
      <c r="D79" s="4" t="inlineStr">
        <is>
          <t>Password Reset</t>
        </is>
      </c>
      <c r="E79" s="4" t="inlineStr">
        <is>
          <t>Partner Password Reset Flow</t>
        </is>
      </c>
      <c r="F79" s="4" t="inlineStr">
        <is>
          <t>1. Click Forgot Password on partner login
2. Enter registered email
3. Check email for reset link
4. Click link and set new password
5. Login with new password</t>
        </is>
      </c>
      <c r="G79" s="13" t="inlineStr">
        <is>
          <t>https://nutrio.me/partner/auth</t>
        </is>
      </c>
      <c r="H79" s="4" t="inlineStr">
        <is>
          <t>Password reset successful, can login with new credentials</t>
        </is>
      </c>
      <c r="I79" s="4">
        <f>IF(J79="","",IF(J79=H79,"PASS","FAIL"))</f>
        <v/>
      </c>
      <c r="J79" s="4" t="n"/>
      <c r="K79" s="4" t="n"/>
      <c r="L79" s="5" t="inlineStr">
        <is>
          <t>High</t>
        </is>
      </c>
      <c r="M79" s="4" t="n"/>
    </row>
    <row r="80" ht="75" customHeight="1" s="16">
      <c r="A80" s="4" t="inlineStr">
        <is>
          <t>TC154</t>
        </is>
      </c>
      <c r="B80" s="4" t="inlineStr">
        <is>
          <t>Partner</t>
        </is>
      </c>
      <c r="C80" s="4" t="inlineStr">
        <is>
          <t>Onboarding</t>
        </is>
      </c>
      <c r="D80" s="4" t="inlineStr">
        <is>
          <t>Wizard Step 1</t>
        </is>
      </c>
      <c r="E80" s="4" t="inlineStr">
        <is>
          <t>Complete Onboarding Step 1 - Basic Info</t>
        </is>
      </c>
      <c r="F80" s="4" t="inlineStr">
        <is>
          <t>1. Start partner registration
2. Fill restaurant name
3. Add description
4. Select cuisine type
5. Add dietary tags</t>
        </is>
      </c>
      <c r="G80" s="13" t="inlineStr">
        <is>
          <t>https://nutrio.me/partner/onboarding</t>
        </is>
      </c>
      <c r="H80" s="4" t="inlineStr">
        <is>
          <t>Step 1 saved, can proceed to Step 2</t>
        </is>
      </c>
      <c r="I80" s="4">
        <f>IF(J80="","",IF(J80=H80,"PASS","FAIL"))</f>
        <v/>
      </c>
      <c r="J80" s="4" t="n"/>
      <c r="K80" s="4" t="n"/>
      <c r="L80" s="5" t="inlineStr">
        <is>
          <t>High</t>
        </is>
      </c>
      <c r="M80" s="4" t="n"/>
    </row>
    <row r="81" ht="75" customHeight="1" s="16">
      <c r="A81" s="4" t="inlineStr">
        <is>
          <t>TC155</t>
        </is>
      </c>
      <c r="B81" s="4" t="inlineStr">
        <is>
          <t>Partner</t>
        </is>
      </c>
      <c r="C81" s="4" t="inlineStr">
        <is>
          <t>Onboarding</t>
        </is>
      </c>
      <c r="D81" s="4" t="inlineStr">
        <is>
          <t>Wizard Step 2</t>
        </is>
      </c>
      <c r="E81" s="4" t="inlineStr">
        <is>
          <t>Complete Onboarding Step 2 - Location</t>
        </is>
      </c>
      <c r="F81" s="4" t="inlineStr">
        <is>
          <t>1. Enter address
2. Pin location on map
3. Add phone number
4. Add email
5. Set operating hours</t>
        </is>
      </c>
      <c r="G81" s="13" t="inlineStr">
        <is>
          <t>https://nutrio.me/partner/onboarding</t>
        </is>
      </c>
      <c r="H81" s="4" t="inlineStr">
        <is>
          <t>Step 2 saved, can proceed to Step 3</t>
        </is>
      </c>
      <c r="I81" s="4">
        <f>IF(J81="","",IF(J81=H81,"PASS","FAIL"))</f>
        <v/>
      </c>
      <c r="J81" s="4" t="n"/>
      <c r="K81" s="4" t="n"/>
      <c r="L81" s="5" t="inlineStr">
        <is>
          <t>High</t>
        </is>
      </c>
      <c r="M81" s="4" t="n"/>
    </row>
    <row r="82" ht="60" customHeight="1" s="16">
      <c r="A82" s="4" t="inlineStr">
        <is>
          <t>TC156</t>
        </is>
      </c>
      <c r="B82" s="4" t="inlineStr">
        <is>
          <t>Partner</t>
        </is>
      </c>
      <c r="C82" s="4" t="inlineStr">
        <is>
          <t>Onboarding</t>
        </is>
      </c>
      <c r="D82" s="4" t="inlineStr">
        <is>
          <t>Wizard Step 3</t>
        </is>
      </c>
      <c r="E82" s="4" t="inlineStr">
        <is>
          <t>Complete Onboarding Step 3 - Media</t>
        </is>
      </c>
      <c r="F82" s="4" t="inlineStr">
        <is>
          <t>1. Upload logo (required)
2. Upload restaurant photos
3. Verify image preview
4. Check file size limits</t>
        </is>
      </c>
      <c r="G82" s="13" t="inlineStr">
        <is>
          <t>https://nutrio.me/partner/onboarding</t>
        </is>
      </c>
      <c r="H82" s="4" t="inlineStr">
        <is>
          <t>Images uploaded and preview shown</t>
        </is>
      </c>
      <c r="I82" s="4">
        <f>IF(J82="","",IF(J82=H82,"PASS","FAIL"))</f>
        <v/>
      </c>
      <c r="J82" s="4" t="n"/>
      <c r="K82" s="4" t="n"/>
      <c r="L82" s="5" t="inlineStr">
        <is>
          <t>High</t>
        </is>
      </c>
      <c r="M82" s="4" t="n"/>
    </row>
    <row r="83" ht="75" customHeight="1" s="16">
      <c r="A83" s="4" t="inlineStr">
        <is>
          <t>TC157</t>
        </is>
      </c>
      <c r="B83" s="4" t="inlineStr">
        <is>
          <t>Partner</t>
        </is>
      </c>
      <c r="C83" s="4" t="inlineStr">
        <is>
          <t>Onboarding</t>
        </is>
      </c>
      <c r="D83" s="4" t="inlineStr">
        <is>
          <t>Wizard Step 4</t>
        </is>
      </c>
      <c r="E83" s="4" t="inlineStr">
        <is>
          <t>Complete Onboarding Step 4 - Kitchen Details</t>
        </is>
      </c>
      <c r="F83" s="4" t="inlineStr">
        <is>
          <t>1. Set average prep time
2. Set daily capacity
3. Add bank account info
4. Add bank name and IBAN</t>
        </is>
      </c>
      <c r="G83" s="13" t="inlineStr">
        <is>
          <t>https://nutrio.me/partner/onboarding/[id]</t>
        </is>
      </c>
      <c r="H83" s="4" t="inlineStr">
        <is>
          <t>Kitchen details saved, can proceed to Step 5</t>
        </is>
      </c>
      <c r="I83" s="4">
        <f>IF(J83="","",IF(J83=H83,"PASS","FAIL"))</f>
        <v/>
      </c>
      <c r="J83" s="4" t="n"/>
      <c r="K83" s="4" t="n"/>
      <c r="L83" s="7" t="inlineStr">
        <is>
          <t>Critical</t>
        </is>
      </c>
      <c r="M83" s="4" t="n"/>
    </row>
    <row r="84" ht="90" customHeight="1" s="16">
      <c r="A84" s="4" t="inlineStr">
        <is>
          <t>TC158</t>
        </is>
      </c>
      <c r="B84" s="4" t="inlineStr">
        <is>
          <t>Partner</t>
        </is>
      </c>
      <c r="C84" s="4" t="inlineStr">
        <is>
          <t>Onboarding</t>
        </is>
      </c>
      <c r="D84" s="4" t="inlineStr">
        <is>
          <t>Wizard Step 5</t>
        </is>
      </c>
      <c r="E84" s="4" t="inlineStr">
        <is>
          <t>Complete Onboarding Step 5 - Review &amp; Submit</t>
        </is>
      </c>
      <c r="F84" s="4" t="inlineStr">
        <is>
          <t>1. Review all entered information
2. Check accuracy of details
3. Accept terms and conditions
4. Click Submit</t>
        </is>
      </c>
      <c r="G84" s="13" t="inlineStr">
        <is>
          <t>https://nutrio.me/partner/onboarding/[id]</t>
        </is>
      </c>
      <c r="H84" s="4" t="inlineStr">
        <is>
          <t>Application submitted, status shows 'pending_approval'</t>
        </is>
      </c>
      <c r="I84" s="4">
        <f>IF(J84="","",IF(J84=H84,"PASS","FAIL"))</f>
        <v/>
      </c>
      <c r="J84" s="4" t="n"/>
      <c r="K84" s="4" t="n"/>
      <c r="L84" s="7" t="inlineStr">
        <is>
          <t>Critical</t>
        </is>
      </c>
      <c r="M84" s="4" t="n"/>
    </row>
    <row r="85" ht="75" customHeight="1" s="16">
      <c r="A85" s="4" t="inlineStr">
        <is>
          <t>TC159</t>
        </is>
      </c>
      <c r="B85" s="4" t="inlineStr">
        <is>
          <t>Partner</t>
        </is>
      </c>
      <c r="C85" s="4" t="inlineStr">
        <is>
          <t>Onboarding</t>
        </is>
      </c>
      <c r="D85" s="4" t="inlineStr">
        <is>
          <t>Save Progress</t>
        </is>
      </c>
      <c r="E85" s="4" t="inlineStr">
        <is>
          <t>Save Onboarding Progress</t>
        </is>
      </c>
      <c r="F85" s="4" t="inlineStr">
        <is>
          <t>1. Fill partial information
2. Click Save Progress
3. Logout
4. Login again
5. Continue from where left off</t>
        </is>
      </c>
      <c r="G85" s="13" t="inlineStr">
        <is>
          <t>https://nutrio.me/partner/onboarding</t>
        </is>
      </c>
      <c r="H85" s="4" t="inlineStr">
        <is>
          <t>Progress saved, can resume onboarding</t>
        </is>
      </c>
      <c r="I85" s="4">
        <f>IF(J85="","",IF(J85=H85,"PASS","FAIL"))</f>
        <v/>
      </c>
      <c r="J85" s="4" t="n"/>
      <c r="K85" s="4" t="n"/>
      <c r="L85" s="6" t="inlineStr">
        <is>
          <t>Medium</t>
        </is>
      </c>
      <c r="M85" s="4" t="n"/>
    </row>
    <row r="86" ht="75" customHeight="1" s="16">
      <c r="A86" s="4" t="inlineStr">
        <is>
          <t>TC160</t>
        </is>
      </c>
      <c r="B86" s="4" t="inlineStr">
        <is>
          <t>Partner</t>
        </is>
      </c>
      <c r="C86" s="4" t="inlineStr">
        <is>
          <t>Dashboard</t>
        </is>
      </c>
      <c r="D86" s="4" t="inlineStr">
        <is>
          <t>Real-time Updates</t>
        </is>
      </c>
      <c r="E86" s="4" t="inlineStr">
        <is>
          <t>Dashboard Real-time Order Updates</t>
        </is>
      </c>
      <c r="F86" s="4" t="inlineStr">
        <is>
          <t>1. Keep dashboard open
2. Have customer place order
3. Verify order appears without refresh
4. Check notification received</t>
        </is>
      </c>
      <c r="G86" s="13" t="inlineStr">
        <is>
          <t>https://nutrio.me/partner/dashboard/[id]/edit</t>
        </is>
      </c>
      <c r="H86" s="4" t="inlineStr">
        <is>
          <t>New order appears automatically on dashboard</t>
        </is>
      </c>
      <c r="I86" s="4">
        <f>IF(J86="","",IF(J86=H86,"PASS","FAIL"))</f>
        <v/>
      </c>
      <c r="J86" s="4" t="n"/>
      <c r="K86" s="4" t="n"/>
      <c r="L86" s="5" t="inlineStr">
        <is>
          <t>High</t>
        </is>
      </c>
      <c r="M86" s="4" t="n"/>
    </row>
    <row r="87" ht="90" customHeight="1" s="16">
      <c r="A87" s="4" t="inlineStr">
        <is>
          <t>TC161</t>
        </is>
      </c>
      <c r="B87" s="4" t="inlineStr">
        <is>
          <t>Partner</t>
        </is>
      </c>
      <c r="C87" s="4" t="inlineStr">
        <is>
          <t>Dashboard</t>
        </is>
      </c>
      <c r="D87" s="4" t="inlineStr">
        <is>
          <t>Performance Chart</t>
        </is>
      </c>
      <c r="E87" s="4" t="inlineStr">
        <is>
          <t>View Performance Charts</t>
        </is>
      </c>
      <c r="F87" s="4" t="inlineStr">
        <is>
          <t>1. On dashboard, scroll to charts
2. View orders chart
3. View earnings chart
4. Hover for detailed values</t>
        </is>
      </c>
      <c r="G87" s="13" t="inlineStr">
        <is>
          <t>https://nutrio.me/partner/dashboard/[id]</t>
        </is>
      </c>
      <c r="H87" s="4" t="inlineStr">
        <is>
          <t>Charts display correctly with accurate data</t>
        </is>
      </c>
      <c r="I87" s="4">
        <f>IF(J87="","",IF(J87=H87,"PASS","FAIL"))</f>
        <v/>
      </c>
      <c r="J87" s="4" t="n"/>
      <c r="K87" s="4" t="n"/>
      <c r="L87" s="4" t="inlineStr">
        <is>
          <t>Low</t>
        </is>
      </c>
      <c r="M87" s="4" t="n"/>
    </row>
    <row r="88" ht="105" customHeight="1" s="16">
      <c r="A88" s="4" t="inlineStr">
        <is>
          <t>TC162</t>
        </is>
      </c>
      <c r="B88" s="4" t="inlineStr">
        <is>
          <t>Partner</t>
        </is>
      </c>
      <c r="C88" s="4" t="inlineStr">
        <is>
          <t>Dashboard</t>
        </is>
      </c>
      <c r="D88" s="4" t="inlineStr">
        <is>
          <t>Recent Orders</t>
        </is>
      </c>
      <c r="E88" s="4" t="inlineStr">
        <is>
          <t>View Recent Orders on Dashboard</t>
        </is>
      </c>
      <c r="F88" s="4" t="inlineStr">
        <is>
          <t>1. Look at Recent Orders section
2. Click View All
3. Verify navigation to Orders page</t>
        </is>
      </c>
      <c r="G88" s="13" t="inlineStr">
        <is>
          <t>https://nutrio.me/partner/dashboard/[id]</t>
        </is>
      </c>
      <c r="H88" s="4" t="inlineStr">
        <is>
          <t>Recent orders displayed, click navigates to full orders page</t>
        </is>
      </c>
      <c r="I88" s="4">
        <f>IF(J88="","",IF(J88=H88,"PASS","FAIL"))</f>
        <v/>
      </c>
      <c r="J88" s="4" t="n"/>
      <c r="K88" s="4" t="n"/>
      <c r="L88" s="6" t="inlineStr">
        <is>
          <t>Medium</t>
        </is>
      </c>
      <c r="M88" s="4" t="n"/>
    </row>
    <row r="89" ht="75" customHeight="1" s="16">
      <c r="A89" s="4" t="inlineStr">
        <is>
          <t>TC163</t>
        </is>
      </c>
      <c r="B89" s="4" t="inlineStr">
        <is>
          <t>Partner</t>
        </is>
      </c>
      <c r="C89" s="4" t="inlineStr">
        <is>
          <t>Dashboard</t>
        </is>
      </c>
      <c r="D89" s="4" t="inlineStr">
        <is>
          <t>Quick Stats</t>
        </is>
      </c>
      <c r="E89" s="4" t="inlineStr">
        <is>
          <t>Dashboard Quick Stats Cards</t>
        </is>
      </c>
      <c r="F89" s="4" t="inlineStr">
        <is>
          <t>1. Verify Today's Orders card
2. Verify Today's Earnings card
3. Verify Weekly Total card
4. Verify Rating card
5. Check all values are accurate</t>
        </is>
      </c>
      <c r="G89" s="13" t="inlineStr">
        <is>
          <t>https://nutrio.me/partner/dashboard</t>
        </is>
      </c>
      <c r="H89" s="4" t="inlineStr">
        <is>
          <t>All stat cards show correct information</t>
        </is>
      </c>
      <c r="I89" s="4">
        <f>IF(J89="","",IF(J89=H89,"PASS","FAIL"))</f>
        <v/>
      </c>
      <c r="J89" s="4" t="n"/>
      <c r="K89" s="4" t="n"/>
      <c r="L89" s="5" t="inlineStr">
        <is>
          <t>High</t>
        </is>
      </c>
      <c r="M89" s="4" t="n"/>
    </row>
    <row r="90" ht="60" customHeight="1" s="16">
      <c r="A90" s="4" t="inlineStr">
        <is>
          <t>TC164</t>
        </is>
      </c>
      <c r="B90" s="4" t="inlineStr">
        <is>
          <t>Partner</t>
        </is>
      </c>
      <c r="C90" s="4" t="inlineStr">
        <is>
          <t>Orders</t>
        </is>
      </c>
      <c r="D90" s="4" t="inlineStr">
        <is>
          <t>Bulk Actions</t>
        </is>
      </c>
      <c r="E90" s="4" t="inlineStr">
        <is>
          <t>Bulk Order Actions</t>
        </is>
      </c>
      <c r="F90" s="4" t="inlineStr">
        <is>
          <t>1. Select multiple orders
2. Click bulk action
3. Mark all as preparing
4. Verify all updated</t>
        </is>
      </c>
      <c r="G90" s="13" t="inlineStr">
        <is>
          <t>https://nutrio.me/partner/orders</t>
        </is>
      </c>
      <c r="H90" s="4" t="inlineStr">
        <is>
          <t>All selected orders updated to new status</t>
        </is>
      </c>
      <c r="I90" s="4">
        <f>IF(J90="","",IF(J90=H90,"PASS","FAIL"))</f>
        <v/>
      </c>
      <c r="J90" s="4" t="n"/>
      <c r="K90" s="4" t="n"/>
      <c r="L90" s="4" t="inlineStr">
        <is>
          <t>Low</t>
        </is>
      </c>
      <c r="M90" s="4" t="n"/>
    </row>
    <row r="91" ht="60" customHeight="1" s="16">
      <c r="A91" s="4" t="inlineStr">
        <is>
          <t>TC165</t>
        </is>
      </c>
      <c r="B91" s="4" t="inlineStr">
        <is>
          <t>Partner</t>
        </is>
      </c>
      <c r="C91" s="4" t="inlineStr">
        <is>
          <t>Orders</t>
        </is>
      </c>
      <c r="D91" s="4" t="inlineStr">
        <is>
          <t>Filter by Status</t>
        </is>
      </c>
      <c r="E91" s="4" t="inlineStr">
        <is>
          <t>Filter Orders by Status</t>
        </is>
      </c>
      <c r="F91" s="4" t="inlineStr">
        <is>
          <t>1. On orders page
2. Click filter dropdown
3. Select 'Preparing'
4. Verify only preparing orders shown</t>
        </is>
      </c>
      <c r="G91" s="13" t="inlineStr">
        <is>
          <t>https://nutrio.me/partner/orders?filter=[value]</t>
        </is>
      </c>
      <c r="H91" s="4" t="inlineStr">
        <is>
          <t>Orders filtered by selected status</t>
        </is>
      </c>
      <c r="I91" s="4">
        <f>IF(J91="","",IF(J91=H91,"PASS","FAIL"))</f>
        <v/>
      </c>
      <c r="J91" s="4" t="n"/>
      <c r="K91" s="4" t="n"/>
      <c r="L91" s="6" t="inlineStr">
        <is>
          <t>Medium</t>
        </is>
      </c>
      <c r="M91" s="4" t="n"/>
    </row>
    <row r="92" ht="45" customHeight="1" s="16">
      <c r="A92" s="4" t="inlineStr">
        <is>
          <t>TC166</t>
        </is>
      </c>
      <c r="B92" s="4" t="inlineStr">
        <is>
          <t>Partner</t>
        </is>
      </c>
      <c r="C92" s="4" t="inlineStr">
        <is>
          <t>Orders</t>
        </is>
      </c>
      <c r="D92" s="4" t="inlineStr">
        <is>
          <t>Filter by Date</t>
        </is>
      </c>
      <c r="E92" s="4" t="inlineStr">
        <is>
          <t>Filter Orders by Date Range</t>
        </is>
      </c>
      <c r="F92" s="4" t="inlineStr">
        <is>
          <t>1. Select date range
2. Apply filter
3. Verify orders within range displayed</t>
        </is>
      </c>
      <c r="G92" s="13" t="inlineStr">
        <is>
          <t>https://nutrio.me/partner/orders?filter=[value]</t>
        </is>
      </c>
      <c r="H92" s="4" t="inlineStr">
        <is>
          <t>Orders filtered by date range</t>
        </is>
      </c>
      <c r="I92" s="4">
        <f>IF(J92="","",IF(J92=H92,"PASS","FAIL"))</f>
        <v/>
      </c>
      <c r="J92" s="4" t="n"/>
      <c r="K92" s="4" t="n"/>
      <c r="L92" s="6" t="inlineStr">
        <is>
          <t>Medium</t>
        </is>
      </c>
      <c r="M92" s="4" t="n"/>
    </row>
    <row r="93" ht="75" customHeight="1" s="16">
      <c r="A93" s="4" t="inlineStr">
        <is>
          <t>TC167</t>
        </is>
      </c>
      <c r="B93" s="4" t="inlineStr">
        <is>
          <t>Partner</t>
        </is>
      </c>
      <c r="C93" s="4" t="inlineStr">
        <is>
          <t>Orders</t>
        </is>
      </c>
      <c r="D93" s="4" t="inlineStr">
        <is>
          <t>Search Orders</t>
        </is>
      </c>
      <c r="E93" s="4" t="inlineStr">
        <is>
          <t>Search Orders by Order ID or Customer</t>
        </is>
      </c>
      <c r="F93" s="4" t="inlineStr">
        <is>
          <t>1. Enter order ID in search
2. Press Enter
3. Verify matching order displayed
4. Try searching by customer name</t>
        </is>
      </c>
      <c r="G93" s="13" t="inlineStr">
        <is>
          <t>https://nutrio.me/partner/orders?q=[search-term]</t>
        </is>
      </c>
      <c r="H93" s="4" t="inlineStr">
        <is>
          <t>Search results show matching orders</t>
        </is>
      </c>
      <c r="I93" s="4">
        <f>IF(J93="","",IF(J93=H93,"PASS","FAIL"))</f>
        <v/>
      </c>
      <c r="J93" s="4" t="n"/>
      <c r="K93" s="4" t="n"/>
      <c r="L93" s="6" t="inlineStr">
        <is>
          <t>Medium</t>
        </is>
      </c>
      <c r="M93" s="4" t="n"/>
    </row>
    <row r="94" ht="75" customHeight="1" s="16">
      <c r="A94" s="4" t="inlineStr">
        <is>
          <t>TC168</t>
        </is>
      </c>
      <c r="B94" s="4" t="inlineStr">
        <is>
          <t>Partner</t>
        </is>
      </c>
      <c r="C94" s="4" t="inlineStr">
        <is>
          <t>Orders</t>
        </is>
      </c>
      <c r="D94" s="4" t="inlineStr">
        <is>
          <t>Order Timeline</t>
        </is>
      </c>
      <c r="E94" s="4" t="inlineStr">
        <is>
          <t>View Order Status Timeline</t>
        </is>
      </c>
      <c r="F94" s="4" t="inlineStr">
        <is>
          <t>1. Open order details
2. View status timeline
3. Check all status changes logged
4. Verify timestamps accurate</t>
        </is>
      </c>
      <c r="G94" s="13" t="inlineStr">
        <is>
          <t>https://nutrio.me/partner/orders/[id]</t>
        </is>
      </c>
      <c r="H94" s="4" t="inlineStr">
        <is>
          <t>Complete timeline of order status changes shown</t>
        </is>
      </c>
      <c r="I94" s="4">
        <f>IF(J94="","",IF(J94=H94,"PASS","FAIL"))</f>
        <v/>
      </c>
      <c r="J94" s="4" t="n"/>
      <c r="K94" s="4" t="n"/>
      <c r="L94" s="6" t="inlineStr">
        <is>
          <t>Medium</t>
        </is>
      </c>
      <c r="M94" s="4" t="n"/>
    </row>
    <row r="95" ht="75" customHeight="1" s="16">
      <c r="A95" s="4" t="inlineStr">
        <is>
          <t>TC169</t>
        </is>
      </c>
      <c r="B95" s="4" t="inlineStr">
        <is>
          <t>Partner</t>
        </is>
      </c>
      <c r="C95" s="4" t="inlineStr">
        <is>
          <t>Orders</t>
        </is>
      </c>
      <c r="D95" s="4" t="inlineStr">
        <is>
          <t>Customer Details</t>
        </is>
      </c>
      <c r="E95" s="4" t="inlineStr">
        <is>
          <t>View Customer Details in Order</t>
        </is>
      </c>
      <c r="F95" s="4" t="inlineStr">
        <is>
          <t>1. Open order details
2. View customer section
3. Verify name, phone, address shown
4. Check delivery instructions</t>
        </is>
      </c>
      <c r="G95" s="13" t="inlineStr">
        <is>
          <t>https://nutrio.me/partner/orders/[id]</t>
        </is>
      </c>
      <c r="H95" s="4" t="inlineStr">
        <is>
          <t>All customer information displayed accurately</t>
        </is>
      </c>
      <c r="I95" s="4">
        <f>IF(J95="","",IF(J95=H95,"PASS","FAIL"))</f>
        <v/>
      </c>
      <c r="J95" s="4" t="n"/>
      <c r="K95" s="4" t="n"/>
      <c r="L95" s="5" t="inlineStr">
        <is>
          <t>High</t>
        </is>
      </c>
      <c r="M95" s="4" t="n"/>
    </row>
    <row r="96" ht="75" customHeight="1" s="16">
      <c r="A96" s="4" t="inlineStr">
        <is>
          <t>TC170</t>
        </is>
      </c>
      <c r="B96" s="4" t="inlineStr">
        <is>
          <t>Partner</t>
        </is>
      </c>
      <c r="C96" s="4" t="inlineStr">
        <is>
          <t>Orders</t>
        </is>
      </c>
      <c r="D96" s="4" t="inlineStr">
        <is>
          <t>Print Order</t>
        </is>
      </c>
      <c r="E96" s="4" t="inlineStr">
        <is>
          <t>Print Order Ticket</t>
        </is>
      </c>
      <c r="F96" s="4" t="inlineStr">
        <is>
          <t>1. Open order details
2. Click Print button
3. Verify print dialog opens
4. Check ticket format</t>
        </is>
      </c>
      <c r="G96" s="13" t="inlineStr">
        <is>
          <t>https://nutrio.me/partner/orders</t>
        </is>
      </c>
      <c r="H96" s="4" t="inlineStr">
        <is>
          <t>Print dialog opens with kitchen-friendly format</t>
        </is>
      </c>
      <c r="I96" s="4">
        <f>IF(J96="","",IF(J96=H96,"PASS","FAIL"))</f>
        <v/>
      </c>
      <c r="J96" s="4" t="n"/>
      <c r="K96" s="4" t="n"/>
      <c r="L96" s="4" t="inlineStr">
        <is>
          <t>Low</t>
        </is>
      </c>
      <c r="M96" s="4" t="n"/>
    </row>
    <row r="97" ht="60" customHeight="1" s="16">
      <c r="A97" s="4" t="inlineStr">
        <is>
          <t>TC171</t>
        </is>
      </c>
      <c r="B97" s="4" t="inlineStr">
        <is>
          <t>Partner</t>
        </is>
      </c>
      <c r="C97" s="4" t="inlineStr">
        <is>
          <t>Orders</t>
        </is>
      </c>
      <c r="D97" s="4" t="inlineStr">
        <is>
          <t>Order Notifications</t>
        </is>
      </c>
      <c r="E97" s="4" t="inlineStr">
        <is>
          <t>Order Notification Settings</t>
        </is>
      </c>
      <c r="F97" s="4" t="inlineStr">
        <is>
          <t>1. Go to profile
2. Check notification settings
3. Enable/disable order notifications
4. Save settings</t>
        </is>
      </c>
      <c r="G97" s="13" t="inlineStr">
        <is>
          <t>https://nutrio.me/partner/orders</t>
        </is>
      </c>
      <c r="H97" s="4" t="inlineStr">
        <is>
          <t>Notification preferences saved and applied</t>
        </is>
      </c>
      <c r="I97" s="4">
        <f>IF(J97="","",IF(J97=H97,"PASS","FAIL"))</f>
        <v/>
      </c>
      <c r="J97" s="4" t="n"/>
      <c r="K97" s="4" t="n"/>
      <c r="L97" s="4" t="inlineStr">
        <is>
          <t>Low</t>
        </is>
      </c>
      <c r="M97" s="4" t="n"/>
    </row>
    <row r="98" ht="60" customHeight="1" s="16">
      <c r="A98" s="4" t="inlineStr">
        <is>
          <t>TC172</t>
        </is>
      </c>
      <c r="B98" s="4" t="inlineStr">
        <is>
          <t>Partner</t>
        </is>
      </c>
      <c r="C98" s="4" t="inlineStr">
        <is>
          <t>Menu</t>
        </is>
      </c>
      <c r="D98" s="4" t="inlineStr">
        <is>
          <t>Bulk Toggle</t>
        </is>
      </c>
      <c r="E98" s="4" t="inlineStr">
        <is>
          <t>Bulk Toggle Item Availability</t>
        </is>
      </c>
      <c r="F98" s="4" t="inlineStr">
        <is>
          <t>1. Select multiple menu items
2. Click Toggle Availability
3. Verify all items status changed</t>
        </is>
      </c>
      <c r="G98" s="13" t="inlineStr">
        <is>
          <t>https://nutrio.me/partner/menu</t>
        </is>
      </c>
      <c r="H98" s="4" t="inlineStr">
        <is>
          <t>All selected items availability toggled</t>
        </is>
      </c>
      <c r="I98" s="4">
        <f>IF(J98="","",IF(J98=H98,"PASS","FAIL"))</f>
        <v/>
      </c>
      <c r="J98" s="4" t="n"/>
      <c r="K98" s="4" t="n"/>
      <c r="L98" s="4" t="inlineStr">
        <is>
          <t>Low</t>
        </is>
      </c>
      <c r="M98" s="4" t="n"/>
    </row>
    <row r="99" ht="75" customHeight="1" s="16">
      <c r="A99" s="4" t="inlineStr">
        <is>
          <t>TC173</t>
        </is>
      </c>
      <c r="B99" s="4" t="inlineStr">
        <is>
          <t>Partner</t>
        </is>
      </c>
      <c r="C99" s="4" t="inlineStr">
        <is>
          <t>Menu</t>
        </is>
      </c>
      <c r="D99" s="4" t="inlineStr">
        <is>
          <t>Duplicate Item</t>
        </is>
      </c>
      <c r="E99" s="4" t="inlineStr">
        <is>
          <t>Duplicate Menu Item</t>
        </is>
      </c>
      <c r="F99" s="4" t="inlineStr">
        <is>
          <t>1. Find existing item
2. Click Duplicate
3. Modify details
4. Save as new item</t>
        </is>
      </c>
      <c r="G99" s="13" t="inlineStr">
        <is>
          <t>https://nutrio.me/partner/menu</t>
        </is>
      </c>
      <c r="H99" s="4" t="inlineStr">
        <is>
          <t>Item duplicated with editable copy</t>
        </is>
      </c>
      <c r="I99" s="4">
        <f>IF(J99="","",IF(J99=H99,"PASS","FAIL"))</f>
        <v/>
      </c>
      <c r="J99" s="4" t="n"/>
      <c r="K99" s="4" t="n"/>
      <c r="L99" s="4" t="inlineStr">
        <is>
          <t>Low</t>
        </is>
      </c>
      <c r="M99" s="4" t="n"/>
    </row>
    <row r="100" ht="60" customHeight="1" s="16">
      <c r="A100" s="4" t="inlineStr">
        <is>
          <t>TC174</t>
        </is>
      </c>
      <c r="B100" s="4" t="inlineStr">
        <is>
          <t>Partner</t>
        </is>
      </c>
      <c r="C100" s="4" t="inlineStr">
        <is>
          <t>Menu</t>
        </is>
      </c>
      <c r="D100" s="4" t="inlineStr">
        <is>
          <t>Image Crop</t>
        </is>
      </c>
      <c r="E100" s="4" t="inlineStr">
        <is>
          <t>Crop Uploaded Image</t>
        </is>
      </c>
      <c r="F100" s="4" t="inlineStr">
        <is>
          <t>1. Upload meal photo
2. Click crop tool
3. Adjust crop area
4. Save cropped image</t>
        </is>
      </c>
      <c r="G100" s="13" t="inlineStr">
        <is>
          <t>https://nutrio.me/partner/menu</t>
        </is>
      </c>
      <c r="H100" s="4" t="inlineStr">
        <is>
          <t>Image cropped and saved correctly</t>
        </is>
      </c>
      <c r="I100" s="4">
        <f>IF(J100="","",IF(J100=H100,"PASS","FAIL"))</f>
        <v/>
      </c>
      <c r="J100" s="4" t="n"/>
      <c r="K100" s="4" t="n"/>
      <c r="L100" s="4" t="inlineStr">
        <is>
          <t>Low</t>
        </is>
      </c>
      <c r="M100" s="4" t="n"/>
    </row>
    <row r="101" ht="75" customHeight="1" s="16">
      <c r="A101" s="4" t="inlineStr">
        <is>
          <t>TC175</t>
        </is>
      </c>
      <c r="B101" s="4" t="inlineStr">
        <is>
          <t>Partner</t>
        </is>
      </c>
      <c r="C101" s="4" t="inlineStr">
        <is>
          <t>Menu</t>
        </is>
      </c>
      <c r="D101" s="4" t="inlineStr">
        <is>
          <t>Nutrition Calculator</t>
        </is>
      </c>
      <c r="E101" s="4" t="inlineStr">
        <is>
          <t>Use Nutrition Calculator</t>
        </is>
      </c>
      <c r="F101" s="4" t="inlineStr">
        <is>
          <t>1. Add new meal
2. Enter ingredients
3. Use nutrition calculator
4. Verify auto-calculated values</t>
        </is>
      </c>
      <c r="G101" s="13" t="inlineStr">
        <is>
          <t>https://nutrio.me/partner/menu</t>
        </is>
      </c>
      <c r="H101" s="4" t="inlineStr">
        <is>
          <t>Nutrition values auto-calculated from ingredients</t>
        </is>
      </c>
      <c r="I101" s="4">
        <f>IF(J101="","",IF(J101=H101,"PASS","FAIL"))</f>
        <v/>
      </c>
      <c r="J101" s="4" t="n"/>
      <c r="K101" s="4" t="n"/>
      <c r="L101" s="4" t="inlineStr">
        <is>
          <t>Low</t>
        </is>
      </c>
      <c r="M101" s="4" t="n"/>
    </row>
    <row r="102" ht="60" customHeight="1" s="16">
      <c r="A102" s="4" t="inlineStr">
        <is>
          <t>TC176</t>
        </is>
      </c>
      <c r="B102" s="4" t="inlineStr">
        <is>
          <t>Partner</t>
        </is>
      </c>
      <c r="C102" s="4" t="inlineStr">
        <is>
          <t>Menu</t>
        </is>
      </c>
      <c r="D102" s="4" t="inlineStr">
        <is>
          <t>Menu Categories</t>
        </is>
      </c>
      <c r="E102" s="4" t="inlineStr">
        <is>
          <t>Organize Menu by Categories</t>
        </is>
      </c>
      <c r="F102" s="4" t="inlineStr">
        <is>
          <t>1. Create category (e.g., 'Main Course')
2. Assign meals to category
3. View menu by category
4. Reorder categories</t>
        </is>
      </c>
      <c r="G102" s="13" t="inlineStr">
        <is>
          <t>https://nutrio.me/partner/menu</t>
        </is>
      </c>
      <c r="H102" s="4" t="inlineStr">
        <is>
          <t>Meals organized by categories</t>
        </is>
      </c>
      <c r="I102" s="4">
        <f>IF(J102="","",IF(J102=H102,"PASS","FAIL"))</f>
        <v/>
      </c>
      <c r="J102" s="4" t="n"/>
      <c r="K102" s="4" t="n"/>
      <c r="L102" s="4" t="inlineStr">
        <is>
          <t>Low</t>
        </is>
      </c>
      <c r="M102" s="4" t="n"/>
    </row>
    <row r="103" ht="75" customHeight="1" s="16">
      <c r="A103" s="4" t="inlineStr">
        <is>
          <t>TC177</t>
        </is>
      </c>
      <c r="B103" s="4" t="inlineStr">
        <is>
          <t>Partner</t>
        </is>
      </c>
      <c r="C103" s="4" t="inlineStr">
        <is>
          <t>Menu</t>
        </is>
      </c>
      <c r="D103" s="4" t="inlineStr">
        <is>
          <t>Preview Menu</t>
        </is>
      </c>
      <c r="E103" s="4" t="inlineStr">
        <is>
          <t>Preview Menu as Customer Sees It</t>
        </is>
      </c>
      <c r="F103" s="4" t="inlineStr">
        <is>
          <t>1. Click Preview button
2. View menu as customer sees it
3. Verify all items display correctly
4. Check photos and descriptions</t>
        </is>
      </c>
      <c r="G103" s="13" t="inlineStr">
        <is>
          <t>https://nutrio.me/partner/menu/[id]</t>
        </is>
      </c>
      <c r="H103" s="4" t="inlineStr">
        <is>
          <t>Menu preview matches customer view</t>
        </is>
      </c>
      <c r="I103" s="4">
        <f>IF(J103="","",IF(J103=H103,"PASS","FAIL"))</f>
        <v/>
      </c>
      <c r="J103" s="4" t="n"/>
      <c r="K103" s="4" t="n"/>
      <c r="L103" s="6" t="inlineStr">
        <is>
          <t>Medium</t>
        </is>
      </c>
      <c r="M103" s="4" t="n"/>
    </row>
    <row r="104" ht="60" customHeight="1" s="16">
      <c r="A104" s="4" t="inlineStr">
        <is>
          <t>TC178</t>
        </is>
      </c>
      <c r="B104" s="4" t="inlineStr">
        <is>
          <t>Partner</t>
        </is>
      </c>
      <c r="C104" s="4" t="inlineStr">
        <is>
          <t>Menu</t>
        </is>
      </c>
      <c r="D104" s="4" t="inlineStr">
        <is>
          <t>Export Menu</t>
        </is>
      </c>
      <c r="E104" s="4" t="inlineStr">
        <is>
          <t>Export Menu Data</t>
        </is>
      </c>
      <c r="F104" s="4" t="inlineStr">
        <is>
          <t>1. Go to menu
2. Click Export
3. Select format (CSV/Excel)
4. Download file</t>
        </is>
      </c>
      <c r="G104" s="13" t="inlineStr">
        <is>
          <t>https://nutrio.me/partner/menu</t>
        </is>
      </c>
      <c r="H104" s="4" t="inlineStr">
        <is>
          <t>Menu data exported successfully</t>
        </is>
      </c>
      <c r="I104" s="4">
        <f>IF(J104="","",IF(J104=H104,"PASS","FAIL"))</f>
        <v/>
      </c>
      <c r="J104" s="4" t="n"/>
      <c r="K104" s="4" t="n"/>
      <c r="L104" s="4" t="inlineStr">
        <is>
          <t>Low</t>
        </is>
      </c>
      <c r="M104" s="4" t="n"/>
    </row>
    <row r="105" ht="75" customHeight="1" s="16">
      <c r="A105" s="4" t="inlineStr">
        <is>
          <t>TC179</t>
        </is>
      </c>
      <c r="B105" s="4" t="inlineStr">
        <is>
          <t>Partner</t>
        </is>
      </c>
      <c r="C105" s="4" t="inlineStr">
        <is>
          <t>Menu</t>
        </is>
      </c>
      <c r="D105" s="4" t="inlineStr">
        <is>
          <t>Import Menu</t>
        </is>
      </c>
      <c r="E105" s="4" t="inlineStr">
        <is>
          <t>Import Menu Items</t>
        </is>
      </c>
      <c r="F105" s="4" t="inlineStr">
        <is>
          <t>1. Prepare import file
2. Click Import
3. Upload file
4. Map fields
5. Complete import</t>
        </is>
      </c>
      <c r="G105" s="13" t="inlineStr">
        <is>
          <t>https://nutrio.me/partner/menu</t>
        </is>
      </c>
      <c r="H105" s="4" t="inlineStr">
        <is>
          <t>Menu items imported successfully</t>
        </is>
      </c>
      <c r="I105" s="4">
        <f>IF(J105="","",IF(J105=H105,"PASS","FAIL"))</f>
        <v/>
      </c>
      <c r="J105" s="4" t="n"/>
      <c r="K105" s="4" t="n"/>
      <c r="L105" s="4" t="inlineStr">
        <is>
          <t>Low</t>
        </is>
      </c>
      <c r="M105" s="4" t="n"/>
    </row>
    <row r="106" ht="75" customHeight="1" s="16">
      <c r="A106" s="4" t="inlineStr">
        <is>
          <t>TC180</t>
        </is>
      </c>
      <c r="B106" s="4" t="inlineStr">
        <is>
          <t>Partner</t>
        </is>
      </c>
      <c r="C106" s="4" t="inlineStr">
        <is>
          <t>Earnings</t>
        </is>
      </c>
      <c r="D106" s="4" t="inlineStr">
        <is>
          <t>Earnings Chart</t>
        </is>
      </c>
      <c r="E106" s="4" t="inlineStr">
        <is>
          <t>View Earnings Chart</t>
        </is>
      </c>
      <c r="F106" s="4" t="inlineStr">
        <is>
          <t>1. Go to earnings page
2. View earnings chart
3. Switch between daily/weekly/monthly views
4. Hover for detailed values</t>
        </is>
      </c>
      <c r="G106" s="13" t="inlineStr">
        <is>
          <t>https://nutrio.me/partner/payouts/[id]</t>
        </is>
      </c>
      <c r="H106" s="4" t="inlineStr">
        <is>
          <t>Chart displays earnings trends accurately</t>
        </is>
      </c>
      <c r="I106" s="4">
        <f>IF(J106="","",IF(J106=H106,"PASS","FAIL"))</f>
        <v/>
      </c>
      <c r="J106" s="4" t="n"/>
      <c r="K106" s="4" t="n"/>
      <c r="L106" s="4" t="inlineStr">
        <is>
          <t>Low</t>
        </is>
      </c>
      <c r="M106" s="4" t="n"/>
    </row>
    <row r="107" ht="75" customHeight="1" s="16">
      <c r="A107" s="4" t="inlineStr">
        <is>
          <t>TC181</t>
        </is>
      </c>
      <c r="B107" s="4" t="inlineStr">
        <is>
          <t>Partner</t>
        </is>
      </c>
      <c r="C107" s="4" t="inlineStr">
        <is>
          <t>Earnings</t>
        </is>
      </c>
      <c r="D107" s="4" t="inlineStr">
        <is>
          <t>Top Meals</t>
        </is>
      </c>
      <c r="E107" s="4" t="inlineStr">
        <is>
          <t>View Top Performing Meals</t>
        </is>
      </c>
      <c r="F107" s="4" t="inlineStr">
        <is>
          <t>1. Scroll to Top Meals section
2. View best-selling items
3. Check quantities sold
4. View revenue per item</t>
        </is>
      </c>
      <c r="G107" s="13" t="inlineStr">
        <is>
          <t>https://nutrio.me/partner/payouts/[id]</t>
        </is>
      </c>
      <c r="H107" s="4" t="inlineStr">
        <is>
          <t>Top performing meals displayed with stats</t>
        </is>
      </c>
      <c r="I107" s="4">
        <f>IF(J107="","",IF(J107=H107,"PASS","FAIL"))</f>
        <v/>
      </c>
      <c r="J107" s="4" t="n"/>
      <c r="K107" s="4" t="n"/>
      <c r="L107" s="6" t="inlineStr">
        <is>
          <t>Medium</t>
        </is>
      </c>
      <c r="M107" s="4" t="n"/>
    </row>
    <row r="108" ht="75" customHeight="1" s="16">
      <c r="A108" s="4" t="inlineStr">
        <is>
          <t>TC182</t>
        </is>
      </c>
      <c r="B108" s="4" t="inlineStr">
        <is>
          <t>Partner</t>
        </is>
      </c>
      <c r="C108" s="4" t="inlineStr">
        <is>
          <t>Earnings</t>
        </is>
      </c>
      <c r="D108" s="4" t="inlineStr">
        <is>
          <t>Payout Invoice</t>
        </is>
      </c>
      <c r="E108" s="4" t="inlineStr">
        <is>
          <t>Download Payout Invoice</t>
        </is>
      </c>
      <c r="F108" s="4" t="inlineStr">
        <is>
          <t>1. Go to payout history
2. Click on payout
3. Click Download Invoice
4. Verify PDF contains correct details</t>
        </is>
      </c>
      <c r="G108" s="13" t="inlineStr">
        <is>
          <t>https://nutrio.me/partner/payouts</t>
        </is>
      </c>
      <c r="H108" s="4" t="inlineStr">
        <is>
          <t>Invoice downloaded with accurate information</t>
        </is>
      </c>
      <c r="I108" s="4">
        <f>IF(J108="","",IF(J108=H108,"PASS","FAIL"))</f>
        <v/>
      </c>
      <c r="J108" s="4" t="n"/>
      <c r="K108" s="4" t="n"/>
      <c r="L108" s="6" t="inlineStr">
        <is>
          <t>Medium</t>
        </is>
      </c>
      <c r="M108" s="4" t="n"/>
    </row>
    <row r="109" ht="90" customHeight="1" s="16">
      <c r="A109" s="4" t="inlineStr">
        <is>
          <t>TC183</t>
        </is>
      </c>
      <c r="B109" s="4" t="inlineStr">
        <is>
          <t>Partner</t>
        </is>
      </c>
      <c r="C109" s="4" t="inlineStr">
        <is>
          <t>Earnings</t>
        </is>
      </c>
      <c r="D109" s="4" t="inlineStr">
        <is>
          <t>Dispute Payout</t>
        </is>
      </c>
      <c r="E109" s="4" t="inlineStr">
        <is>
          <t>Dispute a Payout</t>
        </is>
      </c>
      <c r="F109" s="4" t="inlineStr">
        <is>
          <t>1. Find payout in history
2. Click Dispute
3. Enter reason
4. Submit dispute
5. Verify confirmation</t>
        </is>
      </c>
      <c r="G109" s="13" t="inlineStr">
        <is>
          <t>https://nutrio.me/partner/payouts</t>
        </is>
      </c>
      <c r="H109" s="4" t="inlineStr">
        <is>
          <t>Dispute submitted, under review status shown</t>
        </is>
      </c>
      <c r="I109" s="4">
        <f>IF(J109="","",IF(J109=H109,"PASS","FAIL"))</f>
        <v/>
      </c>
      <c r="J109" s="4" t="n"/>
      <c r="K109" s="4" t="n"/>
      <c r="L109" s="6" t="inlineStr">
        <is>
          <t>Medium</t>
        </is>
      </c>
      <c r="M109" s="4" t="n"/>
    </row>
    <row r="110" ht="75" customHeight="1" s="16">
      <c r="A110" s="4" t="inlineStr">
        <is>
          <t>TC184</t>
        </is>
      </c>
      <c r="B110" s="4" t="inlineStr">
        <is>
          <t>Partner</t>
        </is>
      </c>
      <c r="C110" s="4" t="inlineStr">
        <is>
          <t>Earnings</t>
        </is>
      </c>
      <c r="D110" s="4" t="inlineStr">
        <is>
          <t>Tax Report</t>
        </is>
      </c>
      <c r="E110" s="4" t="inlineStr">
        <is>
          <t>Generate Tax Report</t>
        </is>
      </c>
      <c r="F110" s="4" t="inlineStr">
        <is>
          <t>1. Go to earnings
2. Click Tax Report
3. Select year
4. Generate report
5. Download PDF</t>
        </is>
      </c>
      <c r="G110" s="13" t="inlineStr">
        <is>
          <t>https://nutrio.me/partner/payouts</t>
        </is>
      </c>
      <c r="H110" s="4" t="inlineStr">
        <is>
          <t>Tax report generated with all earnings data</t>
        </is>
      </c>
      <c r="I110" s="4">
        <f>IF(J110="","",IF(J110=H110,"PASS","FAIL"))</f>
        <v/>
      </c>
      <c r="J110" s="4" t="n"/>
      <c r="K110" s="4" t="n"/>
      <c r="L110" s="4" t="inlineStr">
        <is>
          <t>Low</t>
        </is>
      </c>
      <c r="M110" s="4" t="n"/>
    </row>
    <row r="111" ht="90" customHeight="1" s="16">
      <c r="A111" s="4" t="inlineStr">
        <is>
          <t>TC185</t>
        </is>
      </c>
      <c r="B111" s="4" t="inlineStr">
        <is>
          <t>Partner</t>
        </is>
      </c>
      <c r="C111" s="4" t="inlineStr">
        <is>
          <t>Earnings</t>
        </is>
      </c>
      <c r="D111" s="4" t="inlineStr">
        <is>
          <t>Compare Periods</t>
        </is>
      </c>
      <c r="E111" s="4" t="inlineStr">
        <is>
          <t>Compare Earnings Periods</t>
        </is>
      </c>
      <c r="F111" s="4" t="inlineStr">
        <is>
          <t>1. Select first period
2. Select comparison period
3. View comparison chart
4. Analyze differences</t>
        </is>
      </c>
      <c r="G111" s="13" t="inlineStr">
        <is>
          <t>https://nutrio.me/partner/payouts</t>
        </is>
      </c>
      <c r="H111" s="4" t="inlineStr">
        <is>
          <t>Period comparison displayed with growth/decline metrics</t>
        </is>
      </c>
      <c r="I111" s="4">
        <f>IF(J111="","",IF(J111=H111,"PASS","FAIL"))</f>
        <v/>
      </c>
      <c r="J111" s="4" t="n"/>
      <c r="K111" s="4" t="n"/>
      <c r="L111" s="4" t="inlineStr">
        <is>
          <t>Low</t>
        </is>
      </c>
      <c r="M111" s="4" t="n"/>
    </row>
    <row r="112" ht="90" customHeight="1" s="16">
      <c r="A112" s="4" t="inlineStr">
        <is>
          <t>TC186</t>
        </is>
      </c>
      <c r="B112" s="4" t="inlineStr">
        <is>
          <t>Partner</t>
        </is>
      </c>
      <c r="C112" s="4" t="inlineStr">
        <is>
          <t>Profile</t>
        </is>
      </c>
      <c r="D112" s="4" t="inlineStr">
        <is>
          <t>Change Password</t>
        </is>
      </c>
      <c r="E112" s="4" t="inlineStr">
        <is>
          <t>Change Account Password</t>
        </is>
      </c>
      <c r="F112" s="4" t="inlineStr">
        <is>
          <t>1. Go to profile
2. Click Change Password
3. Enter current password
4. Enter new password
5. Confirm
6. Logout and test new password</t>
        </is>
      </c>
      <c r="G112" s="13" t="inlineStr">
        <is>
          <t>https://nutrio.me/partner/profile</t>
        </is>
      </c>
      <c r="H112" s="4" t="inlineStr">
        <is>
          <t>Password changed successfully</t>
        </is>
      </c>
      <c r="I112" s="4">
        <f>IF(J112="","",IF(J112=H112,"PASS","FAIL"))</f>
        <v/>
      </c>
      <c r="J112" s="4" t="n"/>
      <c r="K112" s="4" t="n"/>
      <c r="L112" s="5" t="inlineStr">
        <is>
          <t>High</t>
        </is>
      </c>
      <c r="M112" s="4" t="n"/>
    </row>
    <row r="113" ht="75" customHeight="1" s="16">
      <c r="A113" s="4" t="inlineStr">
        <is>
          <t>TC187</t>
        </is>
      </c>
      <c r="B113" s="4" t="inlineStr">
        <is>
          <t>Partner</t>
        </is>
      </c>
      <c r="C113" s="4" t="inlineStr">
        <is>
          <t>Profile</t>
        </is>
      </c>
      <c r="D113" s="4" t="inlineStr">
        <is>
          <t>Two-Factor Auth</t>
        </is>
      </c>
      <c r="E113" s="4" t="inlineStr">
        <is>
          <t>Enable Two-Factor Authentication</t>
        </is>
      </c>
      <c r="F113" s="4" t="inlineStr">
        <is>
          <t>1. Go to security settings
2. Enable 2FA
3. Scan QR code
4. Enter verification code
5. Save backup codes</t>
        </is>
      </c>
      <c r="G113" s="13" t="inlineStr">
        <is>
          <t>https://nutrio.me/partner/profile</t>
        </is>
      </c>
      <c r="H113" s="4" t="inlineStr">
        <is>
          <t>2FA enabled, backup codes provided</t>
        </is>
      </c>
      <c r="I113" s="4">
        <f>IF(J113="","",IF(J113=H113,"PASS","FAIL"))</f>
        <v/>
      </c>
      <c r="J113" s="4" t="n"/>
      <c r="K113" s="4" t="n"/>
      <c r="L113" s="4" t="inlineStr">
        <is>
          <t>Low</t>
        </is>
      </c>
      <c r="M113" s="4" t="n"/>
    </row>
    <row r="114" ht="75" customHeight="1" s="16">
      <c r="A114" s="4" t="inlineStr">
        <is>
          <t>TC188</t>
        </is>
      </c>
      <c r="B114" s="4" t="inlineStr">
        <is>
          <t>Partner</t>
        </is>
      </c>
      <c r="C114" s="4" t="inlineStr">
        <is>
          <t>Profile</t>
        </is>
      </c>
      <c r="D114" s="4" t="inlineStr">
        <is>
          <t>Notification Preferences</t>
        </is>
      </c>
      <c r="E114" s="4" t="inlineStr">
        <is>
          <t>Set Notification Preferences</t>
        </is>
      </c>
      <c r="F114" s="4" t="inlineStr">
        <is>
          <t>1. Go to profile
2. Click Notifications
3. Toggle email notifications
4. Toggle WhatsApp notifications
5. Set quiet hours</t>
        </is>
      </c>
      <c r="G114" s="13" t="inlineStr">
        <is>
          <t>https://nutrio.me/partner/profile</t>
        </is>
      </c>
      <c r="H114" s="4" t="inlineStr">
        <is>
          <t>Notification preferences saved</t>
        </is>
      </c>
      <c r="I114" s="4">
        <f>IF(J114="","",IF(J114=H114,"PASS","FAIL"))</f>
        <v/>
      </c>
      <c r="J114" s="4" t="n"/>
      <c r="K114" s="4" t="n"/>
      <c r="L114" s="4" t="inlineStr">
        <is>
          <t>Low</t>
        </is>
      </c>
      <c r="M114" s="4" t="n"/>
    </row>
    <row r="115" ht="75" customHeight="1" s="16">
      <c r="A115" s="4" t="inlineStr">
        <is>
          <t>TC189</t>
        </is>
      </c>
      <c r="B115" s="4" t="inlineStr">
        <is>
          <t>Partner</t>
        </is>
      </c>
      <c r="C115" s="4" t="inlineStr">
        <is>
          <t>Profile</t>
        </is>
      </c>
      <c r="D115" s="4" t="inlineStr">
        <is>
          <t>API Access</t>
        </is>
      </c>
      <c r="E115" s="4" t="inlineStr">
        <is>
          <t>Generate API Key</t>
        </is>
      </c>
      <c r="F115" s="4" t="inlineStr">
        <is>
          <t>1. Go to profile
2. Click API Access
3. Generate new key
4. Copy and save key
5. View API documentation</t>
        </is>
      </c>
      <c r="G115" s="13" t="inlineStr">
        <is>
          <t>https://nutrio.me/partner/profile</t>
        </is>
      </c>
      <c r="H115" s="4" t="inlineStr">
        <is>
          <t>API key generated and displayed</t>
        </is>
      </c>
      <c r="I115" s="4">
        <f>IF(J115="","",IF(J115=H115,"PASS","FAIL"))</f>
        <v/>
      </c>
      <c r="J115" s="4" t="n"/>
      <c r="K115" s="4" t="n"/>
      <c r="L115" s="4" t="inlineStr">
        <is>
          <t>Low</t>
        </is>
      </c>
      <c r="M115" s="4" t="n"/>
    </row>
    <row r="116" ht="75" customHeight="1" s="16">
      <c r="A116" s="4" t="inlineStr">
        <is>
          <t>TC190</t>
        </is>
      </c>
      <c r="B116" s="4" t="inlineStr">
        <is>
          <t>Partner</t>
        </is>
      </c>
      <c r="C116" s="4" t="inlineStr">
        <is>
          <t>Profile</t>
        </is>
      </c>
      <c r="D116" s="4" t="inlineStr">
        <is>
          <t>Business Hours</t>
        </is>
      </c>
      <c r="E116" s="4" t="inlineStr">
        <is>
          <t>Set Special Hours</t>
        </is>
      </c>
      <c r="F116" s="4" t="inlineStr">
        <is>
          <t>1. Go to operating hours
2. Set regular hours
3. Add special hours (holidays)
4. Mark temporary closures
5. Save</t>
        </is>
      </c>
      <c r="G116" s="13" t="inlineStr">
        <is>
          <t>https://nutrio.me/partner/profile</t>
        </is>
      </c>
      <c r="H116" s="4" t="inlineStr">
        <is>
          <t>Special hours saved and applied</t>
        </is>
      </c>
      <c r="I116" s="4">
        <f>IF(J116="","",IF(J116=H116,"PASS","FAIL"))</f>
        <v/>
      </c>
      <c r="J116" s="4" t="n"/>
      <c r="K116" s="4" t="n"/>
      <c r="L116" s="6" t="inlineStr">
        <is>
          <t>Medium</t>
        </is>
      </c>
      <c r="M116" s="4" t="n"/>
    </row>
    <row r="117" ht="90" customHeight="1" s="16">
      <c r="A117" s="4" t="inlineStr">
        <is>
          <t>TC191</t>
        </is>
      </c>
      <c r="B117" s="4" t="inlineStr">
        <is>
          <t>Partner</t>
        </is>
      </c>
      <c r="C117" s="4" t="inlineStr">
        <is>
          <t>Profile</t>
        </is>
      </c>
      <c r="D117" s="4" t="inlineStr">
        <is>
          <t>Delivery Zones</t>
        </is>
      </c>
      <c r="E117" s="4" t="inlineStr">
        <is>
          <t>Set Delivery Zones</t>
        </is>
      </c>
      <c r="F117" s="4" t="inlineStr">
        <is>
          <t>1. Go to delivery settings
2. View map
3. Draw delivery zone
4. Set minimum order
5. Set delivery fee
6. Save</t>
        </is>
      </c>
      <c r="G117" s="13" t="inlineStr">
        <is>
          <t>https://nutrio.me/partner/profile</t>
        </is>
      </c>
      <c r="H117" s="4" t="inlineStr">
        <is>
          <t>Delivery zone saved and shown on map</t>
        </is>
      </c>
      <c r="I117" s="4">
        <f>IF(J117="","",IF(J117=H117,"PASS","FAIL"))</f>
        <v/>
      </c>
      <c r="J117" s="4" t="n"/>
      <c r="K117" s="4" t="n"/>
      <c r="L117" s="4" t="inlineStr">
        <is>
          <t>Low</t>
        </is>
      </c>
      <c r="M117" s="4" t="n"/>
    </row>
    <row r="118" ht="90" customHeight="1" s="16">
      <c r="A118" s="4" t="inlineStr">
        <is>
          <t>TC192</t>
        </is>
      </c>
      <c r="B118" s="4" t="inlineStr">
        <is>
          <t>Partner</t>
        </is>
      </c>
      <c r="C118" s="4" t="inlineStr">
        <is>
          <t>Profile</t>
        </is>
      </c>
      <c r="D118" s="4" t="inlineStr">
        <is>
          <t>Team Members</t>
        </is>
      </c>
      <c r="E118" s="4" t="inlineStr">
        <is>
          <t>Add Team Members</t>
        </is>
      </c>
      <c r="F118" s="4" t="inlineStr">
        <is>
          <t>1. Go to team management
2. Click Add Member
3. Enter email
4. Set role (Admin/Staff)
5. Send invitation</t>
        </is>
      </c>
      <c r="G118" s="13" t="inlineStr">
        <is>
          <t>https://nutrio.me/partner/profile/new</t>
        </is>
      </c>
      <c r="H118" s="4" t="inlineStr">
        <is>
          <t>Invitation sent, member can access with limited permissions</t>
        </is>
      </c>
      <c r="I118" s="4">
        <f>IF(J118="","",IF(J118=H118,"PASS","FAIL"))</f>
        <v/>
      </c>
      <c r="J118" s="4" t="n"/>
      <c r="K118" s="4" t="n"/>
      <c r="L118" s="4" t="inlineStr">
        <is>
          <t>Low</t>
        </is>
      </c>
      <c r="M118" s="4" t="n"/>
    </row>
    <row r="119" ht="60" customHeight="1" s="16">
      <c r="A119" s="4" t="inlineStr">
        <is>
          <t>TC193</t>
        </is>
      </c>
      <c r="B119" s="4" t="inlineStr">
        <is>
          <t>Partner</t>
        </is>
      </c>
      <c r="C119" s="4" t="inlineStr">
        <is>
          <t>Profile</t>
        </is>
      </c>
      <c r="D119" s="4" t="inlineStr">
        <is>
          <t>Remove Team Member</t>
        </is>
      </c>
      <c r="E119" s="4" t="inlineStr">
        <is>
          <t>Remove Team Member</t>
        </is>
      </c>
      <c r="F119" s="4" t="inlineStr">
        <is>
          <t>1. Go to team management
2. Find member
3. Click Remove
4. Confirm removal</t>
        </is>
      </c>
      <c r="G119" s="13" t="inlineStr">
        <is>
          <t>https://nutrio.me/partner/profile</t>
        </is>
      </c>
      <c r="H119" s="4" t="inlineStr">
        <is>
          <t>Member removed, access revoked</t>
        </is>
      </c>
      <c r="I119" s="4">
        <f>IF(J119="","",IF(J119=H119,"PASS","FAIL"))</f>
        <v/>
      </c>
      <c r="J119" s="4" t="n"/>
      <c r="K119" s="4" t="n"/>
      <c r="L119" s="4" t="inlineStr">
        <is>
          <t>Low</t>
        </is>
      </c>
      <c r="M119" s="4" t="n"/>
    </row>
    <row r="120" ht="75" customHeight="1" s="16">
      <c r="A120" s="4" t="inlineStr">
        <is>
          <t>TC194</t>
        </is>
      </c>
      <c r="B120" s="4" t="inlineStr">
        <is>
          <t>Partner</t>
        </is>
      </c>
      <c r="C120" s="4" t="inlineStr">
        <is>
          <t>Analytics</t>
        </is>
      </c>
      <c r="D120" s="4" t="inlineStr">
        <is>
          <t>View Analytics</t>
        </is>
      </c>
      <c r="E120" s="4" t="inlineStr">
        <is>
          <t>View Business Analytics</t>
        </is>
      </c>
      <c r="F120" s="4" t="inlineStr">
        <is>
          <t>1. Go to Analytics page
2. View order trends
3. View customer insights
4. View peak hours
5. Export analytics report</t>
        </is>
      </c>
      <c r="G120" s="13" t="inlineStr">
        <is>
          <t>https://nutrio.me/partner/analytics/[id]</t>
        </is>
      </c>
      <c r="H120" s="4" t="inlineStr">
        <is>
          <t>Analytics displayed with actionable insights</t>
        </is>
      </c>
      <c r="I120" s="4">
        <f>IF(J120="","",IF(J120=H120,"PASS","FAIL"))</f>
        <v/>
      </c>
      <c r="J120" s="4" t="n"/>
      <c r="K120" s="4" t="n"/>
      <c r="L120" s="6" t="inlineStr">
        <is>
          <t>Medium</t>
        </is>
      </c>
      <c r="M120" s="4" t="n"/>
    </row>
    <row r="121" ht="75" customHeight="1" s="16">
      <c r="A121" s="4" t="inlineStr">
        <is>
          <t>TC195</t>
        </is>
      </c>
      <c r="B121" s="4" t="inlineStr">
        <is>
          <t>Partner</t>
        </is>
      </c>
      <c r="C121" s="4" t="inlineStr">
        <is>
          <t>Analytics</t>
        </is>
      </c>
      <c r="D121" s="4" t="inlineStr">
        <is>
          <t>Customer Feedback</t>
        </is>
      </c>
      <c r="E121" s="4" t="inlineStr">
        <is>
          <t>View Customer Feedback</t>
        </is>
      </c>
      <c r="F121" s="4" t="inlineStr">
        <is>
          <t>1. Go to Reviews section
2. View all customer reviews
3. Filter by rating
4. Respond to review
5. Mark as resolved</t>
        </is>
      </c>
      <c r="G121" s="13" t="inlineStr">
        <is>
          <t>https://nutrio.me/partner/analytics/[id]</t>
        </is>
      </c>
      <c r="H121" s="4" t="inlineStr">
        <is>
          <t>Reviews displayed, can respond to customers</t>
        </is>
      </c>
      <c r="I121" s="4">
        <f>IF(J121="","",IF(J121=H121,"PASS","FAIL"))</f>
        <v/>
      </c>
      <c r="J121" s="4" t="n"/>
      <c r="K121" s="4" t="n"/>
      <c r="L121" s="6" t="inlineStr">
        <is>
          <t>Medium</t>
        </is>
      </c>
      <c r="M121" s="4" t="n"/>
    </row>
    <row r="122" ht="60" customHeight="1" s="16">
      <c r="A122" s="4" t="inlineStr">
        <is>
          <t>TC196</t>
        </is>
      </c>
      <c r="B122" s="4" t="inlineStr">
        <is>
          <t>Partner</t>
        </is>
      </c>
      <c r="C122" s="4" t="inlineStr">
        <is>
          <t>Analytics</t>
        </is>
      </c>
      <c r="D122" s="4" t="inlineStr">
        <is>
          <t>Performance Metrics</t>
        </is>
      </c>
      <c r="E122" s="4" t="inlineStr">
        <is>
          <t>View Detailed Performance Metrics</t>
        </is>
      </c>
      <c r="F122" s="4" t="inlineStr">
        <is>
          <t>1. View order fulfillment rate
2. View average prep time
3. View on-time delivery rate
4. Compare with industry average</t>
        </is>
      </c>
      <c r="G122" s="13" t="inlineStr">
        <is>
          <t>https://nutrio.me/partner/analytics/[id]</t>
        </is>
      </c>
      <c r="H122" s="4" t="inlineStr">
        <is>
          <t>All performance metrics displayed</t>
        </is>
      </c>
      <c r="I122" s="4">
        <f>IF(J122="","",IF(J122=H122,"PASS","FAIL"))</f>
        <v/>
      </c>
      <c r="J122" s="4" t="n"/>
      <c r="K122" s="4" t="n"/>
      <c r="L122" s="6" t="inlineStr">
        <is>
          <t>Medium</t>
        </is>
      </c>
      <c r="M122" s="4" t="n"/>
    </row>
    <row r="123" ht="75" customHeight="1" s="16">
      <c r="A123" s="4" t="inlineStr">
        <is>
          <t>TC197</t>
        </is>
      </c>
      <c r="B123" s="4" t="inlineStr">
        <is>
          <t>Partner</t>
        </is>
      </c>
      <c r="C123" s="4" t="inlineStr">
        <is>
          <t>Support</t>
        </is>
      </c>
      <c r="D123" s="4" t="inlineStr">
        <is>
          <t>Contact Support</t>
        </is>
      </c>
      <c r="E123" s="4" t="inlineStr">
        <is>
          <t>Contact Support via Dashboard</t>
        </is>
      </c>
      <c r="F123" s="4" t="inlineStr">
        <is>
          <t>1. Click Support button
2. Select issue type
3. Describe problem
4. Attach screenshot
5. Submit ticket</t>
        </is>
      </c>
      <c r="G123" s="13" t="inlineStr">
        <is>
          <t>https://nutrio.me/partner/support</t>
        </is>
      </c>
      <c r="H123" s="4" t="inlineStr">
        <is>
          <t>Support ticket created, confirmation shown</t>
        </is>
      </c>
      <c r="I123" s="4">
        <f>IF(J123="","",IF(J123=H123,"PASS","FAIL"))</f>
        <v/>
      </c>
      <c r="J123" s="4" t="n"/>
      <c r="K123" s="4" t="n"/>
      <c r="L123" s="5" t="inlineStr">
        <is>
          <t>High</t>
        </is>
      </c>
      <c r="M123" s="4" t="n"/>
    </row>
    <row r="124" ht="60" customHeight="1" s="16">
      <c r="A124" s="4" t="inlineStr">
        <is>
          <t>TC198</t>
        </is>
      </c>
      <c r="B124" s="4" t="inlineStr">
        <is>
          <t>Partner</t>
        </is>
      </c>
      <c r="C124" s="4" t="inlineStr">
        <is>
          <t>Support</t>
        </is>
      </c>
      <c r="D124" s="4" t="inlineStr">
        <is>
          <t>View Knowledge Base</t>
        </is>
      </c>
      <c r="E124" s="4" t="inlineStr">
        <is>
          <t>Access Knowledge Base</t>
        </is>
      </c>
      <c r="F124" s="4" t="inlineStr">
        <is>
          <t>1. Click Help
2. Browse articles
3. Search for topic
4. View article</t>
        </is>
      </c>
      <c r="G124" s="13" t="inlineStr">
        <is>
          <t>https://nutrio.me/partner/support</t>
        </is>
      </c>
      <c r="H124" s="4" t="inlineStr">
        <is>
          <t>Knowledge base articles displayed</t>
        </is>
      </c>
      <c r="I124" s="4">
        <f>IF(J124="","",IF(J124=H124,"PASS","FAIL"))</f>
        <v/>
      </c>
      <c r="J124" s="4" t="n"/>
      <c r="K124" s="4" t="n"/>
      <c r="L124" s="4" t="inlineStr">
        <is>
          <t>Low</t>
        </is>
      </c>
      <c r="M124" s="4" t="n"/>
    </row>
    <row r="125" ht="60" customHeight="1" s="16">
      <c r="A125" s="4" t="inlineStr">
        <is>
          <t>TC199</t>
        </is>
      </c>
      <c r="B125" s="4" t="inlineStr">
        <is>
          <t>Partner</t>
        </is>
      </c>
      <c r="C125" s="4" t="inlineStr">
        <is>
          <t>Support</t>
        </is>
      </c>
      <c r="D125" s="4" t="inlineStr">
        <is>
          <t>Live Chat</t>
        </is>
      </c>
      <c r="E125" s="4" t="inlineStr">
        <is>
          <t>Start Live Chat</t>
        </is>
      </c>
      <c r="F125" s="4" t="inlineStr">
        <is>
          <t>1. Click Chat icon
2. Start conversation
3. Send message
4. Receive response</t>
        </is>
      </c>
      <c r="G125" s="13" t="inlineStr">
        <is>
          <t>https://nutrio.me/partner/support</t>
        </is>
      </c>
      <c r="H125" s="4" t="inlineStr">
        <is>
          <t>Chat connected, messages exchanged</t>
        </is>
      </c>
      <c r="I125" s="4">
        <f>IF(J125="","",IF(J125=H125,"PASS","FAIL"))</f>
        <v/>
      </c>
      <c r="J125" s="4" t="n"/>
      <c r="K125" s="4" t="n"/>
      <c r="L125" s="6" t="inlineStr">
        <is>
          <t>Medium</t>
        </is>
      </c>
      <c r="M125" s="4" t="n"/>
    </row>
    <row r="126">
      <c r="G126" s="13" t="inlineStr">
        <is>
          <t>https://nutrio.me/</t>
        </is>
      </c>
      <c r="I126">
        <f>IF(J126="","",IF(J126=H126,"PASS","FAIL"))</f>
        <v/>
      </c>
    </row>
    <row r="127" ht="15.75" customHeight="1" s="16">
      <c r="A127" s="12" t="inlineStr">
        <is>
          <t>SUMMARY</t>
        </is>
      </c>
      <c r="G127" s="13" t="inlineStr">
        <is>
          <t>https://nutrio.me/</t>
        </is>
      </c>
      <c r="I127">
        <f>IF(J127="","",IF(J127=H127,"PASS","FAIL"))</f>
        <v/>
      </c>
    </row>
    <row r="128">
      <c r="A128" t="inlineStr">
        <is>
          <t>Total Tests:</t>
        </is>
      </c>
      <c r="B128">
        <f>COUNTA(A2:A126)</f>
        <v/>
      </c>
      <c r="G128" s="13" t="inlineStr">
        <is>
          <t>https://nutrio.me/</t>
        </is>
      </c>
      <c r="I128">
        <f>IF(J128="","",IF(J128=H128,"PASS","FAIL"))</f>
        <v/>
      </c>
    </row>
    <row r="129">
      <c r="A129" t="inlineStr">
        <is>
          <t>Passed:</t>
        </is>
      </c>
      <c r="B129">
        <f>COUNTIF(I2:I126,"PASS")</f>
        <v/>
      </c>
      <c r="G129" s="13" t="inlineStr">
        <is>
          <t>https://nutrio.me/</t>
        </is>
      </c>
      <c r="I129">
        <f>IF(J129="","",IF(J129=H129,"PASS","FAIL"))</f>
        <v/>
      </c>
    </row>
    <row r="130">
      <c r="A130" t="inlineStr">
        <is>
          <t>Failed:</t>
        </is>
      </c>
      <c r="B130">
        <f>COUNTIF(I2:I126,"FAIL")</f>
        <v/>
      </c>
      <c r="G130" s="13" t="inlineStr">
        <is>
          <t>https://nutrio.me/</t>
        </is>
      </c>
      <c r="I130">
        <f>IF(J130="","",IF(J130=H130,"PASS","FAIL"))</f>
        <v/>
      </c>
    </row>
    <row r="131">
      <c r="A131" t="inlineStr">
        <is>
          <t>Pass Rate:</t>
        </is>
      </c>
      <c r="B131" s="2">
        <f>IF(COUNTA(I2:I126)&gt;0,COUNTIF(I2:I126,"PASS")/COUNTA(I2:I126),0)</f>
        <v/>
      </c>
      <c r="G131" s="13" t="inlineStr">
        <is>
          <t>https://nutrio.me/</t>
        </is>
      </c>
      <c r="I131">
        <f>IF(J131="","",IF(J131=H131,"PASS","FAIL"))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tabSelected="1" topLeftCell="F1" workbookViewId="0">
      <selection activeCell="I15" sqref="I15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75" customHeight="1" s="16">
      <c r="A2" s="4" t="inlineStr">
        <is>
          <t>TC001</t>
        </is>
      </c>
      <c r="B2" s="4" t="inlineStr">
        <is>
          <t>Customer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Customer Login with Valid Credentials</t>
        </is>
      </c>
      <c r="F2" s="4" t="inlineStr">
        <is>
          <t>1. Navigate to /auth
2. Enter Email: eng.aljabor@gmail.com
3. Enter Password: 123456789
4. Click Sign In</t>
        </is>
      </c>
      <c r="G2" s="13" t="inlineStr">
        <is>
          <t>https://nutrio.me/auth</t>
        </is>
      </c>
      <c r="H2" s="4" t="inlineStr">
        <is>
          <t>User logged in and redirected to dashboard</t>
        </is>
      </c>
      <c r="I2" s="4" t="inlineStr">
        <is>
          <t>PASS</t>
        </is>
      </c>
      <c r="J2" s="4" t="n"/>
      <c r="K2" s="4" t="n"/>
      <c r="L2" s="5" t="inlineStr">
        <is>
          <t>High</t>
        </is>
      </c>
      <c r="M2" s="4" t="n"/>
    </row>
    <row r="3" ht="60" customHeight="1" s="16">
      <c r="A3" s="4" t="inlineStr">
        <is>
          <t>TC002</t>
        </is>
      </c>
      <c r="B3" s="4" t="inlineStr">
        <is>
          <t>Customer</t>
        </is>
      </c>
      <c r="C3" s="4" t="inlineStr">
        <is>
          <t>Auth</t>
        </is>
      </c>
      <c r="D3" s="4" t="inlineStr">
        <is>
          <t>Login</t>
        </is>
      </c>
      <c r="E3" s="4" t="inlineStr">
        <is>
          <t>Customer Login with Invalid Password</t>
        </is>
      </c>
      <c r="F3" s="4" t="inlineStr">
        <is>
          <t>1. Navigate to /auth
2. Enter valid email
3. Enter invalid password
4. Click Sign In</t>
        </is>
      </c>
      <c r="G3" s="13" t="inlineStr">
        <is>
          <t>https://nutrio.me/auth</t>
        </is>
      </c>
      <c r="H3" s="4" t="inlineStr">
        <is>
          <t>Error message: Invalid credentials</t>
        </is>
      </c>
      <c r="I3" s="4" t="inlineStr">
        <is>
          <t>PASS</t>
        </is>
      </c>
      <c r="J3" s="4" t="n"/>
      <c r="K3" s="4" t="n"/>
      <c r="L3" s="5" t="inlineStr">
        <is>
          <t>High</t>
        </is>
      </c>
      <c r="M3" s="4" t="n"/>
    </row>
    <row r="4" ht="90" customHeight="1" s="16">
      <c r="A4" s="4" t="inlineStr">
        <is>
          <t>TC003</t>
        </is>
      </c>
      <c r="B4" s="4" t="inlineStr">
        <is>
          <t>Customer</t>
        </is>
      </c>
      <c r="C4" s="4" t="inlineStr">
        <is>
          <t>Auth</t>
        </is>
      </c>
      <c r="D4" s="4" t="inlineStr">
        <is>
          <t>Registration</t>
        </is>
      </c>
      <c r="E4" s="4" t="inlineStr">
        <is>
          <t>New Customer Registration</t>
        </is>
      </c>
      <c r="F4" s="4" t="inlineStr">
        <is>
          <t>1. Navigate to /auth
2. Click Create Account
3. Fill all required fields
4. Click Sign Up
5. Verify email</t>
        </is>
      </c>
      <c r="G4" s="13" t="inlineStr">
        <is>
          <t>https://nutrio.me/auth</t>
        </is>
      </c>
      <c r="H4" s="4" t="inlineStr">
        <is>
          <t>Account created successfully, verification email sent</t>
        </is>
      </c>
      <c r="I4" s="4" t="inlineStr">
        <is>
          <t>FAIL</t>
        </is>
      </c>
      <c r="J4" s="4" t="inlineStr">
        <is>
          <t xml:space="preserve">not recivceing the email </t>
        </is>
      </c>
      <c r="K4" s="4" t="n"/>
      <c r="L4" s="5" t="inlineStr">
        <is>
          <t>High</t>
        </is>
      </c>
      <c r="M4" s="4" t="n"/>
    </row>
    <row r="5" ht="90" customHeight="1" s="16">
      <c r="A5" s="4" t="inlineStr">
        <is>
          <t>TC004</t>
        </is>
      </c>
      <c r="B5" s="4" t="inlineStr">
        <is>
          <t>Customer</t>
        </is>
      </c>
      <c r="C5" s="4" t="inlineStr">
        <is>
          <t>Auth</t>
        </is>
      </c>
      <c r="D5" s="4" t="inlineStr">
        <is>
          <t>Password Reset</t>
        </is>
      </c>
      <c r="E5" s="4" t="inlineStr">
        <is>
          <t>Password Reset Flow</t>
        </is>
      </c>
      <c r="F5" s="4" t="inlineStr">
        <is>
          <t>1. Click Forgot Password
2. Enter email
3. Click Reset
4. Check email
5. Click reset link
6. Enter new password</t>
        </is>
      </c>
      <c r="G5" s="13" t="inlineStr">
        <is>
          <t>https://nutrio.me/auth</t>
        </is>
      </c>
      <c r="H5" s="4" t="inlineStr">
        <is>
          <t>Password reset successful, can login with new password</t>
        </is>
      </c>
      <c r="I5" s="4" t="inlineStr">
        <is>
          <t>FAIL</t>
        </is>
      </c>
      <c r="J5" s="4" t="inlineStr">
        <is>
          <t xml:space="preserve">not recivceing the email </t>
        </is>
      </c>
      <c r="K5" s="4" t="n"/>
      <c r="L5" s="6" t="inlineStr">
        <is>
          <t>Medium</t>
        </is>
      </c>
      <c r="M5" s="4" t="n"/>
    </row>
    <row r="6" ht="75" customHeight="1" s="16">
      <c r="A6" s="4" t="inlineStr">
        <is>
          <t>TC005</t>
        </is>
      </c>
      <c r="B6" s="4" t="inlineStr">
        <is>
          <t>Customer</t>
        </is>
      </c>
      <c r="C6" s="4" t="inlineStr">
        <is>
          <t>Auth</t>
        </is>
      </c>
      <c r="D6" s="4" t="inlineStr">
        <is>
          <t>Logout</t>
        </is>
      </c>
      <c r="E6" s="4" t="inlineStr">
        <is>
          <t>Customer Logout</t>
        </is>
      </c>
      <c r="F6" s="4" t="inlineStr">
        <is>
          <t>1. Click user menu
2. Click Logout</t>
        </is>
      </c>
      <c r="G6" s="13" t="inlineStr">
        <is>
          <t>https://nutrio.me/auth</t>
        </is>
      </c>
      <c r="H6" s="4" t="inlineStr">
        <is>
          <t>User logged out, redirected to login page</t>
        </is>
      </c>
      <c r="I6" s="4" t="inlineStr">
        <is>
          <t xml:space="preserve"> PASS</t>
        </is>
      </c>
      <c r="J6" s="4" t="n"/>
      <c r="K6" s="4" t="n"/>
      <c r="L6" s="5" t="inlineStr">
        <is>
          <t>High</t>
        </is>
      </c>
      <c r="M6" s="4" t="n"/>
    </row>
    <row r="7" ht="105" customHeight="1" s="16">
      <c r="A7" s="4" t="inlineStr">
        <is>
          <t>TC006</t>
        </is>
      </c>
      <c r="B7" s="4" t="inlineStr">
        <is>
          <t>Customer</t>
        </is>
      </c>
      <c r="C7" s="4" t="inlineStr">
        <is>
          <t>Dashboard</t>
        </is>
      </c>
      <c r="D7" s="4" t="inlineStr">
        <is>
          <t>View</t>
        </is>
      </c>
      <c r="E7" s="4" t="inlineStr">
        <is>
          <t>Dashboard Load and Display</t>
        </is>
      </c>
      <c r="F7" s="4" t="inlineStr">
        <is>
          <t>1. Login as customer
2. Navigate to dashboard</t>
        </is>
      </c>
      <c r="G7" s="13" t="inlineStr">
        <is>
          <t>https://nutrio.me/dashboard</t>
        </is>
      </c>
      <c r="H7" s="4" t="inlineStr">
        <is>
          <t>Dashboard loads with subscription info, meals remaining, recent orders</t>
        </is>
      </c>
      <c r="I7" s="4" t="inlineStr">
        <is>
          <t>PASS</t>
        </is>
      </c>
      <c r="J7" s="4" t="n"/>
      <c r="K7" s="4" t="n"/>
      <c r="L7" s="5" t="inlineStr">
        <is>
          <t>High</t>
        </is>
      </c>
      <c r="M7" s="4" t="n"/>
    </row>
    <row r="8" ht="60" customHeight="1" s="16">
      <c r="A8" s="4" t="inlineStr">
        <is>
          <t>TC007</t>
        </is>
      </c>
      <c r="B8" s="4" t="inlineStr">
        <is>
          <t>Customer</t>
        </is>
      </c>
      <c r="C8" s="4" t="inlineStr">
        <is>
          <t>Dashboard</t>
        </is>
      </c>
      <c r="D8" s="4" t="inlineStr">
        <is>
          <t>Navigation</t>
        </is>
      </c>
      <c r="E8" s="4" t="inlineStr">
        <is>
          <t>Dashboard Navigation Links</t>
        </is>
      </c>
      <c r="F8" s="4" t="inlineStr">
        <is>
          <t>1. On dashboard
2. Click each navigation link (Meals, Orders, Profile, etc.)</t>
        </is>
      </c>
      <c r="G8" s="13" t="inlineStr">
        <is>
          <t>https://nutrio.me/dashboard</t>
        </is>
      </c>
      <c r="H8" s="4" t="inlineStr">
        <is>
          <t>All links navigate to correct pages</t>
        </is>
      </c>
      <c r="I8" s="4" t="inlineStr">
        <is>
          <t>PASS</t>
        </is>
      </c>
      <c r="J8" s="4" t="n"/>
      <c r="K8" s="4" t="n"/>
      <c r="L8" s="5" t="inlineStr">
        <is>
          <t>High</t>
        </is>
      </c>
      <c r="M8" s="4" t="n"/>
    </row>
    <row r="9" ht="60" customHeight="1" s="16">
      <c r="A9" s="4" t="inlineStr">
        <is>
          <t>TC008</t>
        </is>
      </c>
      <c r="B9" s="4" t="inlineStr">
        <is>
          <t>Customer</t>
        </is>
      </c>
      <c r="C9" s="4" t="inlineStr">
        <is>
          <t>Dashboard</t>
        </is>
      </c>
      <c r="D9" s="4" t="inlineStr">
        <is>
          <t>Quick Actions</t>
        </is>
      </c>
      <c r="E9" s="4" t="inlineStr">
        <is>
          <t>Dashboard Quick Action Buttons</t>
        </is>
      </c>
      <c r="F9" s="4" t="inlineStr">
        <is>
          <t>1. On dashboard
2. Click 'Browse Meals'
3. Click 'View Orders'
4. Click 'Refer Friends'</t>
        </is>
      </c>
      <c r="G9" s="13" t="inlineStr">
        <is>
          <t>https://nutrio.me/dashboard</t>
        </is>
      </c>
      <c r="H9" s="4" t="inlineStr">
        <is>
          <t>Each button performs correct action</t>
        </is>
      </c>
      <c r="I9" s="4" t="inlineStr">
        <is>
          <t>PASS</t>
        </is>
      </c>
      <c r="J9" s="4" t="n"/>
      <c r="K9" s="4" t="n"/>
      <c r="L9" s="6" t="inlineStr">
        <is>
          <t>Medium</t>
        </is>
      </c>
      <c r="M9" s="4" t="n"/>
    </row>
    <row r="10" ht="75" customHeight="1" s="16">
      <c r="A10" s="4" t="inlineStr">
        <is>
          <t>TC009</t>
        </is>
      </c>
      <c r="B10" s="4" t="inlineStr">
        <is>
          <t>Customer</t>
        </is>
      </c>
      <c r="C10" s="4" t="inlineStr">
        <is>
          <t>Subscription</t>
        </is>
      </c>
      <c r="D10" s="4" t="inlineStr">
        <is>
          <t>View Plans</t>
        </is>
      </c>
      <c r="E10" s="4" t="inlineStr">
        <is>
          <t>View Subscription Plans</t>
        </is>
      </c>
      <c r="F10" s="4" t="inlineStr">
        <is>
          <t>1. Navigate to /subscription
2. View all 4 tiers</t>
        </is>
      </c>
      <c r="G10" s="13" t="inlineStr">
        <is>
          <t>https://nutrio.me/subscription/[id]</t>
        </is>
      </c>
      <c r="H10" s="4" t="inlineStr">
        <is>
          <t>All plans displayed with correct pricing and features</t>
        </is>
      </c>
      <c r="I10" s="4" t="inlineStr">
        <is>
          <t>PASS</t>
        </is>
      </c>
      <c r="J10" s="4" t="n"/>
      <c r="K10" s="4" t="n"/>
      <c r="L10" s="5" t="inlineStr">
        <is>
          <t>High</t>
        </is>
      </c>
      <c r="M10" s="4" t="n"/>
    </row>
    <row r="11" ht="60" customHeight="1" s="16">
      <c r="A11" s="4" t="inlineStr">
        <is>
          <t>TC010</t>
        </is>
      </c>
      <c r="B11" s="4" t="inlineStr">
        <is>
          <t>Customer</t>
        </is>
      </c>
      <c r="C11" s="4" t="inlineStr">
        <is>
          <t>Subscription</t>
        </is>
      </c>
      <c r="D11" s="4" t="inlineStr">
        <is>
          <t>Subscribe Basic</t>
        </is>
      </c>
      <c r="E11" s="4" t="inlineStr">
        <is>
          <t>Subscribe to Basic Plan</t>
        </is>
      </c>
      <c r="F11" s="4" t="inlineStr">
        <is>
          <t>1. Click Basic plan
2. Click Subscribe
3. Complete Sadad payment
4. Verify subscription active</t>
        </is>
      </c>
      <c r="G11" s="13" t="inlineStr">
        <is>
          <t>https://nutrio.me/subscription</t>
        </is>
      </c>
      <c r="H11" s="4" t="inlineStr">
        <is>
          <t>Subscription activated, meals allocated</t>
        </is>
      </c>
      <c r="I11" s="4" t="inlineStr">
        <is>
          <t>FAIL</t>
        </is>
      </c>
      <c r="J11" s="4" t="inlineStr">
        <is>
          <t>NO PAYMENT GATWAY</t>
        </is>
      </c>
      <c r="K11" s="4" t="n"/>
      <c r="L11" s="5" t="inlineStr">
        <is>
          <t>High</t>
        </is>
      </c>
      <c r="M11" s="4" t="n"/>
    </row>
    <row r="12" ht="60" customHeight="1" s="16">
      <c r="A12" s="4" t="inlineStr">
        <is>
          <t>TC011</t>
        </is>
      </c>
      <c r="B12" s="4" t="inlineStr">
        <is>
          <t>Customer</t>
        </is>
      </c>
      <c r="C12" s="4" t="inlineStr">
        <is>
          <t>Subscription</t>
        </is>
      </c>
      <c r="D12" s="4" t="inlineStr">
        <is>
          <t>Subscribe Standard</t>
        </is>
      </c>
      <c r="E12" s="4" t="inlineStr">
        <is>
          <t>Subscribe to Standard Plan</t>
        </is>
      </c>
      <c r="F12" s="4" t="inlineStr">
        <is>
          <t>1. Click Standard plan
2. Click Subscribe
3. Complete payment</t>
        </is>
      </c>
      <c r="G12" s="13" t="inlineStr">
        <is>
          <t>https://nutrio.me/subscription</t>
        </is>
      </c>
      <c r="H12" s="4" t="inlineStr">
        <is>
          <t>Subscription activated with 10 meals/week</t>
        </is>
      </c>
      <c r="I12" s="4" t="inlineStr">
        <is>
          <t>FAIL</t>
        </is>
      </c>
      <c r="J12" s="4" t="inlineStr">
        <is>
          <t>NO PAYMENT GATWAY</t>
        </is>
      </c>
      <c r="K12" s="4" t="n"/>
      <c r="L12" s="5" t="inlineStr">
        <is>
          <t>High</t>
        </is>
      </c>
      <c r="M12" s="4" t="n"/>
    </row>
    <row r="13" ht="60" customHeight="1" s="16">
      <c r="A13" s="4" t="inlineStr">
        <is>
          <t>TC012</t>
        </is>
      </c>
      <c r="B13" s="4" t="inlineStr">
        <is>
          <t>Customer</t>
        </is>
      </c>
      <c r="C13" s="4" t="inlineStr">
        <is>
          <t>Subscription</t>
        </is>
      </c>
      <c r="D13" s="4" t="inlineStr">
        <is>
          <t>Subscribe Premium</t>
        </is>
      </c>
      <c r="E13" s="4" t="inlineStr">
        <is>
          <t>Subscribe to Premium Plan</t>
        </is>
      </c>
      <c r="F13" s="4" t="inlineStr">
        <is>
          <t>1. Click Premium plan
2. Complete payment</t>
        </is>
      </c>
      <c r="G13" s="13" t="inlineStr">
        <is>
          <t>https://nutrio.me/subscription</t>
        </is>
      </c>
      <c r="H13" s="4" t="inlineStr">
        <is>
          <t>Subscription activated with 15 meals/week</t>
        </is>
      </c>
      <c r="I13" s="4" t="inlineStr">
        <is>
          <t>FAIL</t>
        </is>
      </c>
      <c r="J13" s="4" t="inlineStr">
        <is>
          <t>NO PAYMENT GATWAY</t>
        </is>
      </c>
      <c r="K13" s="4" t="n"/>
      <c r="L13" s="5" t="inlineStr">
        <is>
          <t>High</t>
        </is>
      </c>
      <c r="M13" s="4" t="n"/>
    </row>
    <row r="14" ht="75" customHeight="1" s="16">
      <c r="A14" s="4" t="inlineStr">
        <is>
          <t>TC013</t>
        </is>
      </c>
      <c r="B14" s="4" t="inlineStr">
        <is>
          <t>Customer</t>
        </is>
      </c>
      <c r="C14" s="4" t="inlineStr">
        <is>
          <t>Subscription</t>
        </is>
      </c>
      <c r="D14" s="4" t="inlineStr">
        <is>
          <t>Subscribe VIP</t>
        </is>
      </c>
      <c r="E14" s="4" t="inlineStr">
        <is>
          <t>Subscribe to VIP Plan</t>
        </is>
      </c>
      <c r="F14" s="4" t="inlineStr">
        <is>
          <t>1. Click VIP plan
2. Complete payment</t>
        </is>
      </c>
      <c r="G14" s="13" t="inlineStr">
        <is>
          <t>https://nutrio.me/subscription</t>
        </is>
      </c>
      <c r="H14" s="4" t="inlineStr">
        <is>
          <t>Subscription activated with unlimited meals</t>
        </is>
      </c>
      <c r="I14" s="4" t="inlineStr">
        <is>
          <t>FAIL</t>
        </is>
      </c>
      <c r="J14" s="4" t="inlineStr">
        <is>
          <t>NO PAYMENT GATWAY</t>
        </is>
      </c>
      <c r="K14" s="4" t="n"/>
      <c r="L14" s="5" t="inlineStr">
        <is>
          <t>High</t>
        </is>
      </c>
      <c r="M14" s="4" t="n"/>
    </row>
    <row r="15" ht="75" customHeight="1" s="16">
      <c r="A15" s="4" t="inlineStr">
        <is>
          <t>TC014</t>
        </is>
      </c>
      <c r="B15" s="4" t="inlineStr">
        <is>
          <t>Customer</t>
        </is>
      </c>
      <c r="C15" s="4" t="inlineStr">
        <is>
          <t>Subscription</t>
        </is>
      </c>
      <c r="D15" s="4" t="inlineStr">
        <is>
          <t>Upgrade</t>
        </is>
      </c>
      <c r="E15" s="4" t="inlineStr">
        <is>
          <t>Upgrade Subscription Plan</t>
        </is>
      </c>
      <c r="F15" s="4" t="inlineStr">
        <is>
          <t>1. Go to subscription page
2. Click Upgrade
3. Select higher tier
4. Pay difference</t>
        </is>
      </c>
      <c r="G15" s="13" t="inlineStr">
        <is>
          <t>https://nutrio.me/subscription</t>
        </is>
      </c>
      <c r="H15" s="4" t="inlineStr">
        <is>
          <t>Plan upgraded, new meal limit applied</t>
        </is>
      </c>
      <c r="I15" s="4" t="inlineStr">
        <is>
          <t>FAIL</t>
        </is>
      </c>
      <c r="J15" s="4" t="inlineStr">
        <is>
          <t>NO PAYMENT GATWAY</t>
        </is>
      </c>
      <c r="K15" s="4" t="n"/>
      <c r="L15" s="6" t="inlineStr">
        <is>
          <t>Medium</t>
        </is>
      </c>
      <c r="M15" s="4" t="n"/>
    </row>
    <row r="16" ht="75" customHeight="1" s="16">
      <c r="A16" s="4" t="inlineStr">
        <is>
          <t>TC015</t>
        </is>
      </c>
      <c r="B16" s="4" t="inlineStr">
        <is>
          <t>Customer</t>
        </is>
      </c>
      <c r="C16" s="4" t="inlineStr">
        <is>
          <t>Subscription</t>
        </is>
      </c>
      <c r="D16" s="4" t="inlineStr">
        <is>
          <t>Downgrade</t>
        </is>
      </c>
      <c r="E16" s="4" t="inlineStr">
        <is>
          <t>Downgrade Subscription Plan</t>
        </is>
      </c>
      <c r="F16" s="4" t="inlineStr">
        <is>
          <t>1. Go to subscription page
2. Click Downgrade
3. Select lower tier</t>
        </is>
      </c>
      <c r="G16" s="13" t="inlineStr">
        <is>
          <t>https://nutrio.me/subscription</t>
        </is>
      </c>
      <c r="H16" s="4" t="inlineStr">
        <is>
          <t>Plan downgraded effective next billing cycle</t>
        </is>
      </c>
      <c r="I16" s="4" t="inlineStr">
        <is>
          <t>FAIL</t>
        </is>
      </c>
      <c r="J16" s="4" t="inlineStr">
        <is>
          <t>NO PAYMENT GATWAY</t>
        </is>
      </c>
      <c r="K16" s="4" t="n"/>
      <c r="L16" s="6" t="inlineStr">
        <is>
          <t>Medium</t>
        </is>
      </c>
      <c r="M16" s="4" t="n"/>
    </row>
    <row r="17" ht="60" customHeight="1" s="16">
      <c r="A17" s="4" t="inlineStr">
        <is>
          <t>TC016</t>
        </is>
      </c>
      <c r="B17" s="4" t="inlineStr">
        <is>
          <t>Customer</t>
        </is>
      </c>
      <c r="C17" s="4" t="inlineStr">
        <is>
          <t>Subscription</t>
        </is>
      </c>
      <c r="D17" s="4" t="inlineStr">
        <is>
          <t>Pause</t>
        </is>
      </c>
      <c r="E17" s="4" t="inlineStr">
        <is>
          <t>Pause Subscription</t>
        </is>
      </c>
      <c r="F17" s="4" t="inlineStr">
        <is>
          <t>1. Go to subscription
2. Click Pause
3. Confirm</t>
        </is>
      </c>
      <c r="G17" s="13" t="inlineStr">
        <is>
          <t>https://nutrio.me/subscription</t>
        </is>
      </c>
      <c r="H17" s="4" t="inlineStr">
        <is>
          <t>Subscription paused, no new orders possible</t>
        </is>
      </c>
      <c r="I17" s="4">
        <f>IF(J17="","",IF(J17=H17,"PASS","FAIL"))</f>
        <v/>
      </c>
      <c r="J17" s="4" t="n"/>
      <c r="K17" s="4" t="n"/>
      <c r="L17" s="6" t="inlineStr">
        <is>
          <t>Medium</t>
        </is>
      </c>
      <c r="M17" s="4" t="n"/>
    </row>
    <row r="18" ht="60" customHeight="1" s="16">
      <c r="A18" s="4" t="inlineStr">
        <is>
          <t>TC017</t>
        </is>
      </c>
      <c r="B18" s="4" t="inlineStr">
        <is>
          <t>Customer</t>
        </is>
      </c>
      <c r="C18" s="4" t="inlineStr">
        <is>
          <t>Subscription</t>
        </is>
      </c>
      <c r="D18" s="4" t="inlineStr">
        <is>
          <t>Resume</t>
        </is>
      </c>
      <c r="E18" s="4" t="inlineStr">
        <is>
          <t>Resume Subscription</t>
        </is>
      </c>
      <c r="F18" s="4" t="inlineStr">
        <is>
          <t>1. Go to subscription
2. Click Resume
3. Confirm</t>
        </is>
      </c>
      <c r="G18" s="13" t="inlineStr">
        <is>
          <t>https://nutrio.me/subscription</t>
        </is>
      </c>
      <c r="H18" s="4" t="inlineStr">
        <is>
          <t>Subscription resumed, can order again</t>
        </is>
      </c>
      <c r="I18" s="4">
        <f>IF(J18="","",IF(J18=H18,"PASS","FAIL"))</f>
        <v/>
      </c>
      <c r="J18" s="4" t="n"/>
      <c r="K18" s="4" t="n"/>
      <c r="L18" s="6" t="inlineStr">
        <is>
          <t>Medium</t>
        </is>
      </c>
      <c r="M18" s="4" t="n"/>
    </row>
    <row r="19" ht="60" customHeight="1" s="16">
      <c r="A19" s="4" t="inlineStr">
        <is>
          <t>TC018</t>
        </is>
      </c>
      <c r="B19" s="4" t="inlineStr">
        <is>
          <t>Customer</t>
        </is>
      </c>
      <c r="C19" s="4" t="inlineStr">
        <is>
          <t>Subscription</t>
        </is>
      </c>
      <c r="D19" s="4" t="inlineStr">
        <is>
          <t>Cancel</t>
        </is>
      </c>
      <c r="E19" s="4" t="inlineStr">
        <is>
          <t>Cancel Subscription</t>
        </is>
      </c>
      <c r="F19" s="4" t="inlineStr">
        <is>
          <t>1. Go to subscription
2. Click Cancel
3. Confirm cancellation</t>
        </is>
      </c>
      <c r="G19" s="13" t="inlineStr">
        <is>
          <t>https://nutrio.me/subscription</t>
        </is>
      </c>
      <c r="H19" s="4" t="inlineStr">
        <is>
          <t>Subscription cancelled, access until end date</t>
        </is>
      </c>
      <c r="I19" s="4">
        <f>IF(J19="","",IF(J19=H19,"PASS","FAIL"))</f>
        <v/>
      </c>
      <c r="J19" s="4" t="n"/>
      <c r="K19" s="4" t="n"/>
      <c r="L19" s="6" t="inlineStr">
        <is>
          <t>Medium</t>
        </is>
      </c>
      <c r="M19" s="4" t="n"/>
    </row>
    <row r="20" ht="75" customHeight="1" s="16">
      <c r="A20" s="4" t="inlineStr">
        <is>
          <t>TC019</t>
        </is>
      </c>
      <c r="B20" s="4" t="inlineStr">
        <is>
          <t>Customer</t>
        </is>
      </c>
      <c r="C20" s="4" t="inlineStr">
        <is>
          <t>Subscription</t>
        </is>
      </c>
      <c r="D20" s="4" t="inlineStr">
        <is>
          <t>Usage Display</t>
        </is>
      </c>
      <c r="E20" s="4" t="inlineStr">
        <is>
          <t>Check Weekly Meal Usage</t>
        </is>
      </c>
      <c r="F20" s="4" t="inlineStr">
        <is>
          <t>1. Go to dashboard
2. View meals remaining indicator</t>
        </is>
      </c>
      <c r="G20" s="13" t="inlineStr">
        <is>
          <t>https://nutrio.me/subscription</t>
        </is>
      </c>
      <c r="H20" s="4" t="inlineStr">
        <is>
          <t>Correct number of meals remaining displayed</t>
        </is>
      </c>
      <c r="I20" s="4">
        <f>IF(J20="","",IF(J20=H20,"PASS","FAIL"))</f>
        <v/>
      </c>
      <c r="J20" s="4" t="n"/>
      <c r="K20" s="4" t="n"/>
      <c r="L20" s="5" t="inlineStr">
        <is>
          <t>High</t>
        </is>
      </c>
      <c r="M20" s="4" t="n"/>
    </row>
    <row r="21" ht="105" customHeight="1" s="16">
      <c r="A21" s="4" t="inlineStr">
        <is>
          <t>TC020</t>
        </is>
      </c>
      <c r="B21" s="4" t="inlineStr">
        <is>
          <t>Customer</t>
        </is>
      </c>
      <c r="C21" s="4" t="inlineStr">
        <is>
          <t>Meals</t>
        </is>
      </c>
      <c r="D21" s="4" t="inlineStr">
        <is>
          <t>Browse</t>
        </is>
      </c>
      <c r="E21" s="4" t="inlineStr">
        <is>
          <t>Browse All Meals</t>
        </is>
      </c>
      <c r="F21" s="4" t="inlineStr">
        <is>
          <t>1. Navigate to /meals
2. View meal listings</t>
        </is>
      </c>
      <c r="G21" s="13" t="inlineStr">
        <is>
          <t>https://nutrio.me/meals</t>
        </is>
      </c>
      <c r="H21" s="4" t="inlineStr">
        <is>
          <t>All available meals displayed with images, names, restaurants</t>
        </is>
      </c>
      <c r="I21" s="4">
        <f>IF(J21="","",IF(J21=H21,"PASS","FAIL"))</f>
        <v/>
      </c>
      <c r="J21" s="4" t="n"/>
      <c r="K21" s="4" t="n"/>
      <c r="L21" s="5" t="inlineStr">
        <is>
          <t>High</t>
        </is>
      </c>
      <c r="M21" s="4" t="n"/>
    </row>
    <row r="22" ht="75" customHeight="1" s="16">
      <c r="A22" s="4" t="inlineStr">
        <is>
          <t>TC021</t>
        </is>
      </c>
      <c r="B22" s="4" t="inlineStr">
        <is>
          <t>Customer</t>
        </is>
      </c>
      <c r="C22" s="4" t="inlineStr">
        <is>
          <t>Meals</t>
        </is>
      </c>
      <c r="D22" s="4" t="inlineStr">
        <is>
          <t>Filter Restaurant</t>
        </is>
      </c>
      <c r="E22" s="4" t="inlineStr">
        <is>
          <t>Filter by Restaurant</t>
        </is>
      </c>
      <c r="F22" s="4" t="inlineStr">
        <is>
          <t>1. On meals page
2. Click restaurant filter
3. Select specific restaurant</t>
        </is>
      </c>
      <c r="G22" s="13" t="inlineStr">
        <is>
          <t>https://nutrio.me/meals?filter=[value]</t>
        </is>
      </c>
      <c r="H22" s="4" t="inlineStr">
        <is>
          <t>Only meals from selected restaurant displayed</t>
        </is>
      </c>
      <c r="I22" s="4">
        <f>IF(J22="","",IF(J22=H22,"PASS","FAIL"))</f>
        <v/>
      </c>
      <c r="J22" s="4" t="n"/>
      <c r="K22" s="4" t="n"/>
      <c r="L22" s="5" t="inlineStr">
        <is>
          <t>High</t>
        </is>
      </c>
      <c r="M22" s="4" t="n"/>
    </row>
    <row r="23" ht="45" customHeight="1" s="16">
      <c r="A23" s="4" t="inlineStr">
        <is>
          <t>TC022</t>
        </is>
      </c>
      <c r="B23" s="4" t="inlineStr">
        <is>
          <t>Customer</t>
        </is>
      </c>
      <c r="C23" s="4" t="inlineStr">
        <is>
          <t>Meals</t>
        </is>
      </c>
      <c r="D23" s="4" t="inlineStr">
        <is>
          <t>Filter Diet</t>
        </is>
      </c>
      <c r="E23" s="4" t="inlineStr">
        <is>
          <t>Filter by Dietary Tags</t>
        </is>
      </c>
      <c r="F23" s="4" t="inlineStr">
        <is>
          <t>1. On meals page
2. Click diet filter
3. Select 'Keto'</t>
        </is>
      </c>
      <c r="G23" s="13" t="inlineStr">
        <is>
          <t>https://nutrio.me/meals?filter=[value]</t>
        </is>
      </c>
      <c r="H23" s="4" t="inlineStr">
        <is>
          <t>Only keto meals displayed</t>
        </is>
      </c>
      <c r="I23" s="4">
        <f>IF(J23="","",IF(J23=H23,"PASS","FAIL"))</f>
        <v/>
      </c>
      <c r="J23" s="4" t="n"/>
      <c r="K23" s="4" t="n"/>
      <c r="L23" s="5" t="inlineStr">
        <is>
          <t>High</t>
        </is>
      </c>
      <c r="M23" s="4" t="n"/>
    </row>
    <row r="24" ht="75" customHeight="1" s="16">
      <c r="A24" s="4" t="inlineStr">
        <is>
          <t>TC023</t>
        </is>
      </c>
      <c r="B24" s="4" t="inlineStr">
        <is>
          <t>Customer</t>
        </is>
      </c>
      <c r="C24" s="4" t="inlineStr">
        <is>
          <t>Meals</t>
        </is>
      </c>
      <c r="D24" s="4" t="inlineStr">
        <is>
          <t>Filter Calories</t>
        </is>
      </c>
      <c r="E24" s="4" t="inlineStr">
        <is>
          <t>Filter by Calories</t>
        </is>
      </c>
      <c r="F24" s="4" t="inlineStr">
        <is>
          <t>1. On meals page
2. Set calorie range
3. Apply filter</t>
        </is>
      </c>
      <c r="G24" s="13" t="inlineStr">
        <is>
          <t>https://nutrio.me/meals?filter=[value]</t>
        </is>
      </c>
      <c r="H24" s="4" t="inlineStr">
        <is>
          <t>Meals within calorie range displayed</t>
        </is>
      </c>
      <c r="I24" s="4">
        <f>IF(J24="","",IF(J24=H24,"PASS","FAIL"))</f>
        <v/>
      </c>
      <c r="J24" s="4" t="n"/>
      <c r="K24" s="4" t="n"/>
      <c r="L24" s="6" t="inlineStr">
        <is>
          <t>Medium</t>
        </is>
      </c>
      <c r="M24" s="4" t="n"/>
    </row>
    <row r="25" ht="75" customHeight="1" s="16">
      <c r="A25" s="4" t="inlineStr">
        <is>
          <t>TC024</t>
        </is>
      </c>
      <c r="B25" s="4" t="inlineStr">
        <is>
          <t>Customer</t>
        </is>
      </c>
      <c r="C25" s="4" t="inlineStr">
        <is>
          <t>Meals</t>
        </is>
      </c>
      <c r="D25" s="4" t="inlineStr">
        <is>
          <t>Search</t>
        </is>
      </c>
      <c r="E25" s="4" t="inlineStr">
        <is>
          <t>Search Meals</t>
        </is>
      </c>
      <c r="F25" s="4" t="inlineStr">
        <is>
          <t>1. Enter search term in search box
2. Press Enter</t>
        </is>
      </c>
      <c r="G25" s="13" t="inlineStr">
        <is>
          <t>https://nutrio.me/meals?q=[search-term]</t>
        </is>
      </c>
      <c r="H25" s="4" t="inlineStr">
        <is>
          <t>Search results displayed matching query</t>
        </is>
      </c>
      <c r="I25" s="4">
        <f>IF(J25="","",IF(J25=H25,"PASS","FAIL"))</f>
        <v/>
      </c>
      <c r="J25" s="4" t="n"/>
      <c r="K25" s="4" t="n"/>
      <c r="L25" s="5" t="inlineStr">
        <is>
          <t>High</t>
        </is>
      </c>
      <c r="M25" s="4" t="n"/>
    </row>
    <row r="26" ht="105" customHeight="1" s="16">
      <c r="A26" s="4" t="inlineStr">
        <is>
          <t>TC025</t>
        </is>
      </c>
      <c r="B26" s="4" t="inlineStr">
        <is>
          <t>Customer</t>
        </is>
      </c>
      <c r="C26" s="4" t="inlineStr">
        <is>
          <t>Meals</t>
        </is>
      </c>
      <c r="D26" s="4" t="inlineStr">
        <is>
          <t>Meal Details</t>
        </is>
      </c>
      <c r="E26" s="4" t="inlineStr">
        <is>
          <t>View Meal Details</t>
        </is>
      </c>
      <c r="F26" s="4" t="inlineStr">
        <is>
          <t>1. Click on any meal card
2. View details page</t>
        </is>
      </c>
      <c r="G26" s="13" t="inlineStr">
        <is>
          <t>https://nutrio.me/meals/[id]</t>
        </is>
      </c>
      <c r="H26" s="4" t="inlineStr">
        <is>
          <t>Full meal info displayed: ingredients, nutrition, prep time, restaurant</t>
        </is>
      </c>
      <c r="I26" s="4">
        <f>IF(J26="","",IF(J26=H26,"PASS","FAIL"))</f>
        <v/>
      </c>
      <c r="J26" s="4" t="n"/>
      <c r="K26" s="4" t="n"/>
      <c r="L26" s="5" t="inlineStr">
        <is>
          <t>High</t>
        </is>
      </c>
      <c r="M26" s="4" t="n"/>
    </row>
    <row r="27" ht="60" customHeight="1" s="16">
      <c r="A27" s="4" t="inlineStr">
        <is>
          <t>TC026</t>
        </is>
      </c>
      <c r="B27" s="4" t="inlineStr">
        <is>
          <t>Customer</t>
        </is>
      </c>
      <c r="C27" s="4" t="inlineStr">
        <is>
          <t>Meals</t>
        </is>
      </c>
      <c r="D27" s="4" t="inlineStr">
        <is>
          <t>Add to Order</t>
        </is>
      </c>
      <c r="E27" s="4" t="inlineStr">
        <is>
          <t>Add Meal to Order</t>
        </is>
      </c>
      <c r="F27" s="4" t="inlineStr">
        <is>
          <t>1. On meal details
2. Click 'Add to Order'
3. Select quantity</t>
        </is>
      </c>
      <c r="G27" s="13" t="inlineStr">
        <is>
          <t>https://nutrio.me/meals/new</t>
        </is>
      </c>
      <c r="H27" s="4" t="inlineStr">
        <is>
          <t>Meal added to cart, confirmation shown</t>
        </is>
      </c>
      <c r="I27" s="4">
        <f>IF(J27="","",IF(J27=H27,"PASS","FAIL"))</f>
        <v/>
      </c>
      <c r="J27" s="4" t="n"/>
      <c r="K27" s="4" t="n"/>
      <c r="L27" s="5" t="inlineStr">
        <is>
          <t>High</t>
        </is>
      </c>
      <c r="M27" s="4" t="n"/>
    </row>
    <row r="28" ht="90" customHeight="1" s="16">
      <c r="A28" s="4" t="inlineStr">
        <is>
          <t>TC027</t>
        </is>
      </c>
      <c r="B28" s="4" t="inlineStr">
        <is>
          <t>Customer</t>
        </is>
      </c>
      <c r="C28" s="4" t="inlineStr">
        <is>
          <t>Meals</t>
        </is>
      </c>
      <c r="D28" s="4" t="inlineStr">
        <is>
          <t>Limit Check</t>
        </is>
      </c>
      <c r="E28" s="4" t="inlineStr">
        <is>
          <t>Order with Meal Limit</t>
        </is>
      </c>
      <c r="F28" s="4" t="inlineStr">
        <is>
          <t>1. Use all weekly meals
2. Try to add another meal</t>
        </is>
      </c>
      <c r="G28" s="13" t="inlineStr">
        <is>
          <t>https://nutrio.me/meals</t>
        </is>
      </c>
      <c r="H28" s="4" t="inlineStr">
        <is>
          <t>'Add to Order' button disabled or warning shown</t>
        </is>
      </c>
      <c r="I28" s="4">
        <f>IF(J28="","",IF(J28=H28,"PASS","FAIL"))</f>
        <v/>
      </c>
      <c r="J28" s="4" t="n"/>
      <c r="K28" s="4" t="n"/>
      <c r="L28" s="5" t="inlineStr">
        <is>
          <t>High</t>
        </is>
      </c>
      <c r="M28" s="4" t="n"/>
    </row>
    <row r="29" ht="45" customHeight="1" s="16">
      <c r="A29" s="4" t="inlineStr">
        <is>
          <t>TC028</t>
        </is>
      </c>
      <c r="B29" s="4" t="inlineStr">
        <is>
          <t>Customer</t>
        </is>
      </c>
      <c r="C29" s="4" t="inlineStr">
        <is>
          <t>Meals</t>
        </is>
      </c>
      <c r="D29" s="4" t="inlineStr">
        <is>
          <t>Favorites</t>
        </is>
      </c>
      <c r="E29" s="4" t="inlineStr">
        <is>
          <t>Add to Favorites</t>
        </is>
      </c>
      <c r="F29" s="4" t="inlineStr">
        <is>
          <t>1. Click heart icon on meal
2. Go to favorites page</t>
        </is>
      </c>
      <c r="G29" s="13" t="inlineStr">
        <is>
          <t>https://nutrio.me/meals/new</t>
        </is>
      </c>
      <c r="H29" s="4" t="inlineStr">
        <is>
          <t>Meal appears in favorites list</t>
        </is>
      </c>
      <c r="I29" s="4">
        <f>IF(J29="","",IF(J29=H29,"PASS","FAIL"))</f>
        <v/>
      </c>
      <c r="J29" s="4" t="n"/>
      <c r="K29" s="4" t="n"/>
      <c r="L29" s="4" t="inlineStr">
        <is>
          <t>Low</t>
        </is>
      </c>
      <c r="M29" s="4" t="n"/>
    </row>
    <row r="30" ht="90" customHeight="1" s="16">
      <c r="A30" s="4" t="inlineStr">
        <is>
          <t>TC029</t>
        </is>
      </c>
      <c r="B30" s="4" t="inlineStr">
        <is>
          <t>Customer</t>
        </is>
      </c>
      <c r="C30" s="4" t="inlineStr">
        <is>
          <t>Orders</t>
        </is>
      </c>
      <c r="D30" s="4" t="inlineStr">
        <is>
          <t>Place Order</t>
        </is>
      </c>
      <c r="E30" s="4" t="inlineStr">
        <is>
          <t>Complete Order Placement</t>
        </is>
      </c>
      <c r="F30" s="4" t="inlineStr">
        <is>
          <t>1. Add meals to cart
2. Go to checkout
3. Select delivery time
4. Confirm order</t>
        </is>
      </c>
      <c r="G30" s="13" t="inlineStr">
        <is>
          <t>https://nutrio.me/orders</t>
        </is>
      </c>
      <c r="H30" s="4" t="inlineStr">
        <is>
          <t>Order placed successfully, confirmation shown</t>
        </is>
      </c>
      <c r="I30" s="4">
        <f>IF(J30="","",IF(J30=H30,"PASS","FAIL"))</f>
        <v/>
      </c>
      <c r="J30" s="4" t="n"/>
      <c r="K30" s="4" t="n"/>
      <c r="L30" s="7" t="inlineStr">
        <is>
          <t>Critical</t>
        </is>
      </c>
      <c r="M30" s="4" t="n"/>
    </row>
    <row r="31" ht="60" customHeight="1" s="16">
      <c r="A31" s="4" t="inlineStr">
        <is>
          <t>TC030</t>
        </is>
      </c>
      <c r="B31" s="4" t="inlineStr">
        <is>
          <t>Customer</t>
        </is>
      </c>
      <c r="C31" s="4" t="inlineStr">
        <is>
          <t>Orders</t>
        </is>
      </c>
      <c r="D31" s="4" t="inlineStr">
        <is>
          <t>View Orders</t>
        </is>
      </c>
      <c r="E31" s="4" t="inlineStr">
        <is>
          <t>View Order History</t>
        </is>
      </c>
      <c r="F31" s="4" t="inlineStr">
        <is>
          <t>1. Navigate to /orders
2. View order list</t>
        </is>
      </c>
      <c r="G31" s="13" t="inlineStr">
        <is>
          <t>https://nutrio.me/orders/[id]</t>
        </is>
      </c>
      <c r="H31" s="4" t="inlineStr">
        <is>
          <t>All past orders displayed with status</t>
        </is>
      </c>
      <c r="I31" s="4">
        <f>IF(J31="","",IF(J31=H31,"PASS","FAIL"))</f>
        <v/>
      </c>
      <c r="J31" s="4" t="n"/>
      <c r="K31" s="4" t="n"/>
      <c r="L31" s="5" t="inlineStr">
        <is>
          <t>High</t>
        </is>
      </c>
      <c r="M31" s="4" t="n"/>
    </row>
    <row r="32" ht="75" customHeight="1" s="16">
      <c r="A32" s="4" t="inlineStr">
        <is>
          <t>TC031</t>
        </is>
      </c>
      <c r="B32" s="4" t="inlineStr">
        <is>
          <t>Customer</t>
        </is>
      </c>
      <c r="C32" s="4" t="inlineStr">
        <is>
          <t>Orders</t>
        </is>
      </c>
      <c r="D32" s="4" t="inlineStr">
        <is>
          <t>Order Details</t>
        </is>
      </c>
      <c r="E32" s="4" t="inlineStr">
        <is>
          <t>View Order Details</t>
        </is>
      </c>
      <c r="F32" s="4" t="inlineStr">
        <is>
          <t>1. Click on any order
2. View details</t>
        </is>
      </c>
      <c r="G32" s="13" t="inlineStr">
        <is>
          <t>https://nutrio.me/orders/[id]</t>
        </is>
      </c>
      <c r="H32" s="4" t="inlineStr">
        <is>
          <t>Full order info: items, status, restaurant, total</t>
        </is>
      </c>
      <c r="I32" s="4">
        <f>IF(J32="","",IF(J32=H32,"PASS","FAIL"))</f>
        <v/>
      </c>
      <c r="J32" s="4" t="n"/>
      <c r="K32" s="4" t="n"/>
      <c r="L32" s="5" t="inlineStr">
        <is>
          <t>High</t>
        </is>
      </c>
      <c r="M32" s="4" t="n"/>
    </row>
    <row r="33" ht="60" customHeight="1" s="16">
      <c r="A33" s="4" t="inlineStr">
        <is>
          <t>TC032</t>
        </is>
      </c>
      <c r="B33" s="4" t="inlineStr">
        <is>
          <t>Customer</t>
        </is>
      </c>
      <c r="C33" s="4" t="inlineStr">
        <is>
          <t>Orders</t>
        </is>
      </c>
      <c r="D33" s="4" t="inlineStr">
        <is>
          <t>Track Order</t>
        </is>
      </c>
      <c r="E33" s="4" t="inlineStr">
        <is>
          <t>Track Order Status</t>
        </is>
      </c>
      <c r="F33" s="4" t="inlineStr">
        <is>
          <t>1. Go to active order
2. View status timeline</t>
        </is>
      </c>
      <c r="G33" s="13" t="inlineStr">
        <is>
          <t>https://nutrio.me/orders</t>
        </is>
      </c>
      <c r="H33" s="4" t="inlineStr">
        <is>
          <t>Current status and history displayed</t>
        </is>
      </c>
      <c r="I33" s="4">
        <f>IF(J33="","",IF(J33=H33,"PASS","FAIL"))</f>
        <v/>
      </c>
      <c r="J33" s="4" t="n"/>
      <c r="K33" s="4" t="n"/>
      <c r="L33" s="5" t="inlineStr">
        <is>
          <t>High</t>
        </is>
      </c>
      <c r="M33" s="4" t="n"/>
    </row>
    <row r="34" ht="75" customHeight="1" s="16">
      <c r="A34" s="4" t="inlineStr">
        <is>
          <t>TC033</t>
        </is>
      </c>
      <c r="B34" s="4" t="inlineStr">
        <is>
          <t>Customer</t>
        </is>
      </c>
      <c r="C34" s="4" t="inlineStr">
        <is>
          <t>Orders</t>
        </is>
      </c>
      <c r="D34" s="4" t="inlineStr">
        <is>
          <t>Cancel Order</t>
        </is>
      </c>
      <c r="E34" s="4" t="inlineStr">
        <is>
          <t>Cancel Pending Order</t>
        </is>
      </c>
      <c r="F34" s="4" t="inlineStr">
        <is>
          <t>1. Go to order details
2. Click Cancel
3. Confirm</t>
        </is>
      </c>
      <c r="G34" s="13" t="inlineStr">
        <is>
          <t>https://nutrio.me/orders</t>
        </is>
      </c>
      <c r="H34" s="4" t="inlineStr">
        <is>
          <t>Order cancelled, meals refunded to weekly limit</t>
        </is>
      </c>
      <c r="I34" s="4">
        <f>IF(J34="","",IF(J34=H34,"PASS","FAIL"))</f>
        <v/>
      </c>
      <c r="J34" s="4" t="n"/>
      <c r="K34" s="4" t="n"/>
      <c r="L34" s="6" t="inlineStr">
        <is>
          <t>Medium</t>
        </is>
      </c>
      <c r="M34" s="4" t="n"/>
    </row>
    <row r="35" ht="75" customHeight="1" s="16">
      <c r="A35" s="4" t="inlineStr">
        <is>
          <t>TC034</t>
        </is>
      </c>
      <c r="B35" s="4" t="inlineStr">
        <is>
          <t>Customer</t>
        </is>
      </c>
      <c r="C35" s="4" t="inlineStr">
        <is>
          <t>Orders</t>
        </is>
      </c>
      <c r="D35" s="4" t="inlineStr">
        <is>
          <t>Rate Order</t>
        </is>
      </c>
      <c r="E35" s="4" t="inlineStr">
        <is>
          <t>Rate Completed Order</t>
        </is>
      </c>
      <c r="F35" s="4" t="inlineStr">
        <is>
          <t>1. Go to completed order
2. Click Rate
3. Select stars
4. Add comment</t>
        </is>
      </c>
      <c r="G35" s="13" t="inlineStr">
        <is>
          <t>https://nutrio.me/orders</t>
        </is>
      </c>
      <c r="H35" s="4" t="inlineStr">
        <is>
          <t>Rating submitted, thank you message shown</t>
        </is>
      </c>
      <c r="I35" s="4">
        <f>IF(J35="","",IF(J35=H35,"PASS","FAIL"))</f>
        <v/>
      </c>
      <c r="J35" s="4" t="n"/>
      <c r="K35" s="4" t="n"/>
      <c r="L35" s="6" t="inlineStr">
        <is>
          <t>Medium</t>
        </is>
      </c>
      <c r="M35" s="4" t="n"/>
    </row>
    <row r="36" ht="75" customHeight="1" s="16">
      <c r="A36" s="4" t="inlineStr">
        <is>
          <t>TC035</t>
        </is>
      </c>
      <c r="B36" s="4" t="inlineStr">
        <is>
          <t>Customer</t>
        </is>
      </c>
      <c r="C36" s="4" t="inlineStr">
        <is>
          <t>Orders</t>
        </is>
      </c>
      <c r="D36" s="4" t="inlineStr">
        <is>
          <t>Reorder</t>
        </is>
      </c>
      <c r="E36" s="4" t="inlineStr">
        <is>
          <t>Reorder Previous Order</t>
        </is>
      </c>
      <c r="F36" s="4" t="inlineStr">
        <is>
          <t>1. Go to past order
2. Click Reorder
3. Confirm</t>
        </is>
      </c>
      <c r="G36" s="13" t="inlineStr">
        <is>
          <t>https://nutrio.me/orders</t>
        </is>
      </c>
      <c r="H36" s="4" t="inlineStr">
        <is>
          <t>Items added to cart, can modify before checkout</t>
        </is>
      </c>
      <c r="I36" s="4">
        <f>IF(J36="","",IF(J36=H36,"PASS","FAIL"))</f>
        <v/>
      </c>
      <c r="J36" s="4" t="n"/>
      <c r="K36" s="4" t="n"/>
      <c r="L36" s="6" t="inlineStr">
        <is>
          <t>Medium</t>
        </is>
      </c>
      <c r="M36" s="4" t="n"/>
    </row>
    <row r="37" ht="105" customHeight="1" s="16">
      <c r="A37" s="4" t="inlineStr">
        <is>
          <t>TC036</t>
        </is>
      </c>
      <c r="B37" s="4" t="inlineStr">
        <is>
          <t>Customer</t>
        </is>
      </c>
      <c r="C37" s="4" t="inlineStr">
        <is>
          <t>Profile</t>
        </is>
      </c>
      <c r="D37" s="4" t="inlineStr">
        <is>
          <t>View Profile</t>
        </is>
      </c>
      <c r="E37" s="4" t="inlineStr">
        <is>
          <t>View User Profile</t>
        </is>
      </c>
      <c r="F37" s="4" t="inlineStr">
        <is>
          <t>1. Click profile menu
2. View profile page</t>
        </is>
      </c>
      <c r="G37" s="13" t="inlineStr">
        <is>
          <t>https://nutrio.me/profile/[id]</t>
        </is>
      </c>
      <c r="H37" s="4" t="inlineStr">
        <is>
          <t>Profile info displayed: name, email, subscription, referral code</t>
        </is>
      </c>
      <c r="I37" s="4">
        <f>IF(J37="","",IF(J37=H37,"PASS","FAIL"))</f>
        <v/>
      </c>
      <c r="J37" s="4" t="n"/>
      <c r="K37" s="4" t="n"/>
      <c r="L37" s="5" t="inlineStr">
        <is>
          <t>High</t>
        </is>
      </c>
      <c r="M37" s="4" t="n"/>
    </row>
    <row r="38" ht="60" customHeight="1" s="16">
      <c r="A38" s="4" t="inlineStr">
        <is>
          <t>TC037</t>
        </is>
      </c>
      <c r="B38" s="4" t="inlineStr">
        <is>
          <t>Customer</t>
        </is>
      </c>
      <c r="C38" s="4" t="inlineStr">
        <is>
          <t>Profile</t>
        </is>
      </c>
      <c r="D38" s="4" t="inlineStr">
        <is>
          <t>Edit Profile</t>
        </is>
      </c>
      <c r="E38" s="4" t="inlineStr">
        <is>
          <t>Edit Profile Information</t>
        </is>
      </c>
      <c r="F38" s="4" t="inlineStr">
        <is>
          <t>1. Go to profile
2. Click Edit
3. Change name/phone
4. Save</t>
        </is>
      </c>
      <c r="G38" s="13" t="inlineStr">
        <is>
          <t>https://nutrio.me/profile/[id]/edit</t>
        </is>
      </c>
      <c r="H38" s="4" t="inlineStr">
        <is>
          <t>Profile updated successfully</t>
        </is>
      </c>
      <c r="I38" s="4">
        <f>IF(J38="","",IF(J38=H38,"PASS","FAIL"))</f>
        <v/>
      </c>
      <c r="J38" s="4" t="n"/>
      <c r="K38" s="4" t="n"/>
      <c r="L38" s="6" t="inlineStr">
        <is>
          <t>Medium</t>
        </is>
      </c>
      <c r="M38" s="4" t="n"/>
    </row>
    <row r="39" ht="60" customHeight="1" s="16">
      <c r="A39" s="4" t="inlineStr">
        <is>
          <t>TC038</t>
        </is>
      </c>
      <c r="B39" s="4" t="inlineStr">
        <is>
          <t>Customer</t>
        </is>
      </c>
      <c r="C39" s="4" t="inlineStr">
        <is>
          <t>Profile</t>
        </is>
      </c>
      <c r="D39" s="4" t="inlineStr">
        <is>
          <t>Change Password</t>
        </is>
      </c>
      <c r="E39" s="4" t="inlineStr">
        <is>
          <t>Change Password</t>
        </is>
      </c>
      <c r="F39" s="4" t="inlineStr">
        <is>
          <t>1. Go to profile
2. Click Change Password
3. Enter old and new password
4. Save</t>
        </is>
      </c>
      <c r="G39" s="13" t="inlineStr">
        <is>
          <t>https://nutrio.me/profile</t>
        </is>
      </c>
      <c r="H39" s="4" t="inlineStr">
        <is>
          <t>Password changed, confirmation shown</t>
        </is>
      </c>
      <c r="I39" s="4">
        <f>IF(J39="","",IF(J39=H39,"PASS","FAIL"))</f>
        <v/>
      </c>
      <c r="J39" s="4" t="n"/>
      <c r="K39" s="4" t="n"/>
      <c r="L39" s="6" t="inlineStr">
        <is>
          <t>Medium</t>
        </is>
      </c>
      <c r="M39" s="4" t="n"/>
    </row>
    <row r="40" ht="60" customHeight="1" s="16">
      <c r="A40" s="4" t="inlineStr">
        <is>
          <t>TC039</t>
        </is>
      </c>
      <c r="B40" s="4" t="inlineStr">
        <is>
          <t>Customer</t>
        </is>
      </c>
      <c r="C40" s="4" t="inlineStr">
        <is>
          <t>Profile</t>
        </is>
      </c>
      <c r="D40" s="4" t="inlineStr">
        <is>
          <t>Update Address</t>
        </is>
      </c>
      <c r="E40" s="4" t="inlineStr">
        <is>
          <t>Update Delivery Address</t>
        </is>
      </c>
      <c r="F40" s="4" t="inlineStr">
        <is>
          <t>1. Go to profile
2. Click Addresses
3. Add/Edit address
4. Save</t>
        </is>
      </c>
      <c r="G40" s="13" t="inlineStr">
        <is>
          <t>https://nutrio.me/profile/[id]/edit</t>
        </is>
      </c>
      <c r="H40" s="4" t="inlineStr">
        <is>
          <t>Address updated for future orders</t>
        </is>
      </c>
      <c r="I40" s="4">
        <f>IF(J40="","",IF(J40=H40,"PASS","FAIL"))</f>
        <v/>
      </c>
      <c r="J40" s="4" t="n"/>
      <c r="K40" s="4" t="n"/>
      <c r="L40" s="5" t="inlineStr">
        <is>
          <t>High</t>
        </is>
      </c>
      <c r="M40" s="4" t="n"/>
    </row>
    <row r="41" ht="75" customHeight="1" s="16">
      <c r="A41" s="4" t="inlineStr">
        <is>
          <t>TC040</t>
        </is>
      </c>
      <c r="B41" s="4" t="inlineStr">
        <is>
          <t>Customer</t>
        </is>
      </c>
      <c r="C41" s="4" t="inlineStr">
        <is>
          <t>Profile</t>
        </is>
      </c>
      <c r="D41" s="4" t="inlineStr">
        <is>
          <t>Dietary Preferences</t>
        </is>
      </c>
      <c r="E41" s="4" t="inlineStr">
        <is>
          <t>Set Dietary Preferences</t>
        </is>
      </c>
      <c r="F41" s="4" t="inlineStr">
        <is>
          <t>1. Go to profile
2. Click Preferences
3. Select dietary tags
4. Save</t>
        </is>
      </c>
      <c r="G41" s="13" t="inlineStr">
        <is>
          <t>https://nutrio.me/profile</t>
        </is>
      </c>
      <c r="H41" s="4" t="inlineStr">
        <is>
          <t>Preferences saved, used for meal recommendations</t>
        </is>
      </c>
      <c r="I41" s="4">
        <f>IF(J41="","",IF(J41=H41,"PASS","FAIL"))</f>
        <v/>
      </c>
      <c r="J41" s="4" t="n"/>
      <c r="K41" s="4" t="n"/>
      <c r="L41" s="4" t="inlineStr">
        <is>
          <t>Low</t>
        </is>
      </c>
      <c r="M41" s="4" t="n"/>
    </row>
    <row r="42" ht="60" customHeight="1" s="16">
      <c r="A42" s="4" t="inlineStr">
        <is>
          <t>TC041</t>
        </is>
      </c>
      <c r="B42" s="4" t="inlineStr">
        <is>
          <t>Customer</t>
        </is>
      </c>
      <c r="C42" s="4" t="inlineStr">
        <is>
          <t>Profile</t>
        </is>
      </c>
      <c r="D42" s="4" t="inlineStr">
        <is>
          <t>View Referral</t>
        </is>
      </c>
      <c r="E42" s="4" t="inlineStr">
        <is>
          <t>View Referral Code</t>
        </is>
      </c>
      <c r="F42" s="4" t="inlineStr">
        <is>
          <t>1. Go to profile
2. View referral section</t>
        </is>
      </c>
      <c r="G42" s="13" t="inlineStr">
        <is>
          <t>https://nutrio.me/profile/[id]</t>
        </is>
      </c>
      <c r="H42" s="4" t="inlineStr">
        <is>
          <t>Unique referral code displayed</t>
        </is>
      </c>
      <c r="I42" s="4">
        <f>IF(J42="","",IF(J42=H42,"PASS","FAIL"))</f>
        <v/>
      </c>
      <c r="J42" s="4" t="n"/>
      <c r="K42" s="4" t="n"/>
      <c r="L42" s="6" t="inlineStr">
        <is>
          <t>Medium</t>
        </is>
      </c>
      <c r="M42" s="4" t="n"/>
    </row>
    <row r="43" ht="45" customHeight="1" s="16">
      <c r="A43" s="4" t="inlineStr">
        <is>
          <t>TC042</t>
        </is>
      </c>
      <c r="B43" s="4" t="inlineStr">
        <is>
          <t>Customer</t>
        </is>
      </c>
      <c r="C43" s="4" t="inlineStr">
        <is>
          <t>Profile</t>
        </is>
      </c>
      <c r="D43" s="4" t="inlineStr">
        <is>
          <t>Share Referral</t>
        </is>
      </c>
      <c r="E43" s="4" t="inlineStr">
        <is>
          <t>Share Referral Code</t>
        </is>
      </c>
      <c r="F43" s="4" t="inlineStr">
        <is>
          <t>1. Click Share
2. Select WhatsApp
3. Send to contact</t>
        </is>
      </c>
      <c r="G43" s="13" t="inlineStr">
        <is>
          <t>https://nutrio.me/profile</t>
        </is>
      </c>
      <c r="H43" s="4" t="inlineStr">
        <is>
          <t>Referral link shared via WhatsApp</t>
        </is>
      </c>
      <c r="I43" s="4">
        <f>IF(J43="","",IF(J43=H43,"PASS","FAIL"))</f>
        <v/>
      </c>
      <c r="J43" s="4" t="n"/>
      <c r="K43" s="4" t="n"/>
      <c r="L43" s="6" t="inlineStr">
        <is>
          <t>Medium</t>
        </is>
      </c>
      <c r="M43" s="4" t="n"/>
    </row>
    <row r="44" ht="90" customHeight="1" s="16">
      <c r="A44" s="4" t="inlineStr">
        <is>
          <t>TC043</t>
        </is>
      </c>
      <c r="B44" s="4" t="inlineStr">
        <is>
          <t>Customer</t>
        </is>
      </c>
      <c r="C44" s="4" t="inlineStr">
        <is>
          <t>Wallet</t>
        </is>
      </c>
      <c r="D44" s="4" t="inlineStr">
        <is>
          <t>View Wallet</t>
        </is>
      </c>
      <c r="E44" s="4" t="inlineStr">
        <is>
          <t>View Wallet Balance</t>
        </is>
      </c>
      <c r="F44" s="4" t="inlineStr">
        <is>
          <t>1. Navigate to /wallet
2. View balance</t>
        </is>
      </c>
      <c r="G44" s="13" t="inlineStr">
        <is>
          <t>https://nutrio.me/wallet/[id]</t>
        </is>
      </c>
      <c r="H44" s="4" t="inlineStr">
        <is>
          <t>Current balance displayed with transaction history</t>
        </is>
      </c>
      <c r="I44" s="4">
        <f>IF(J44="","",IF(J44=H44,"PASS","FAIL"))</f>
        <v/>
      </c>
      <c r="J44" s="4" t="n"/>
      <c r="K44" s="4" t="n"/>
      <c r="L44" s="6" t="inlineStr">
        <is>
          <t>Medium</t>
        </is>
      </c>
      <c r="M44" s="4" t="n"/>
    </row>
    <row r="45" ht="60" customHeight="1" s="16">
      <c r="A45" s="4" t="inlineStr">
        <is>
          <t>TC044</t>
        </is>
      </c>
      <c r="B45" s="4" t="inlineStr">
        <is>
          <t>Customer</t>
        </is>
      </c>
      <c r="C45" s="4" t="inlineStr">
        <is>
          <t>Wallet</t>
        </is>
      </c>
      <c r="D45" s="4" t="inlineStr">
        <is>
          <t>Add Funds</t>
        </is>
      </c>
      <c r="E45" s="4" t="inlineStr">
        <is>
          <t>Add Funds to Wallet</t>
        </is>
      </c>
      <c r="F45" s="4" t="inlineStr">
        <is>
          <t>1. Go to wallet
2. Click Add Funds
3. Enter amount
4. Complete payment</t>
        </is>
      </c>
      <c r="G45" s="13" t="inlineStr">
        <is>
          <t>https://nutrio.me/wallet/new</t>
        </is>
      </c>
      <c r="H45" s="4" t="inlineStr">
        <is>
          <t>Funds added, balance updated</t>
        </is>
      </c>
      <c r="I45" s="4">
        <f>IF(J45="","",IF(J45=H45,"PASS","FAIL"))</f>
        <v/>
      </c>
      <c r="J45" s="4" t="n"/>
      <c r="K45" s="4" t="n"/>
      <c r="L45" s="6" t="inlineStr">
        <is>
          <t>Medium</t>
        </is>
      </c>
      <c r="M45" s="4" t="n"/>
    </row>
    <row r="46" ht="75" customHeight="1" s="16">
      <c r="A46" s="4" t="inlineStr">
        <is>
          <t>TC045</t>
        </is>
      </c>
      <c r="B46" s="4" t="inlineStr">
        <is>
          <t>Customer</t>
        </is>
      </c>
      <c r="C46" s="4" t="inlineStr">
        <is>
          <t>Wallet</t>
        </is>
      </c>
      <c r="D46" s="4" t="inlineStr">
        <is>
          <t>Transaction History</t>
        </is>
      </c>
      <c r="E46" s="4" t="inlineStr">
        <is>
          <t>View Transaction History</t>
        </is>
      </c>
      <c r="F46" s="4" t="inlineStr">
        <is>
          <t>1. Go to wallet
2. View transactions tab</t>
        </is>
      </c>
      <c r="G46" s="13" t="inlineStr">
        <is>
          <t>https://nutrio.me/wallet/[id]</t>
        </is>
      </c>
      <c r="H46" s="4" t="inlineStr">
        <is>
          <t>All transactions listed with dates and amounts</t>
        </is>
      </c>
      <c r="I46" s="4">
        <f>IF(J46="","",IF(J46=H46,"PASS","FAIL"))</f>
        <v/>
      </c>
      <c r="J46" s="4" t="n"/>
      <c r="K46" s="4" t="n"/>
      <c r="L46" s="4" t="inlineStr">
        <is>
          <t>Low</t>
        </is>
      </c>
      <c r="M46" s="4" t="n"/>
    </row>
    <row r="47" ht="75" customHeight="1" s="16">
      <c r="A47" s="4" t="inlineStr">
        <is>
          <t>TC200</t>
        </is>
      </c>
      <c r="B47" s="4" t="inlineStr">
        <is>
          <t>Customer</t>
        </is>
      </c>
      <c r="C47" s="4" t="inlineStr">
        <is>
          <t>Wallet</t>
        </is>
      </c>
      <c r="D47" s="4" t="inlineStr">
        <is>
          <t>View Balance</t>
        </is>
      </c>
      <c r="E47" s="4" t="inlineStr">
        <is>
          <t>View Wallet Balance</t>
        </is>
      </c>
      <c r="F47" s="4" t="inlineStr">
        <is>
          <t>1. Navigate to /wallet
2. View current balance
3. Check transaction history</t>
        </is>
      </c>
      <c r="G47" s="13" t="inlineStr">
        <is>
          <t>https://nutrio.me/wallet/[id]</t>
        </is>
      </c>
      <c r="H47" s="4" t="inlineStr">
        <is>
          <t>Balance displayed with transaction list</t>
        </is>
      </c>
      <c r="I47" s="4">
        <f>IF(J47="","",IF(J47=H47,"PASS","FAIL"))</f>
        <v/>
      </c>
      <c r="J47" s="4" t="n"/>
      <c r="K47" s="4" t="n"/>
      <c r="L47" s="6" t="inlineStr">
        <is>
          <t>Medium</t>
        </is>
      </c>
      <c r="M47" s="4" t="n"/>
    </row>
    <row r="48" ht="90" customHeight="1" s="16">
      <c r="A48" s="4" t="inlineStr">
        <is>
          <t>TC201</t>
        </is>
      </c>
      <c r="B48" s="4" t="inlineStr">
        <is>
          <t>Customer</t>
        </is>
      </c>
      <c r="C48" s="4" t="inlineStr">
        <is>
          <t>Wallet</t>
        </is>
      </c>
      <c r="D48" s="4" t="inlineStr">
        <is>
          <t>Add Funds</t>
        </is>
      </c>
      <c r="E48" s="4" t="inlineStr">
        <is>
          <t>Add Funds to Wallet</t>
        </is>
      </c>
      <c r="F48" s="4" t="inlineStr">
        <is>
          <t>1. Click Add Funds
2. Enter amount (e.g., 100 QAR)
3. Select payment method
4. Complete payment
5. Verify balance updated</t>
        </is>
      </c>
      <c r="G48" s="13" t="inlineStr">
        <is>
          <t>https://nutrio.me/wallet/new</t>
        </is>
      </c>
      <c r="H48" s="4" t="inlineStr">
        <is>
          <t>Funds added, balance increased, transaction recorded</t>
        </is>
      </c>
      <c r="I48" s="4">
        <f>IF(J48="","",IF(J48=H48,"PASS","FAIL"))</f>
        <v/>
      </c>
      <c r="J48" s="4" t="n"/>
      <c r="K48" s="4" t="n"/>
      <c r="L48" s="6" t="inlineStr">
        <is>
          <t>Medium</t>
        </is>
      </c>
      <c r="M48" s="4" t="n"/>
    </row>
    <row r="49" ht="60" customHeight="1" s="16">
      <c r="A49" s="4" t="inlineStr">
        <is>
          <t>TC202</t>
        </is>
      </c>
      <c r="B49" s="4" t="inlineStr">
        <is>
          <t>Customer</t>
        </is>
      </c>
      <c r="C49" s="4" t="inlineStr">
        <is>
          <t>Wallet</t>
        </is>
      </c>
      <c r="D49" s="4" t="inlineStr">
        <is>
          <t>Insufficient Funds</t>
        </is>
      </c>
      <c r="E49" s="4" t="inlineStr">
        <is>
          <t>Handle Insufficient Wallet Balance</t>
        </is>
      </c>
      <c r="F49" s="4" t="inlineStr">
        <is>
          <t>1. Try to order with insufficient wallet
2. Verify error message
3. Option to add funds shown</t>
        </is>
      </c>
      <c r="G49" s="13" t="inlineStr">
        <is>
          <t>https://nutrio.me/wallet</t>
        </is>
      </c>
      <c r="H49" s="4" t="inlineStr">
        <is>
          <t>Error displayed with option to add funds</t>
        </is>
      </c>
      <c r="I49" s="4">
        <f>IF(J49="","",IF(J49=H49,"PASS","FAIL"))</f>
        <v/>
      </c>
      <c r="J49" s="4" t="n"/>
      <c r="K49" s="4" t="n"/>
      <c r="L49" s="6" t="inlineStr">
        <is>
          <t>Medium</t>
        </is>
      </c>
      <c r="M49" s="4" t="n"/>
    </row>
    <row r="50" ht="75" customHeight="1" s="16">
      <c r="A50" s="4" t="inlineStr">
        <is>
          <t>TC203</t>
        </is>
      </c>
      <c r="B50" s="4" t="inlineStr">
        <is>
          <t>Customer</t>
        </is>
      </c>
      <c r="C50" s="4" t="inlineStr">
        <is>
          <t>Referral</t>
        </is>
      </c>
      <c r="D50" s="4" t="inlineStr">
        <is>
          <t>Generate Code</t>
        </is>
      </c>
      <c r="E50" s="4" t="inlineStr">
        <is>
          <t>View Referral Code</t>
        </is>
      </c>
      <c r="F50" s="4" t="inlineStr">
        <is>
          <t>1. Go to Profile
2. Click Referral tab
3. View unique referral code
4. Verify code format (NUTRIO-XXXX)</t>
        </is>
      </c>
      <c r="G50" s="13" t="inlineStr">
        <is>
          <t>https://nutrio.me/profile?tab=referral/[id]</t>
        </is>
      </c>
      <c r="H50" s="4" t="inlineStr">
        <is>
          <t>Referral code displayed with copy button</t>
        </is>
      </c>
      <c r="I50" s="4">
        <f>IF(J50="","",IF(J50=H50,"PASS","FAIL"))</f>
        <v/>
      </c>
      <c r="J50" s="4" t="n"/>
      <c r="K50" s="4" t="n"/>
      <c r="L50" s="6" t="inlineStr">
        <is>
          <t>Medium</t>
        </is>
      </c>
      <c r="M50" s="4" t="n"/>
    </row>
    <row r="51" ht="45" customHeight="1" s="16">
      <c r="A51" s="4" t="inlineStr">
        <is>
          <t>TC204</t>
        </is>
      </c>
      <c r="B51" s="4" t="inlineStr">
        <is>
          <t>Customer</t>
        </is>
      </c>
      <c r="C51" s="4" t="inlineStr">
        <is>
          <t>Referral</t>
        </is>
      </c>
      <c r="D51" s="4" t="inlineStr">
        <is>
          <t>Copy Code</t>
        </is>
      </c>
      <c r="E51" s="4" t="inlineStr">
        <is>
          <t>Copy Referral Code</t>
        </is>
      </c>
      <c r="F51" s="4" t="inlineStr">
        <is>
          <t>1. Click Copy button
2. Verify copied to clipboard
3. Paste in another app to confirm</t>
        </is>
      </c>
      <c r="G51" s="13" t="inlineStr">
        <is>
          <t>https://nutrio.me/profile?tab=referral</t>
        </is>
      </c>
      <c r="H51" s="4" t="inlineStr">
        <is>
          <t>Code copied to clipboard</t>
        </is>
      </c>
      <c r="I51" s="4">
        <f>IF(J51="","",IF(J51=H51,"PASS","FAIL"))</f>
        <v/>
      </c>
      <c r="J51" s="4" t="n"/>
      <c r="K51" s="4" t="n"/>
      <c r="L51" s="4" t="inlineStr">
        <is>
          <t>Low</t>
        </is>
      </c>
      <c r="M51" s="4" t="n"/>
    </row>
    <row r="52" ht="60" customHeight="1" s="16">
      <c r="A52" s="4" t="inlineStr">
        <is>
          <t>TC205</t>
        </is>
      </c>
      <c r="B52" s="4" t="inlineStr">
        <is>
          <t>Customer</t>
        </is>
      </c>
      <c r="C52" s="4" t="inlineStr">
        <is>
          <t>Referral</t>
        </is>
      </c>
      <c r="D52" s="4" t="inlineStr">
        <is>
          <t>Share WhatsApp</t>
        </is>
      </c>
      <c r="E52" s="4" t="inlineStr">
        <is>
          <t>Share via WhatsApp</t>
        </is>
      </c>
      <c r="F52" s="4" t="inlineStr">
        <is>
          <t>1. Click WhatsApp share
2. Select contact
3. Verify message template
4. Send message</t>
        </is>
      </c>
      <c r="G52" s="13" t="inlineStr">
        <is>
          <t>https://nutrio.me/profile?tab=referral</t>
        </is>
      </c>
      <c r="H52" s="4" t="inlineStr">
        <is>
          <t>WhatsApp opens with pre-filled message</t>
        </is>
      </c>
      <c r="I52" s="4">
        <f>IF(J52="","",IF(J52=H52,"PASS","FAIL"))</f>
        <v/>
      </c>
      <c r="J52" s="4" t="n"/>
      <c r="K52" s="4" t="n"/>
      <c r="L52" s="6" t="inlineStr">
        <is>
          <t>Medium</t>
        </is>
      </c>
      <c r="M52" s="4" t="n"/>
    </row>
    <row r="53" ht="120" customHeight="1" s="16">
      <c r="A53" s="4" t="inlineStr">
        <is>
          <t>TC206</t>
        </is>
      </c>
      <c r="B53" s="4" t="inlineStr">
        <is>
          <t>Customer</t>
        </is>
      </c>
      <c r="C53" s="4" t="inlineStr">
        <is>
          <t>Referral</t>
        </is>
      </c>
      <c r="D53" s="4" t="inlineStr">
        <is>
          <t>View Stats</t>
        </is>
      </c>
      <c r="E53" s="4" t="inlineStr">
        <is>
          <t>View Referral Statistics</t>
        </is>
      </c>
      <c r="F53" s="4" t="inlineStr">
        <is>
          <t>1. Go to referral page
2. View total referrals
3. View earned rewards
4. View referral history</t>
        </is>
      </c>
      <c r="G53" s="13" t="inlineStr">
        <is>
          <t>https://nutrio.me/profile?tab=referral/[id]</t>
        </is>
      </c>
      <c r="H53" s="4" t="inlineStr">
        <is>
          <t>Stats displayed: total invites, successful signups, rewards earned</t>
        </is>
      </c>
      <c r="I53" s="4">
        <f>IF(J53="","",IF(J53=H53,"PASS","FAIL"))</f>
        <v/>
      </c>
      <c r="J53" s="4" t="n"/>
      <c r="K53" s="4" t="n"/>
      <c r="L53" s="4" t="inlineStr">
        <is>
          <t>Low</t>
        </is>
      </c>
      <c r="M53" s="4" t="n"/>
    </row>
    <row r="54" ht="60" customHeight="1" s="16">
      <c r="A54" s="4" t="inlineStr">
        <is>
          <t>TC207</t>
        </is>
      </c>
      <c r="B54" s="4" t="inlineStr">
        <is>
          <t>Customer</t>
        </is>
      </c>
      <c r="C54" s="4" t="inlineStr">
        <is>
          <t>Referral</t>
        </is>
      </c>
      <c r="D54" s="4" t="inlineStr">
        <is>
          <t>Redeem Reward</t>
        </is>
      </c>
      <c r="E54" s="4" t="inlineStr">
        <is>
          <t>Redeem Referral Reward</t>
        </is>
      </c>
      <c r="F54" s="4" t="inlineStr">
        <is>
          <t>1. Earn referral reward
2. Click Redeem
3. Verify free meal added to weekly limit
4. Check expiration</t>
        </is>
      </c>
      <c r="G54" s="13" t="inlineStr">
        <is>
          <t>https://nutrio.me/profile?tab=referral</t>
        </is>
      </c>
      <c r="H54" s="4" t="inlineStr">
        <is>
          <t>Free meal added to subscription</t>
        </is>
      </c>
      <c r="I54" s="4">
        <f>IF(J54="","",IF(J54=H54,"PASS","FAIL"))</f>
        <v/>
      </c>
      <c r="J54" s="4" t="n"/>
      <c r="K54" s="4" t="n"/>
      <c r="L54" s="6" t="inlineStr">
        <is>
          <t>Medium</t>
        </is>
      </c>
      <c r="M54" s="4" t="n"/>
    </row>
    <row r="55" ht="60" customHeight="1" s="16">
      <c r="A55" s="4" t="inlineStr">
        <is>
          <t>TC208</t>
        </is>
      </c>
      <c r="B55" s="4" t="inlineStr">
        <is>
          <t>Customer</t>
        </is>
      </c>
      <c r="C55" s="4" t="inlineStr">
        <is>
          <t>Meals</t>
        </is>
      </c>
      <c r="D55" s="4" t="inlineStr">
        <is>
          <t>Add Favorite</t>
        </is>
      </c>
      <c r="E55" s="4" t="inlineStr">
        <is>
          <t>Add Meal to Favorites</t>
        </is>
      </c>
      <c r="F55" s="4" t="inlineStr">
        <is>
          <t>1. Browse meals
2. Click heart icon on meal
3. Verify heart filled
4. Go to Favorites page</t>
        </is>
      </c>
      <c r="G55" s="13" t="inlineStr">
        <is>
          <t>https://nutrio.me/meals/new</t>
        </is>
      </c>
      <c r="H55" s="4" t="inlineStr">
        <is>
          <t>Meal added to favorites list</t>
        </is>
      </c>
      <c r="I55" s="4">
        <f>IF(J55="","",IF(J55=H55,"PASS","FAIL"))</f>
        <v/>
      </c>
      <c r="J55" s="4" t="n"/>
      <c r="K55" s="4" t="n"/>
      <c r="L55" s="4" t="inlineStr">
        <is>
          <t>Low</t>
        </is>
      </c>
      <c r="M55" s="4" t="n"/>
    </row>
    <row r="56" ht="60" customHeight="1" s="16">
      <c r="A56" s="4" t="inlineStr">
        <is>
          <t>TC209</t>
        </is>
      </c>
      <c r="B56" s="4" t="inlineStr">
        <is>
          <t>Customer</t>
        </is>
      </c>
      <c r="C56" s="4" t="inlineStr">
        <is>
          <t>Meals</t>
        </is>
      </c>
      <c r="D56" s="4" t="inlineStr">
        <is>
          <t>Remove Favorite</t>
        </is>
      </c>
      <c r="E56" s="4" t="inlineStr">
        <is>
          <t>Remove from Favorites</t>
        </is>
      </c>
      <c r="F56" s="4" t="inlineStr">
        <is>
          <t>1. Go to Favorites
2. Click heart to unfavorite
3. Verify removed from list</t>
        </is>
      </c>
      <c r="G56" s="13" t="inlineStr">
        <is>
          <t>https://nutrio.me/meals</t>
        </is>
      </c>
      <c r="H56" s="4" t="inlineStr">
        <is>
          <t>Meal removed from favorites</t>
        </is>
      </c>
      <c r="I56" s="4">
        <f>IF(J56="","",IF(J56=H56,"PASS","FAIL"))</f>
        <v/>
      </c>
      <c r="J56" s="4" t="n"/>
      <c r="K56" s="4" t="n"/>
      <c r="L56" s="4" t="inlineStr">
        <is>
          <t>Low</t>
        </is>
      </c>
      <c r="M56" s="4" t="n"/>
    </row>
    <row r="57" ht="75" customHeight="1" s="16">
      <c r="A57" s="4" t="inlineStr">
        <is>
          <t>TC210</t>
        </is>
      </c>
      <c r="B57" s="4" t="inlineStr">
        <is>
          <t>Customer</t>
        </is>
      </c>
      <c r="C57" s="4" t="inlineStr">
        <is>
          <t>Meals</t>
        </is>
      </c>
      <c r="D57" s="4" t="inlineStr">
        <is>
          <t>Sort Options</t>
        </is>
      </c>
      <c r="E57" s="4" t="inlineStr">
        <is>
          <t>Sort Meals by Different Criteria</t>
        </is>
      </c>
      <c r="F57" s="4" t="inlineStr">
        <is>
          <t>1. On meals page
2. Sort by: Popularity
3. Sort by: Price (low-high)
4. Sort by: Calories
5. Sort by: Newest</t>
        </is>
      </c>
      <c r="G57" s="13" t="inlineStr">
        <is>
          <t>https://nutrio.me/meals</t>
        </is>
      </c>
      <c r="H57" s="4" t="inlineStr">
        <is>
          <t>Meals sorted according to selected criteria</t>
        </is>
      </c>
      <c r="I57" s="4">
        <f>IF(J57="","",IF(J57=H57,"PASS","FAIL"))</f>
        <v/>
      </c>
      <c r="J57" s="4" t="n"/>
      <c r="K57" s="4" t="n"/>
      <c r="L57" s="6" t="inlineStr">
        <is>
          <t>Medium</t>
        </is>
      </c>
      <c r="M57" s="4" t="n"/>
    </row>
    <row r="58" ht="75" customHeight="1" s="16">
      <c r="A58" s="4" t="inlineStr">
        <is>
          <t>TC211</t>
        </is>
      </c>
      <c r="B58" s="4" t="inlineStr">
        <is>
          <t>Customer</t>
        </is>
      </c>
      <c r="C58" s="4" t="inlineStr">
        <is>
          <t>Meals</t>
        </is>
      </c>
      <c r="D58" s="4" t="inlineStr">
        <is>
          <t>Quick View</t>
        </is>
      </c>
      <c r="E58" s="4" t="inlineStr">
        <is>
          <t>Quick View Meal</t>
        </is>
      </c>
      <c r="F58" s="4" t="inlineStr">
        <is>
          <t>1. Hover over meal card
2. Click Quick View
3. See popup with details
4. Close popup</t>
        </is>
      </c>
      <c r="G58" s="13" t="inlineStr">
        <is>
          <t>https://nutrio.me/meals/[id]</t>
        </is>
      </c>
      <c r="H58" s="4" t="inlineStr">
        <is>
          <t>Quick view popup displayed with key info</t>
        </is>
      </c>
      <c r="I58" s="4">
        <f>IF(J58="","",IF(J58=H58,"PASS","FAIL"))</f>
        <v/>
      </c>
      <c r="J58" s="4" t="n"/>
      <c r="K58" s="4" t="n"/>
      <c r="L58" s="4" t="inlineStr">
        <is>
          <t>Low</t>
        </is>
      </c>
      <c r="M58" s="4" t="n"/>
    </row>
    <row r="59" ht="60" customHeight="1" s="16">
      <c r="A59" s="4" t="inlineStr">
        <is>
          <t>TC212</t>
        </is>
      </c>
      <c r="B59" s="4" t="inlineStr">
        <is>
          <t>Customer</t>
        </is>
      </c>
      <c r="C59" s="4" t="inlineStr">
        <is>
          <t>Meals</t>
        </is>
      </c>
      <c r="D59" s="4" t="inlineStr">
        <is>
          <t>Restaurant Info</t>
        </is>
      </c>
      <c r="E59" s="4" t="inlineStr">
        <is>
          <t>View Restaurant Details from Meal</t>
        </is>
      </c>
      <c r="F59" s="4" t="inlineStr">
        <is>
          <t>1. Click on meal
2. Click restaurant name
3. View restaurant profile
4. See other meals from restaurant</t>
        </is>
      </c>
      <c r="G59" s="13" t="inlineStr">
        <is>
          <t>https://nutrio.me/meals/[id]</t>
        </is>
      </c>
      <c r="H59" s="4" t="inlineStr">
        <is>
          <t>Restaurant profile displayed</t>
        </is>
      </c>
      <c r="I59" s="4">
        <f>IF(J59="","",IF(J59=H59,"PASS","FAIL"))</f>
        <v/>
      </c>
      <c r="J59" s="4" t="n"/>
      <c r="K59" s="4" t="n"/>
      <c r="L59" s="6" t="inlineStr">
        <is>
          <t>Medium</t>
        </is>
      </c>
      <c r="M59" s="4" t="n"/>
    </row>
    <row r="60" ht="75" customHeight="1" s="16">
      <c r="A60" s="4" t="inlineStr">
        <is>
          <t>TC213</t>
        </is>
      </c>
      <c r="B60" s="4" t="inlineStr">
        <is>
          <t>Customer</t>
        </is>
      </c>
      <c r="C60" s="4" t="inlineStr">
        <is>
          <t>Orders</t>
        </is>
      </c>
      <c r="D60" s="4" t="inlineStr">
        <is>
          <t>Modify Order</t>
        </is>
      </c>
      <c r="E60" s="4" t="inlineStr">
        <is>
          <t>Modify Order Before Preparation</t>
        </is>
      </c>
      <c r="F60" s="4" t="inlineStr">
        <is>
          <t>1. Place order
2. Before restaurant prepares
3. Click Modify
4. Add/remove items
5. Confirm changes</t>
        </is>
      </c>
      <c r="G60" s="13" t="inlineStr">
        <is>
          <t>https://nutrio.me/orders</t>
        </is>
      </c>
      <c r="H60" s="4" t="inlineStr">
        <is>
          <t>Order updated with new items</t>
        </is>
      </c>
      <c r="I60" s="4">
        <f>IF(J60="","",IF(J60=H60,"PASS","FAIL"))</f>
        <v/>
      </c>
      <c r="J60" s="4" t="n"/>
      <c r="K60" s="4" t="n"/>
      <c r="L60" s="6" t="inlineStr">
        <is>
          <t>Medium</t>
        </is>
      </c>
      <c r="M60" s="4" t="n"/>
    </row>
    <row r="61" ht="60" customHeight="1" s="16">
      <c r="A61" s="4" t="inlineStr">
        <is>
          <t>TC214</t>
        </is>
      </c>
      <c r="B61" s="4" t="inlineStr">
        <is>
          <t>Customer</t>
        </is>
      </c>
      <c r="C61" s="4" t="inlineStr">
        <is>
          <t>Orders</t>
        </is>
      </c>
      <c r="D61" s="4" t="inlineStr">
        <is>
          <t>Cancel Restrictions</t>
        </is>
      </c>
      <c r="E61" s="4" t="inlineStr">
        <is>
          <t>Cancel Order Restrictions</t>
        </is>
      </c>
      <c r="F61" s="4" t="inlineStr">
        <is>
          <t>1. Try to cancel after preparation started
2. Verify cancellation not allowed
3. Check error message</t>
        </is>
      </c>
      <c r="G61" s="13" t="inlineStr">
        <is>
          <t>https://nutrio.me/orders</t>
        </is>
      </c>
      <c r="H61" s="4" t="inlineStr">
        <is>
          <t>Cancellation denied with appropriate message</t>
        </is>
      </c>
      <c r="I61" s="4">
        <f>IF(J61="","",IF(J61=H61,"PASS","FAIL"))</f>
        <v/>
      </c>
      <c r="J61" s="4" t="n"/>
      <c r="K61" s="4" t="n"/>
      <c r="L61" s="6" t="inlineStr">
        <is>
          <t>Medium</t>
        </is>
      </c>
      <c r="M61" s="4" t="n"/>
    </row>
    <row r="62" ht="75" customHeight="1" s="16">
      <c r="A62" s="4" t="inlineStr">
        <is>
          <t>TC215</t>
        </is>
      </c>
      <c r="B62" s="4" t="inlineStr">
        <is>
          <t>Customer</t>
        </is>
      </c>
      <c r="C62" s="4" t="inlineStr">
        <is>
          <t>Orders</t>
        </is>
      </c>
      <c r="D62" s="4" t="inlineStr">
        <is>
          <t>Reorder from History</t>
        </is>
      </c>
      <c r="E62" s="4" t="inlineStr">
        <is>
          <t>Quick Reorder from History</t>
        </is>
      </c>
      <c r="F62" s="4" t="inlineStr">
        <is>
          <t>1. Go to order history
2. Find past order
3. Click Reorder
4. All items added to cart</t>
        </is>
      </c>
      <c r="G62" s="13" t="inlineStr">
        <is>
          <t>https://nutrio.me/orders</t>
        </is>
      </c>
      <c r="H62" s="4" t="inlineStr">
        <is>
          <t>All items from previous order added to cart</t>
        </is>
      </c>
      <c r="I62" s="4">
        <f>IF(J62="","",IF(J62=H62,"PASS","FAIL"))</f>
        <v/>
      </c>
      <c r="J62" s="4" t="n"/>
      <c r="K62" s="4" t="n"/>
      <c r="L62" s="6" t="inlineStr">
        <is>
          <t>Medium</t>
        </is>
      </c>
      <c r="M62" s="4" t="n"/>
    </row>
    <row r="63" ht="45" customHeight="1" s="16">
      <c r="A63" s="4" t="inlineStr">
        <is>
          <t>TC216</t>
        </is>
      </c>
      <c r="B63" s="4" t="inlineStr">
        <is>
          <t>Customer</t>
        </is>
      </c>
      <c r="C63" s="4" t="inlineStr">
        <is>
          <t>Orders</t>
        </is>
      </c>
      <c r="D63" s="4" t="inlineStr">
        <is>
          <t>Rate Individual Items</t>
        </is>
      </c>
      <c r="E63" s="4" t="inlineStr">
        <is>
          <t>Rate Individual Meal Items</t>
        </is>
      </c>
      <c r="F63" s="4" t="inlineStr">
        <is>
          <t>1. Complete order
2. Rate each item separately
3. Add comments per item</t>
        </is>
      </c>
      <c r="G63" s="13" t="inlineStr">
        <is>
          <t>https://nutrio.me/orders</t>
        </is>
      </c>
      <c r="H63" s="4" t="inlineStr">
        <is>
          <t>Each item rated individually</t>
        </is>
      </c>
      <c r="I63" s="4">
        <f>IF(J63="","",IF(J63=H63,"PASS","FAIL"))</f>
        <v/>
      </c>
      <c r="J63" s="4" t="n"/>
      <c r="K63" s="4" t="n"/>
      <c r="L63" s="4" t="inlineStr">
        <is>
          <t>Low</t>
        </is>
      </c>
      <c r="M63" s="4" t="n"/>
    </row>
    <row r="64" ht="60" customHeight="1" s="16">
      <c r="A64" s="4" t="inlineStr">
        <is>
          <t>TC217</t>
        </is>
      </c>
      <c r="B64" s="4" t="inlineStr">
        <is>
          <t>Customer</t>
        </is>
      </c>
      <c r="C64" s="4" t="inlineStr">
        <is>
          <t>Orders</t>
        </is>
      </c>
      <c r="D64" s="4" t="inlineStr">
        <is>
          <t>Upload Photo Review</t>
        </is>
      </c>
      <c r="E64" s="4" t="inlineStr">
        <is>
          <t>Upload Photo with Review</t>
        </is>
      </c>
      <c r="F64" s="4" t="inlineStr">
        <is>
          <t>1. Complete order
2. Click Rate
3. Upload photo of received meal
4. Submit review</t>
        </is>
      </c>
      <c r="G64" s="13" t="inlineStr">
        <is>
          <t>https://nutrio.me/orders/[id]</t>
        </is>
      </c>
      <c r="H64" s="4" t="inlineStr">
        <is>
          <t>Photo uploaded with review</t>
        </is>
      </c>
      <c r="I64" s="4">
        <f>IF(J64="","",IF(J64=H64,"PASS","FAIL"))</f>
        <v/>
      </c>
      <c r="J64" s="4" t="n"/>
      <c r="K64" s="4" t="n"/>
      <c r="L64" s="4" t="inlineStr">
        <is>
          <t>Low</t>
        </is>
      </c>
      <c r="M64" s="4" t="n"/>
    </row>
    <row r="65" ht="60" customHeight="1" s="16">
      <c r="A65" s="4" t="inlineStr">
        <is>
          <t>TC218</t>
        </is>
      </c>
      <c r="B65" s="4" t="inlineStr">
        <is>
          <t>Customer</t>
        </is>
      </c>
      <c r="C65" s="4" t="inlineStr">
        <is>
          <t>Orders</t>
        </is>
      </c>
      <c r="D65" s="4" t="inlineStr">
        <is>
          <t>Delivery Instructions</t>
        </is>
      </c>
      <c r="E65" s="4" t="inlineStr">
        <is>
          <t>Add Special Delivery Instructions</t>
        </is>
      </c>
      <c r="F65" s="4" t="inlineStr">
        <is>
          <t>1. At checkout
2. Add delivery notes
3. Place order
4. Verify instructions visible to driver</t>
        </is>
      </c>
      <c r="G65" s="13" t="inlineStr">
        <is>
          <t>https://nutrio.me/orders/new</t>
        </is>
      </c>
      <c r="H65" s="4" t="inlineStr">
        <is>
          <t>Instructions saved and visible</t>
        </is>
      </c>
      <c r="I65" s="4">
        <f>IF(J65="","",IF(J65=H65,"PASS","FAIL"))</f>
        <v/>
      </c>
      <c r="J65" s="4" t="n"/>
      <c r="K65" s="4" t="n"/>
      <c r="L65" s="6" t="inlineStr">
        <is>
          <t>Medium</t>
        </is>
      </c>
      <c r="M65" s="4" t="n"/>
    </row>
    <row r="66" ht="60" customHeight="1" s="16">
      <c r="A66" s="4" t="inlineStr">
        <is>
          <t>TC219</t>
        </is>
      </c>
      <c r="B66" s="4" t="inlineStr">
        <is>
          <t>Customer</t>
        </is>
      </c>
      <c r="C66" s="4" t="inlineStr">
        <is>
          <t>Subscription</t>
        </is>
      </c>
      <c r="D66" s="4" t="inlineStr">
        <is>
          <t>View Usage History</t>
        </is>
      </c>
      <c r="E66" s="4" t="inlineStr">
        <is>
          <t>View Weekly Usage History</t>
        </is>
      </c>
      <c r="F66" s="4" t="inlineStr">
        <is>
          <t>1. Go to subscription
2. View past weeks
3. See meals used per week
4. Check rollover meals</t>
        </is>
      </c>
      <c r="G66" s="13" t="inlineStr">
        <is>
          <t>https://nutrio.me/subscription/[id]</t>
        </is>
      </c>
      <c r="H66" s="4" t="inlineStr">
        <is>
          <t>Weekly usage history displayed</t>
        </is>
      </c>
      <c r="I66" s="4">
        <f>IF(J66="","",IF(J66=H66,"PASS","FAIL"))</f>
        <v/>
      </c>
      <c r="J66" s="4" t="n"/>
      <c r="K66" s="4" t="n"/>
      <c r="L66" s="4" t="inlineStr">
        <is>
          <t>Low</t>
        </is>
      </c>
      <c r="M66" s="4" t="n"/>
    </row>
    <row r="67" ht="105" customHeight="1" s="16">
      <c r="A67" s="4" t="inlineStr">
        <is>
          <t>TC220</t>
        </is>
      </c>
      <c r="B67" s="4" t="inlineStr">
        <is>
          <t>Customer</t>
        </is>
      </c>
      <c r="C67" s="4" t="inlineStr">
        <is>
          <t>Subscription</t>
        </is>
      </c>
      <c r="D67" s="4" t="inlineStr">
        <is>
          <t>Upgrade Mid-Week</t>
        </is>
      </c>
      <c r="E67" s="4" t="inlineStr">
        <is>
          <t>Upgrade Subscription Mid-Week</t>
        </is>
      </c>
      <c r="F67" s="4" t="inlineStr">
        <is>
          <t>1. Use some meals
2. Upgrade plan
3. Verify additional meals added immediately
4. Pay prorated difference</t>
        </is>
      </c>
      <c r="G67" s="13" t="inlineStr">
        <is>
          <t>https://nutrio.me/subscription</t>
        </is>
      </c>
      <c r="H67" s="4" t="inlineStr">
        <is>
          <t>Plan upgraded, additional meals available immediately</t>
        </is>
      </c>
      <c r="I67" s="4">
        <f>IF(J67="","",IF(J67=H67,"PASS","FAIL"))</f>
        <v/>
      </c>
      <c r="J67" s="4" t="n"/>
      <c r="K67" s="4" t="n"/>
      <c r="L67" s="6" t="inlineStr">
        <is>
          <t>Medium</t>
        </is>
      </c>
      <c r="M67" s="4" t="n"/>
    </row>
    <row r="68" ht="60" customHeight="1" s="16">
      <c r="A68" s="4" t="inlineStr">
        <is>
          <t>TC221</t>
        </is>
      </c>
      <c r="B68" s="4" t="inlineStr">
        <is>
          <t>Customer</t>
        </is>
      </c>
      <c r="C68" s="4" t="inlineStr">
        <is>
          <t>Subscription</t>
        </is>
      </c>
      <c r="D68" s="4" t="inlineStr">
        <is>
          <t>Pause with Date</t>
        </is>
      </c>
      <c r="E68" s="4" t="inlineStr">
        <is>
          <t>Pause Subscription with Return Date</t>
        </is>
      </c>
      <c r="F68" s="4" t="inlineStr">
        <is>
          <t>1. Click Pause
2. Select resume date
3. Confirm
4. Verify auto-resume scheduled</t>
        </is>
      </c>
      <c r="G68" s="13" t="inlineStr">
        <is>
          <t>https://nutrio.me/subscription</t>
        </is>
      </c>
      <c r="H68" s="4" t="inlineStr">
        <is>
          <t>Subscription paused until selected date</t>
        </is>
      </c>
      <c r="I68" s="4">
        <f>IF(J68="","",IF(J68=H68,"PASS","FAIL"))</f>
        <v/>
      </c>
      <c r="J68" s="4" t="n"/>
      <c r="K68" s="4" t="n"/>
      <c r="L68" s="6" t="inlineStr">
        <is>
          <t>Medium</t>
        </is>
      </c>
      <c r="M68" s="4" t="n"/>
    </row>
    <row r="69" ht="60" customHeight="1" s="16">
      <c r="A69" s="4" t="inlineStr">
        <is>
          <t>TC222</t>
        </is>
      </c>
      <c r="B69" s="4" t="inlineStr">
        <is>
          <t>Customer</t>
        </is>
      </c>
      <c r="C69" s="4" t="inlineStr">
        <is>
          <t>Subscription</t>
        </is>
      </c>
      <c r="D69" s="4" t="inlineStr">
        <is>
          <t>Cancel Refund</t>
        </is>
      </c>
      <c r="E69" s="4" t="inlineStr">
        <is>
          <t>Subscription Cancellation Refund</t>
        </is>
      </c>
      <c r="F69" s="4" t="inlineStr">
        <is>
          <t>1. Cancel subscription
2. Check refund policy
3. Verify refund amount
4. Check refund timeline</t>
        </is>
      </c>
      <c r="G69" s="13" t="inlineStr">
        <is>
          <t>https://nutrio.me/subscription</t>
        </is>
      </c>
      <c r="H69" s="4" t="inlineStr">
        <is>
          <t>Refund information displayed correctly</t>
        </is>
      </c>
      <c r="I69" s="4">
        <f>IF(J69="","",IF(J69=H69,"PASS","FAIL"))</f>
        <v/>
      </c>
      <c r="J69" s="4" t="n"/>
      <c r="K69" s="4" t="n"/>
      <c r="L69" s="6" t="inlineStr">
        <is>
          <t>Medium</t>
        </is>
      </c>
      <c r="M69" s="4" t="n"/>
    </row>
    <row r="70" ht="60" customHeight="1" s="16">
      <c r="A70" s="4" t="inlineStr">
        <is>
          <t>TC223</t>
        </is>
      </c>
      <c r="B70" s="4" t="inlineStr">
        <is>
          <t>Customer</t>
        </is>
      </c>
      <c r="C70" s="4" t="inlineStr">
        <is>
          <t>Profile</t>
        </is>
      </c>
      <c r="D70" s="4" t="inlineStr">
        <is>
          <t>Add Multiple Addresses</t>
        </is>
      </c>
      <c r="E70" s="4" t="inlineStr">
        <is>
          <t>Add Multiple Delivery Addresses</t>
        </is>
      </c>
      <c r="F70" s="4" t="inlineStr">
        <is>
          <t>1. Go to addresses
2. Add home address
3. Add work address
4. Add custom label</t>
        </is>
      </c>
      <c r="G70" s="13" t="inlineStr">
        <is>
          <t>https://nutrio.me/profile/new</t>
        </is>
      </c>
      <c r="H70" s="4" t="inlineStr">
        <is>
          <t>Multiple addresses saved with labels</t>
        </is>
      </c>
      <c r="I70" s="4">
        <f>IF(J70="","",IF(J70=H70,"PASS","FAIL"))</f>
        <v/>
      </c>
      <c r="J70" s="4" t="n"/>
      <c r="K70" s="4" t="n"/>
      <c r="L70" s="6" t="inlineStr">
        <is>
          <t>Medium</t>
        </is>
      </c>
      <c r="M70" s="4" t="n"/>
    </row>
    <row r="71" ht="60" customHeight="1" s="16">
      <c r="A71" s="4" t="inlineStr">
        <is>
          <t>TC224</t>
        </is>
      </c>
      <c r="B71" s="4" t="inlineStr">
        <is>
          <t>Customer</t>
        </is>
      </c>
      <c r="C71" s="4" t="inlineStr">
        <is>
          <t>Profile</t>
        </is>
      </c>
      <c r="D71" s="4" t="inlineStr">
        <is>
          <t>Set Default Address</t>
        </is>
      </c>
      <c r="E71" s="4" t="inlineStr">
        <is>
          <t>Set Default Delivery Address</t>
        </is>
      </c>
      <c r="F71" s="4" t="inlineStr">
        <is>
          <t>1. Have multiple addresses
2. Set one as default
3. Verify default badge
4. Place order</t>
        </is>
      </c>
      <c r="G71" s="13" t="inlineStr">
        <is>
          <t>https://nutrio.me/profile/new</t>
        </is>
      </c>
      <c r="H71" s="4" t="inlineStr">
        <is>
          <t>Default address pre-selected at checkout</t>
        </is>
      </c>
      <c r="I71" s="4">
        <f>IF(J71="","",IF(J71=H71,"PASS","FAIL"))</f>
        <v/>
      </c>
      <c r="J71" s="4" t="n"/>
      <c r="K71" s="4" t="n"/>
      <c r="L71" s="6" t="inlineStr">
        <is>
          <t>Medium</t>
        </is>
      </c>
      <c r="M71" s="4" t="n"/>
    </row>
    <row r="72" ht="60" customHeight="1" s="16">
      <c r="A72" s="4" t="inlineStr">
        <is>
          <t>TC225</t>
        </is>
      </c>
      <c r="B72" s="4" t="inlineStr">
        <is>
          <t>Customer</t>
        </is>
      </c>
      <c r="C72" s="4" t="inlineStr">
        <is>
          <t>Profile</t>
        </is>
      </c>
      <c r="D72" s="4" t="inlineStr">
        <is>
          <t>Delete Address</t>
        </is>
      </c>
      <c r="E72" s="4" t="inlineStr">
        <is>
          <t>Delete Delivery Address</t>
        </is>
      </c>
      <c r="F72" s="4" t="inlineStr">
        <is>
          <t>1. Go to addresses
2. Click delete on address
3. Confirm deletion
4. Verify removed</t>
        </is>
      </c>
      <c r="G72" s="13" t="inlineStr">
        <is>
          <t>https://nutrio.me/profile/new</t>
        </is>
      </c>
      <c r="H72" s="4" t="inlineStr">
        <is>
          <t>Address deleted from list</t>
        </is>
      </c>
      <c r="I72" s="4">
        <f>IF(J72="","",IF(J72=H72,"PASS","FAIL"))</f>
        <v/>
      </c>
      <c r="J72" s="4" t="n"/>
      <c r="K72" s="4" t="n"/>
      <c r="L72" s="4" t="inlineStr">
        <is>
          <t>Low</t>
        </is>
      </c>
      <c r="M72" s="4" t="n"/>
    </row>
    <row r="73" ht="75" customHeight="1" s="16">
      <c r="A73" s="4" t="inlineStr">
        <is>
          <t>TC226</t>
        </is>
      </c>
      <c r="B73" s="4" t="inlineStr">
        <is>
          <t>Customer</t>
        </is>
      </c>
      <c r="C73" s="4" t="inlineStr">
        <is>
          <t>Profile</t>
        </is>
      </c>
      <c r="D73" s="4" t="inlineStr">
        <is>
          <t>Notification Settings</t>
        </is>
      </c>
      <c r="E73" s="4" t="inlineStr">
        <is>
          <t>Manage Notification Preferences</t>
        </is>
      </c>
      <c r="F73" s="4" t="inlineStr">
        <is>
          <t>1. Go to settings
2. Toggle order notifications
3. Toggle promotional emails
4. Toggle SMS notifications
5. Save preferences</t>
        </is>
      </c>
      <c r="G73" s="13" t="inlineStr">
        <is>
          <t>https://nutrio.me/profile</t>
        </is>
      </c>
      <c r="H73" s="4" t="inlineStr">
        <is>
          <t>Notification preferences saved</t>
        </is>
      </c>
      <c r="I73" s="4">
        <f>IF(J73="","",IF(J73=H73,"PASS","FAIL"))</f>
        <v/>
      </c>
      <c r="J73" s="4" t="n"/>
      <c r="K73" s="4" t="n"/>
      <c r="L73" s="4" t="inlineStr">
        <is>
          <t>Low</t>
        </is>
      </c>
      <c r="M73" s="4" t="n"/>
    </row>
    <row r="74" ht="60" customHeight="1" s="16">
      <c r="A74" s="4" t="inlineStr">
        <is>
          <t>TC227</t>
        </is>
      </c>
      <c r="B74" s="4" t="inlineStr">
        <is>
          <t>Customer</t>
        </is>
      </c>
      <c r="C74" s="4" t="inlineStr">
        <is>
          <t>Profile</t>
        </is>
      </c>
      <c r="D74" s="4" t="inlineStr">
        <is>
          <t>Privacy Settings</t>
        </is>
      </c>
      <c r="E74" s="4" t="inlineStr">
        <is>
          <t>Manage Privacy Settings</t>
        </is>
      </c>
      <c r="F74" s="4" t="inlineStr">
        <is>
          <t>1. Go to privacy settings
2. Toggle profile visibility
3. Manage data sharing
4. Download data export</t>
        </is>
      </c>
      <c r="G74" s="13" t="inlineStr">
        <is>
          <t>https://nutrio.me/profile</t>
        </is>
      </c>
      <c r="H74" s="4" t="inlineStr">
        <is>
          <t>Privacy settings applied</t>
        </is>
      </c>
      <c r="I74" s="4">
        <f>IF(J74="","",IF(J74=H74,"PASS","FAIL"))</f>
        <v/>
      </c>
      <c r="J74" s="4" t="n"/>
      <c r="K74" s="4" t="n"/>
      <c r="L74" s="4" t="inlineStr">
        <is>
          <t>Low</t>
        </is>
      </c>
      <c r="M74" s="4" t="n"/>
    </row>
    <row r="75" ht="75" customHeight="1" s="16">
      <c r="A75" s="4" t="inlineStr">
        <is>
          <t>TC228</t>
        </is>
      </c>
      <c r="B75" s="4" t="inlineStr">
        <is>
          <t>Customer</t>
        </is>
      </c>
      <c r="C75" s="4" t="inlineStr">
        <is>
          <t>Profile</t>
        </is>
      </c>
      <c r="D75" s="4" t="inlineStr">
        <is>
          <t>Language Selection</t>
        </is>
      </c>
      <c r="E75" s="4" t="inlineStr">
        <is>
          <t>Change App Language</t>
        </is>
      </c>
      <c r="F75" s="4" t="inlineStr">
        <is>
          <t>1. Go to settings
2. Click Language
3. Select Arabic
4. Verify UI changes</t>
        </is>
      </c>
      <c r="G75" s="13" t="inlineStr">
        <is>
          <t>https://nutrio.me/profile</t>
        </is>
      </c>
      <c r="H75" s="4" t="inlineStr">
        <is>
          <t>App language changed to selected language</t>
        </is>
      </c>
      <c r="I75" s="4">
        <f>IF(J75="","",IF(J75=H75,"PASS","FAIL"))</f>
        <v/>
      </c>
      <c r="J75" s="4" t="n"/>
      <c r="K75" s="4" t="n"/>
      <c r="L75" s="6" t="inlineStr">
        <is>
          <t>Medium</t>
        </is>
      </c>
      <c r="M75" s="4" t="n"/>
    </row>
    <row r="76" ht="75" customHeight="1" s="16">
      <c r="A76" s="4" t="inlineStr">
        <is>
          <t>TC229</t>
        </is>
      </c>
      <c r="B76" s="4" t="inlineStr">
        <is>
          <t>Customer</t>
        </is>
      </c>
      <c r="C76" s="4" t="inlineStr">
        <is>
          <t>Profile</t>
        </is>
      </c>
      <c r="D76" s="4" t="inlineStr">
        <is>
          <t>Dark Mode</t>
        </is>
      </c>
      <c r="E76" s="4" t="inlineStr">
        <is>
          <t>Toggle Dark Mode</t>
        </is>
      </c>
      <c r="F76" s="4" t="inlineStr">
        <is>
          <t>1. Click theme toggle
2. Switch to dark mode
3. Verify UI changes
4. Switch back to light</t>
        </is>
      </c>
      <c r="G76" s="13" t="inlineStr">
        <is>
          <t>https://nutrio.me/profile</t>
        </is>
      </c>
      <c r="H76" s="4" t="inlineStr">
        <is>
          <t>Theme toggles between dark and light</t>
        </is>
      </c>
      <c r="I76" s="4">
        <f>IF(J76="","",IF(J76=H76,"PASS","FAIL"))</f>
        <v/>
      </c>
      <c r="J76" s="4" t="n"/>
      <c r="K76" s="4" t="n"/>
      <c r="L76" s="4" t="inlineStr">
        <is>
          <t>Low</t>
        </is>
      </c>
      <c r="M76" s="4" t="n"/>
    </row>
    <row r="77">
      <c r="G77" s="13" t="inlineStr">
        <is>
          <t>https://nutrio.me/</t>
        </is>
      </c>
      <c r="I77">
        <f>IF(J77="","",IF(J77=H77,"PASS","FAIL"))</f>
        <v/>
      </c>
    </row>
    <row r="78" ht="15.75" customHeight="1" s="16">
      <c r="A78" s="12" t="inlineStr">
        <is>
          <t>SUMMARY</t>
        </is>
      </c>
      <c r="G78" s="13" t="inlineStr">
        <is>
          <t>https://nutrio.me/</t>
        </is>
      </c>
      <c r="I78">
        <f>IF(J78="","",IF(J78=H78,"PASS","FAIL"))</f>
        <v/>
      </c>
    </row>
    <row r="79">
      <c r="A79" t="inlineStr">
        <is>
          <t>Total Tests:</t>
        </is>
      </c>
      <c r="B79">
        <f>COUNTA(A2:A77)</f>
        <v/>
      </c>
      <c r="G79" s="13" t="inlineStr">
        <is>
          <t>https://nutrio.me/</t>
        </is>
      </c>
      <c r="I79">
        <f>IF(J79="","",IF(J79=H79,"PASS","FAIL"))</f>
        <v/>
      </c>
    </row>
    <row r="80">
      <c r="A80" t="inlineStr">
        <is>
          <t>Passed:</t>
        </is>
      </c>
      <c r="B80">
        <f>COUNTIF(I2:I77,"PASS")</f>
        <v/>
      </c>
      <c r="G80" s="13" t="inlineStr">
        <is>
          <t>https://nutrio.me/</t>
        </is>
      </c>
      <c r="I80">
        <f>IF(J80="","",IF(J80=H80,"PASS","FAIL"))</f>
        <v/>
      </c>
    </row>
    <row r="81">
      <c r="A81" t="inlineStr">
        <is>
          <t>Failed:</t>
        </is>
      </c>
      <c r="B81">
        <f>COUNTIF(I2:I77,"FAIL")</f>
        <v/>
      </c>
      <c r="G81" s="13" t="inlineStr">
        <is>
          <t>https://nutrio.me/</t>
        </is>
      </c>
      <c r="I81">
        <f>IF(J81="","",IF(J81=H81,"PASS","FAIL"))</f>
        <v/>
      </c>
    </row>
    <row r="82">
      <c r="A82" t="inlineStr">
        <is>
          <t>Pass Rate:</t>
        </is>
      </c>
      <c r="B82" s="2">
        <f>IF(COUNTA(I2:I77)&gt;0,COUNTIF(I2:I77,"PASS")/COUNTA(I2:I77),0)</f>
        <v/>
      </c>
      <c r="G82" s="13" t="inlineStr">
        <is>
          <t>https://nutrio.me/</t>
        </is>
      </c>
      <c r="I82">
        <f>IF(J82="","",IF(J82=H82,"PASS","FAIL"))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60" customHeight="1" s="16">
      <c r="A2" s="4" t="inlineStr">
        <is>
          <t>TC076</t>
        </is>
      </c>
      <c r="B2" s="4" t="inlineStr">
        <is>
          <t>Admin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Admin Login</t>
        </is>
      </c>
      <c r="F2" s="4" t="inlineStr">
        <is>
          <t>1. Navigate to /admin
2. Enter Email: admin@nutrio.com / Password: Khamees1992#
3. Login</t>
        </is>
      </c>
      <c r="G2" s="13" t="inlineStr">
        <is>
          <t>https://nutrio.me/admin/auth</t>
        </is>
      </c>
      <c r="H2" s="4" t="inlineStr">
        <is>
          <t>Admin logged in, dashboard displayed</t>
        </is>
      </c>
      <c r="I2" s="4">
        <f>IF(J2="","",IF(J2=H2,"PASS","FAIL"))</f>
        <v/>
      </c>
      <c r="J2" s="4" t="n"/>
      <c r="K2" s="4" t="n"/>
      <c r="L2" s="5" t="inlineStr">
        <is>
          <t>High</t>
        </is>
      </c>
      <c r="M2" s="4" t="n"/>
    </row>
    <row r="3" ht="45" customHeight="1" s="16">
      <c r="A3" s="4" t="inlineStr">
        <is>
          <t>TC077</t>
        </is>
      </c>
      <c r="B3" s="4" t="inlineStr">
        <is>
          <t>Admin</t>
        </is>
      </c>
      <c r="C3" s="4" t="inlineStr">
        <is>
          <t>Auth</t>
        </is>
      </c>
      <c r="D3" s="4" t="inlineStr">
        <is>
          <t>Invalid Login</t>
        </is>
      </c>
      <c r="E3" s="4" t="inlineStr">
        <is>
          <t>Admin Login - Invalid</t>
        </is>
      </c>
      <c r="F3" s="4" t="inlineStr">
        <is>
          <t>1. Enter wrong password
2. Try to login</t>
        </is>
      </c>
      <c r="G3" s="13" t="inlineStr">
        <is>
          <t>https://nutrio.me/admin/auth</t>
        </is>
      </c>
      <c r="H3" s="4" t="inlineStr">
        <is>
          <t>Access denied, error shown</t>
        </is>
      </c>
      <c r="I3" s="4">
        <f>IF(J3="","",IF(J3=H3,"PASS","FAIL"))</f>
        <v/>
      </c>
      <c r="J3" s="4" t="n"/>
      <c r="K3" s="4" t="n"/>
      <c r="L3" s="5" t="inlineStr">
        <is>
          <t>High</t>
        </is>
      </c>
      <c r="M3" s="4" t="n"/>
    </row>
    <row r="4" ht="45" customHeight="1" s="16">
      <c r="A4" s="4" t="inlineStr">
        <is>
          <t>TC078</t>
        </is>
      </c>
      <c r="B4" s="4" t="inlineStr">
        <is>
          <t>Admin</t>
        </is>
      </c>
      <c r="C4" s="4" t="inlineStr">
        <is>
          <t>Auth</t>
        </is>
      </c>
      <c r="D4" s="4" t="inlineStr">
        <is>
          <t>Logout</t>
        </is>
      </c>
      <c r="E4" s="4" t="inlineStr">
        <is>
          <t>Admin Logout</t>
        </is>
      </c>
      <c r="F4" s="4" t="inlineStr">
        <is>
          <t>1. Click Logout</t>
        </is>
      </c>
      <c r="G4" s="13" t="inlineStr">
        <is>
          <t>https://nutrio.me/admin/auth</t>
        </is>
      </c>
      <c r="H4" s="4" t="inlineStr">
        <is>
          <t>Logged out, redirected to login</t>
        </is>
      </c>
      <c r="I4" s="4">
        <f>IF(J4="","",IF(J4=H4,"PASS","FAIL"))</f>
        <v/>
      </c>
      <c r="J4" s="4" t="n"/>
      <c r="K4" s="4" t="n"/>
      <c r="L4" s="5" t="inlineStr">
        <is>
          <t>High</t>
        </is>
      </c>
      <c r="M4" s="4" t="n"/>
    </row>
    <row r="5" ht="75" customHeight="1" s="16">
      <c r="A5" s="4" t="inlineStr">
        <is>
          <t>TC079</t>
        </is>
      </c>
      <c r="B5" s="4" t="inlineStr">
        <is>
          <t>Admin</t>
        </is>
      </c>
      <c r="C5" s="4" t="inlineStr">
        <is>
          <t>Auth</t>
        </is>
      </c>
      <c r="D5" s="4" t="inlineStr">
        <is>
          <t>Role Check</t>
        </is>
      </c>
      <c r="E5" s="4" t="inlineStr">
        <is>
          <t>Non-Admin Access Denied</t>
        </is>
      </c>
      <c r="F5" s="4" t="inlineStr">
        <is>
          <t>1. Login as customer
2. Try to access /admin</t>
        </is>
      </c>
      <c r="G5" s="13" t="inlineStr">
        <is>
          <t>https://nutrio.me/admin/auth</t>
        </is>
      </c>
      <c r="H5" s="4" t="inlineStr">
        <is>
          <t>Access denied, redirected to dashboard</t>
        </is>
      </c>
      <c r="I5" s="4">
        <f>IF(J5="","",IF(J5=H5,"PASS","FAIL"))</f>
        <v/>
      </c>
      <c r="J5" s="4" t="n"/>
      <c r="K5" s="4" t="n"/>
      <c r="L5" s="7" t="inlineStr">
        <is>
          <t>Critical</t>
        </is>
      </c>
      <c r="M5" s="4" t="n"/>
    </row>
    <row r="6" ht="90" customHeight="1" s="16">
      <c r="A6" s="4" t="inlineStr">
        <is>
          <t>TC080</t>
        </is>
      </c>
      <c r="B6" s="4" t="inlineStr">
        <is>
          <t>Admin</t>
        </is>
      </c>
      <c r="C6" s="4" t="inlineStr">
        <is>
          <t>Dashboard</t>
        </is>
      </c>
      <c r="D6" s="4" t="inlineStr">
        <is>
          <t>View</t>
        </is>
      </c>
      <c r="E6" s="4" t="inlineStr">
        <is>
          <t>Admin Dashboard Load</t>
        </is>
      </c>
      <c r="F6" s="4" t="inlineStr">
        <is>
          <t>1. Login as admin
2. View dashboard</t>
        </is>
      </c>
      <c r="G6" s="13" t="inlineStr">
        <is>
          <t>https://nutrio.me/admin/dashboard</t>
        </is>
      </c>
      <c r="H6" s="4" t="inlineStr">
        <is>
          <t>Dashboard shows: total users, orders, revenue, restaurants</t>
        </is>
      </c>
      <c r="I6" s="4">
        <f>IF(J6="","",IF(J6=H6,"PASS","FAIL"))</f>
        <v/>
      </c>
      <c r="J6" s="4" t="n"/>
      <c r="K6" s="4" t="n"/>
      <c r="L6" s="5" t="inlineStr">
        <is>
          <t>High</t>
        </is>
      </c>
      <c r="M6" s="4" t="n"/>
    </row>
    <row r="7" ht="60" customHeight="1" s="16">
      <c r="A7" s="4" t="inlineStr">
        <is>
          <t>TC081</t>
        </is>
      </c>
      <c r="B7" s="4" t="inlineStr">
        <is>
          <t>Admin</t>
        </is>
      </c>
      <c r="C7" s="4" t="inlineStr">
        <is>
          <t>Dashboard</t>
        </is>
      </c>
      <c r="D7" s="4" t="inlineStr">
        <is>
          <t>Stats</t>
        </is>
      </c>
      <c r="E7" s="4" t="inlineStr">
        <is>
          <t>Dashboard Statistics</t>
        </is>
      </c>
      <c r="F7" s="4" t="inlineStr">
        <is>
          <t>1. Verify all stats
2. Check graphs/charts</t>
        </is>
      </c>
      <c r="G7" s="13" t="inlineStr">
        <is>
          <t>https://nutrio.me/admin/dashboard</t>
        </is>
      </c>
      <c r="H7" s="4" t="inlineStr">
        <is>
          <t>All metrics accurate and up-to-date</t>
        </is>
      </c>
      <c r="I7" s="4">
        <f>IF(J7="","",IF(J7=H7,"PASS","FAIL"))</f>
        <v/>
      </c>
      <c r="J7" s="4" t="n"/>
      <c r="K7" s="4" t="n"/>
      <c r="L7" s="5" t="inlineStr">
        <is>
          <t>High</t>
        </is>
      </c>
      <c r="M7" s="4" t="n"/>
    </row>
    <row r="8" ht="45" customHeight="1" s="16">
      <c r="A8" s="4" t="inlineStr">
        <is>
          <t>TC082</t>
        </is>
      </c>
      <c r="B8" s="4" t="inlineStr">
        <is>
          <t>Admin</t>
        </is>
      </c>
      <c r="C8" s="4" t="inlineStr">
        <is>
          <t>Dashboard</t>
        </is>
      </c>
      <c r="D8" s="4" t="inlineStr">
        <is>
          <t>Quick Actions</t>
        </is>
      </c>
      <c r="E8" s="4" t="inlineStr">
        <is>
          <t>Admin Quick Actions</t>
        </is>
      </c>
      <c r="F8" s="4" t="inlineStr">
        <is>
          <t>1. Click on each quick action button</t>
        </is>
      </c>
      <c r="G8" s="13" t="inlineStr">
        <is>
          <t>https://nutrio.me/admin/dashboard</t>
        </is>
      </c>
      <c r="H8" s="4" t="inlineStr">
        <is>
          <t>Navigates to correct section</t>
        </is>
      </c>
      <c r="I8" s="4">
        <f>IF(J8="","",IF(J8=H8,"PASS","FAIL"))</f>
        <v/>
      </c>
      <c r="J8" s="4" t="n"/>
      <c r="K8" s="4" t="n"/>
      <c r="L8" s="6" t="inlineStr">
        <is>
          <t>Medium</t>
        </is>
      </c>
      <c r="M8" s="4" t="n"/>
    </row>
    <row r="9" ht="90" customHeight="1" s="16">
      <c r="A9" s="4" t="inlineStr">
        <is>
          <t>TC083</t>
        </is>
      </c>
      <c r="B9" s="4" t="inlineStr">
        <is>
          <t>Admin</t>
        </is>
      </c>
      <c r="C9" s="4" t="inlineStr">
        <is>
          <t>Dashboard</t>
        </is>
      </c>
      <c r="D9" s="4" t="inlineStr">
        <is>
          <t>Recent Activity</t>
        </is>
      </c>
      <c r="E9" s="4" t="inlineStr">
        <is>
          <t>View Recent Activity</t>
        </is>
      </c>
      <c r="F9" s="4" t="inlineStr">
        <is>
          <t>1. Scroll to recent activity
2. View latest actions</t>
        </is>
      </c>
      <c r="G9" s="13" t="inlineStr">
        <is>
          <t>https://nutrio.me/admin/dashboard/[id]</t>
        </is>
      </c>
      <c r="H9" s="4" t="inlineStr">
        <is>
          <t>Recent orders, signups, restaurant applications shown</t>
        </is>
      </c>
      <c r="I9" s="4">
        <f>IF(J9="","",IF(J9=H9,"PASS","FAIL"))</f>
        <v/>
      </c>
      <c r="J9" s="4" t="n"/>
      <c r="K9" s="4" t="n"/>
      <c r="L9" s="6" t="inlineStr">
        <is>
          <t>Medium</t>
        </is>
      </c>
      <c r="M9" s="4" t="n"/>
    </row>
    <row r="10" ht="75" customHeight="1" s="16">
      <c r="A10" s="4" t="inlineStr">
        <is>
          <t>TC084</t>
        </is>
      </c>
      <c r="B10" s="4" t="inlineStr">
        <is>
          <t>Admin</t>
        </is>
      </c>
      <c r="C10" s="4" t="inlineStr">
        <is>
          <t>Users</t>
        </is>
      </c>
      <c r="D10" s="4" t="inlineStr">
        <is>
          <t>View Users</t>
        </is>
      </c>
      <c r="E10" s="4" t="inlineStr">
        <is>
          <t>View All Users</t>
        </is>
      </c>
      <c r="F10" s="4" t="inlineStr">
        <is>
          <t>1. Go to Users page
2. View user list</t>
        </is>
      </c>
      <c r="G10" s="13" t="inlineStr">
        <is>
          <t>https://nutrio.me/admin/users/[id]</t>
        </is>
      </c>
      <c r="H10" s="4" t="inlineStr">
        <is>
          <t>All users displayed with roles, status, subscription</t>
        </is>
      </c>
      <c r="I10" s="4">
        <f>IF(J10="","",IF(J10=H10,"PASS","FAIL"))</f>
        <v/>
      </c>
      <c r="J10" s="4" t="n"/>
      <c r="K10" s="4" t="n"/>
      <c r="L10" s="5" t="inlineStr">
        <is>
          <t>High</t>
        </is>
      </c>
      <c r="M10" s="4" t="n"/>
    </row>
    <row r="11" ht="45" customHeight="1" s="16">
      <c r="A11" s="4" t="inlineStr">
        <is>
          <t>TC085</t>
        </is>
      </c>
      <c r="B11" s="4" t="inlineStr">
        <is>
          <t>Admin</t>
        </is>
      </c>
      <c r="C11" s="4" t="inlineStr">
        <is>
          <t>Users</t>
        </is>
      </c>
      <c r="D11" s="4" t="inlineStr">
        <is>
          <t>Search User</t>
        </is>
      </c>
      <c r="E11" s="4" t="inlineStr">
        <is>
          <t>Search for User</t>
        </is>
      </c>
      <c r="F11" s="4" t="inlineStr">
        <is>
          <t>1. Enter name/email in search
2. Press Enter</t>
        </is>
      </c>
      <c r="G11" s="13" t="inlineStr">
        <is>
          <t>https://nutrio.me/admin/users?q=[search-term]</t>
        </is>
      </c>
      <c r="H11" s="4" t="inlineStr">
        <is>
          <t>Matching users displayed</t>
        </is>
      </c>
      <c r="I11" s="4">
        <f>IF(J11="","",IF(J11=H11,"PASS","FAIL"))</f>
        <v/>
      </c>
      <c r="J11" s="4" t="n"/>
      <c r="K11" s="4" t="n"/>
      <c r="L11" s="5" t="inlineStr">
        <is>
          <t>High</t>
        </is>
      </c>
      <c r="M11" s="4" t="n"/>
    </row>
    <row r="12" ht="45" customHeight="1" s="16">
      <c r="A12" s="4" t="inlineStr">
        <is>
          <t>TC086</t>
        </is>
      </c>
      <c r="B12" s="4" t="inlineStr">
        <is>
          <t>Admin</t>
        </is>
      </c>
      <c r="C12" s="4" t="inlineStr">
        <is>
          <t>Users</t>
        </is>
      </c>
      <c r="D12" s="4" t="inlineStr">
        <is>
          <t>Filter Users</t>
        </is>
      </c>
      <c r="E12" s="4" t="inlineStr">
        <is>
          <t>Filter Users by Status</t>
        </is>
      </c>
      <c r="F12" s="4" t="inlineStr">
        <is>
          <t>1. Select filter (Active/Inactive/Subscribed)
2. Apply</t>
        </is>
      </c>
      <c r="G12" s="13" t="inlineStr">
        <is>
          <t>https://nutrio.me/admin/users?filter=[value]</t>
        </is>
      </c>
      <c r="H12" s="4" t="inlineStr">
        <is>
          <t>Filtered user list displayed</t>
        </is>
      </c>
      <c r="I12" s="4">
        <f>IF(J12="","",IF(J12=H12,"PASS","FAIL"))</f>
        <v/>
      </c>
      <c r="J12" s="4" t="n"/>
      <c r="K12" s="4" t="n"/>
      <c r="L12" s="6" t="inlineStr">
        <is>
          <t>Medium</t>
        </is>
      </c>
      <c r="M12" s="4" t="n"/>
    </row>
    <row r="13" ht="90" customHeight="1" s="16">
      <c r="A13" s="4" t="inlineStr">
        <is>
          <t>TC087</t>
        </is>
      </c>
      <c r="B13" s="4" t="inlineStr">
        <is>
          <t>Admin</t>
        </is>
      </c>
      <c r="C13" s="4" t="inlineStr">
        <is>
          <t>Users</t>
        </is>
      </c>
      <c r="D13" s="4" t="inlineStr">
        <is>
          <t>View User Details</t>
        </is>
      </c>
      <c r="E13" s="4" t="inlineStr">
        <is>
          <t>View User Details</t>
        </is>
      </c>
      <c r="F13" s="4" t="inlineStr">
        <is>
          <t>1. Click on user
2. View details page</t>
        </is>
      </c>
      <c r="G13" s="13" t="inlineStr">
        <is>
          <t>https://nutrio.me/admin/users/[id]</t>
        </is>
      </c>
      <c r="H13" s="4" t="inlineStr">
        <is>
          <t>Full user info: profile, orders, subscription, referrals</t>
        </is>
      </c>
      <c r="I13" s="4">
        <f>IF(J13="","",IF(J13=H13,"PASS","FAIL"))</f>
        <v/>
      </c>
      <c r="J13" s="4" t="n"/>
      <c r="K13" s="4" t="n"/>
      <c r="L13" s="5" t="inlineStr">
        <is>
          <t>High</t>
        </is>
      </c>
      <c r="M13" s="4" t="n"/>
    </row>
    <row r="14" ht="60" customHeight="1" s="16">
      <c r="A14" s="4" t="inlineStr">
        <is>
          <t>TC088</t>
        </is>
      </c>
      <c r="B14" s="4" t="inlineStr">
        <is>
          <t>Admin</t>
        </is>
      </c>
      <c r="C14" s="4" t="inlineStr">
        <is>
          <t>Users</t>
        </is>
      </c>
      <c r="D14" s="4" t="inlineStr">
        <is>
          <t>Edit User</t>
        </is>
      </c>
      <c r="E14" s="4" t="inlineStr">
        <is>
          <t>Edit User Information</t>
        </is>
      </c>
      <c r="F14" s="4" t="inlineStr">
        <is>
          <t>1. Open user details
2. Click Edit
3. Change info
4. Save</t>
        </is>
      </c>
      <c r="G14" s="13" t="inlineStr">
        <is>
          <t>https://nutrio.me/admin/users/[id]/edit</t>
        </is>
      </c>
      <c r="H14" s="4" t="inlineStr">
        <is>
          <t>User information updated</t>
        </is>
      </c>
      <c r="I14" s="4">
        <f>IF(J14="","",IF(J14=H14,"PASS","FAIL"))</f>
        <v/>
      </c>
      <c r="J14" s="4" t="n"/>
      <c r="K14" s="4" t="n"/>
      <c r="L14" s="6" t="inlineStr">
        <is>
          <t>Medium</t>
        </is>
      </c>
      <c r="M14" s="4" t="n"/>
    </row>
    <row r="15" ht="45" customHeight="1" s="16">
      <c r="A15" s="4" t="inlineStr">
        <is>
          <t>TC089</t>
        </is>
      </c>
      <c r="B15" s="4" t="inlineStr">
        <is>
          <t>Admin</t>
        </is>
      </c>
      <c r="C15" s="4" t="inlineStr">
        <is>
          <t>Users</t>
        </is>
      </c>
      <c r="D15" s="4" t="inlineStr">
        <is>
          <t>Deactivate User</t>
        </is>
      </c>
      <c r="E15" s="4" t="inlineStr">
        <is>
          <t>Deactivate User Account</t>
        </is>
      </c>
      <c r="F15" s="4" t="inlineStr">
        <is>
          <t>1. Find user
2. Click Deactivate
3. Confirm</t>
        </is>
      </c>
      <c r="G15" s="13" t="inlineStr">
        <is>
          <t>https://nutrio.me/admin/users</t>
        </is>
      </c>
      <c r="H15" s="4" t="inlineStr">
        <is>
          <t>User account deactivated</t>
        </is>
      </c>
      <c r="I15" s="4">
        <f>IF(J15="","",IF(J15=H15,"PASS","FAIL"))</f>
        <v/>
      </c>
      <c r="J15" s="4" t="n"/>
      <c r="K15" s="4" t="n"/>
      <c r="L15" s="6" t="inlineStr">
        <is>
          <t>Medium</t>
        </is>
      </c>
      <c r="M15" s="4" t="n"/>
    </row>
    <row r="16" ht="45" customHeight="1" s="16">
      <c r="A16" s="4" t="inlineStr">
        <is>
          <t>TC090</t>
        </is>
      </c>
      <c r="B16" s="4" t="inlineStr">
        <is>
          <t>Admin</t>
        </is>
      </c>
      <c r="C16" s="4" t="inlineStr">
        <is>
          <t>Users</t>
        </is>
      </c>
      <c r="D16" s="4" t="inlineStr">
        <is>
          <t>Delete User</t>
        </is>
      </c>
      <c r="E16" s="4" t="inlineStr">
        <is>
          <t>Delete User Account</t>
        </is>
      </c>
      <c r="F16" s="4" t="inlineStr">
        <is>
          <t>1. Find user
2. Click Delete
3. Confirm deletion</t>
        </is>
      </c>
      <c r="G16" s="13" t="inlineStr">
        <is>
          <t>https://nutrio.me/admin/users</t>
        </is>
      </c>
      <c r="H16" s="4" t="inlineStr">
        <is>
          <t>User permanently deleted</t>
        </is>
      </c>
      <c r="I16" s="4">
        <f>IF(J16="","",IF(J16=H16,"PASS","FAIL"))</f>
        <v/>
      </c>
      <c r="J16" s="4" t="n"/>
      <c r="K16" s="4" t="n"/>
      <c r="L16" s="6" t="inlineStr">
        <is>
          <t>Medium</t>
        </is>
      </c>
      <c r="M16" s="4" t="n"/>
    </row>
    <row r="17" ht="90" customHeight="1" s="16">
      <c r="A17" s="4" t="inlineStr">
        <is>
          <t>TC091</t>
        </is>
      </c>
      <c r="B17" s="4" t="inlineStr">
        <is>
          <t>Admin</t>
        </is>
      </c>
      <c r="C17" s="4" t="inlineStr">
        <is>
          <t>Restaurants</t>
        </is>
      </c>
      <c r="D17" s="4" t="inlineStr">
        <is>
          <t>View All</t>
        </is>
      </c>
      <c r="E17" s="4" t="inlineStr">
        <is>
          <t>View All Restaurants</t>
        </is>
      </c>
      <c r="F17" s="4" t="inlineStr">
        <is>
          <t>1. Go to Restaurants page
2. View list</t>
        </is>
      </c>
      <c r="G17" s="13" t="inlineStr">
        <is>
          <t>https://nutrio.me/admin/restaurants/[id]</t>
        </is>
      </c>
      <c r="H17" s="4" t="inlineStr">
        <is>
          <t>All restaurants displayed with status, ratings, earnings</t>
        </is>
      </c>
      <c r="I17" s="4">
        <f>IF(J17="","",IF(J17=H17,"PASS","FAIL"))</f>
        <v/>
      </c>
      <c r="J17" s="4" t="n"/>
      <c r="K17" s="4" t="n"/>
      <c r="L17" s="5" t="inlineStr">
        <is>
          <t>High</t>
        </is>
      </c>
      <c r="M17" s="4" t="n"/>
    </row>
    <row r="18" ht="45" customHeight="1" s="16">
      <c r="A18" s="4" t="inlineStr">
        <is>
          <t>TC092</t>
        </is>
      </c>
      <c r="B18" s="4" t="inlineStr">
        <is>
          <t>Admin</t>
        </is>
      </c>
      <c r="C18" s="4" t="inlineStr">
        <is>
          <t>Restaurants</t>
        </is>
      </c>
      <c r="D18" s="4" t="inlineStr">
        <is>
          <t>View Pending</t>
        </is>
      </c>
      <c r="E18" s="4" t="inlineStr">
        <is>
          <t>View Pending Applications</t>
        </is>
      </c>
      <c r="F18" s="4" t="inlineStr">
        <is>
          <t>1. Click Pending tab
2. View pending restaurants</t>
        </is>
      </c>
      <c r="G18" s="13" t="inlineStr">
        <is>
          <t>https://nutrio.me/admin/restaurants/[id]</t>
        </is>
      </c>
      <c r="H18" s="4" t="inlineStr">
        <is>
          <t>All pending applications displayed</t>
        </is>
      </c>
      <c r="I18" s="4">
        <f>IF(J18="","",IF(J18=H18,"PASS","FAIL"))</f>
        <v/>
      </c>
      <c r="J18" s="4" t="n"/>
      <c r="K18" s="4" t="n"/>
      <c r="L18" s="5" t="inlineStr">
        <is>
          <t>High</t>
        </is>
      </c>
      <c r="M18" s="4" t="n"/>
    </row>
    <row r="19" ht="75" customHeight="1" s="16">
      <c r="A19" s="4" t="inlineStr">
        <is>
          <t>TC093</t>
        </is>
      </c>
      <c r="B19" s="4" t="inlineStr">
        <is>
          <t>Admin</t>
        </is>
      </c>
      <c r="C19" s="4" t="inlineStr">
        <is>
          <t>Restaurants</t>
        </is>
      </c>
      <c r="D19" s="4" t="inlineStr">
        <is>
          <t>Approve</t>
        </is>
      </c>
      <c r="E19" s="4" t="inlineStr">
        <is>
          <t>Approve Restaurant</t>
        </is>
      </c>
      <c r="F19" s="4" t="inlineStr">
        <is>
          <t>1. Open pending restaurant
2. Review details
3. Set payout rate
4. Click Approve</t>
        </is>
      </c>
      <c r="G19" s="13" t="inlineStr">
        <is>
          <t>https://nutrio.me/admin/restaurants</t>
        </is>
      </c>
      <c r="H19" s="4" t="inlineStr">
        <is>
          <t>Restaurant approved, status changes to active</t>
        </is>
      </c>
      <c r="I19" s="4">
        <f>IF(J19="","",IF(J19=H19,"PASS","FAIL"))</f>
        <v/>
      </c>
      <c r="J19" s="4" t="n"/>
      <c r="K19" s="4" t="n"/>
      <c r="L19" s="7" t="inlineStr">
        <is>
          <t>Critical</t>
        </is>
      </c>
      <c r="M19" s="4" t="n"/>
    </row>
    <row r="20" ht="60" customHeight="1" s="16">
      <c r="A20" s="4" t="inlineStr">
        <is>
          <t>TC094</t>
        </is>
      </c>
      <c r="B20" s="4" t="inlineStr">
        <is>
          <t>Admin</t>
        </is>
      </c>
      <c r="C20" s="4" t="inlineStr">
        <is>
          <t>Restaurants</t>
        </is>
      </c>
      <c r="D20" s="4" t="inlineStr">
        <is>
          <t>Reject</t>
        </is>
      </c>
      <c r="E20" s="4" t="inlineStr">
        <is>
          <t>Reject Restaurant Application</t>
        </is>
      </c>
      <c r="F20" s="4" t="inlineStr">
        <is>
          <t>1. Open pending restaurant
2. Click Reject
3. Add reason
4. Confirm</t>
        </is>
      </c>
      <c r="G20" s="13" t="inlineStr">
        <is>
          <t>https://nutrio.me/admin/restaurants</t>
        </is>
      </c>
      <c r="H20" s="4" t="inlineStr">
        <is>
          <t>Application rejected, restaurant notified</t>
        </is>
      </c>
      <c r="I20" s="4">
        <f>IF(J20="","",IF(J20=H20,"PASS","FAIL"))</f>
        <v/>
      </c>
      <c r="J20" s="4" t="n"/>
      <c r="K20" s="4" t="n"/>
      <c r="L20" s="5" t="inlineStr">
        <is>
          <t>High</t>
        </is>
      </c>
      <c r="M20" s="4" t="n"/>
    </row>
    <row r="21" ht="90" customHeight="1" s="16">
      <c r="A21" s="4" t="inlineStr">
        <is>
          <t>TC095</t>
        </is>
      </c>
      <c r="B21" s="4" t="inlineStr">
        <is>
          <t>Admin</t>
        </is>
      </c>
      <c r="C21" s="4" t="inlineStr">
        <is>
          <t>Restaurants</t>
        </is>
      </c>
      <c r="D21" s="4" t="inlineStr">
        <is>
          <t>View Details</t>
        </is>
      </c>
      <c r="E21" s="4" t="inlineStr">
        <is>
          <t>View Restaurant Details</t>
        </is>
      </c>
      <c r="F21" s="4" t="inlineStr">
        <is>
          <t>1. Click on restaurant
2. View full profile</t>
        </is>
      </c>
      <c r="G21" s="13" t="inlineStr">
        <is>
          <t>https://nutrio.me/admin/restaurants/[id]</t>
        </is>
      </c>
      <c r="H21" s="4" t="inlineStr">
        <is>
          <t>All restaurant info: orders, earnings, ratings, menu</t>
        </is>
      </c>
      <c r="I21" s="4">
        <f>IF(J21="","",IF(J21=H21,"PASS","FAIL"))</f>
        <v/>
      </c>
      <c r="J21" s="4" t="n"/>
      <c r="K21" s="4" t="n"/>
      <c r="L21" s="5" t="inlineStr">
        <is>
          <t>High</t>
        </is>
      </c>
      <c r="M21" s="4" t="n"/>
    </row>
    <row r="22" ht="60" customHeight="1" s="16">
      <c r="A22" s="4" t="inlineStr">
        <is>
          <t>TC096</t>
        </is>
      </c>
      <c r="B22" s="4" t="inlineStr">
        <is>
          <t>Admin</t>
        </is>
      </c>
      <c r="C22" s="4" t="inlineStr">
        <is>
          <t>Restaurants</t>
        </is>
      </c>
      <c r="D22" s="4" t="inlineStr">
        <is>
          <t>Edit Restaurant</t>
        </is>
      </c>
      <c r="E22" s="4" t="inlineStr">
        <is>
          <t>Edit Restaurant Information</t>
        </is>
      </c>
      <c r="F22" s="4" t="inlineStr">
        <is>
          <t>1. Open restaurant
2. Click Edit
3. Modify details
4. Save</t>
        </is>
      </c>
      <c r="G22" s="13" t="inlineStr">
        <is>
          <t>https://nutrio.me/admin/restaurants/[id]/edit</t>
        </is>
      </c>
      <c r="H22" s="4" t="inlineStr">
        <is>
          <t>Restaurant information updated</t>
        </is>
      </c>
      <c r="I22" s="4">
        <f>IF(J22="","",IF(J22=H22,"PASS","FAIL"))</f>
        <v/>
      </c>
      <c r="J22" s="4" t="n"/>
      <c r="K22" s="4" t="n"/>
      <c r="L22" s="6" t="inlineStr">
        <is>
          <t>Medium</t>
        </is>
      </c>
      <c r="M22" s="4" t="n"/>
    </row>
    <row r="23" ht="45" customHeight="1" s="16">
      <c r="A23" s="4" t="inlineStr">
        <is>
          <t>TC097</t>
        </is>
      </c>
      <c r="B23" s="4" t="inlineStr">
        <is>
          <t>Admin</t>
        </is>
      </c>
      <c r="C23" s="4" t="inlineStr">
        <is>
          <t>Restaurants</t>
        </is>
      </c>
      <c r="D23" s="4" t="inlineStr">
        <is>
          <t>Set Payout</t>
        </is>
      </c>
      <c r="E23" s="4" t="inlineStr">
        <is>
          <t>Set Restaurant Payout Rate</t>
        </is>
      </c>
      <c r="F23" s="4" t="inlineStr">
        <is>
          <t>1. Open restaurant
2. Edit payout rate
3. Save</t>
        </is>
      </c>
      <c r="G23" s="13" t="inlineStr">
        <is>
          <t>https://nutrio.me/admin/restaurants</t>
        </is>
      </c>
      <c r="H23" s="4" t="inlineStr">
        <is>
          <t>New payout rate applied</t>
        </is>
      </c>
      <c r="I23" s="4">
        <f>IF(J23="","",IF(J23=H23,"PASS","FAIL"))</f>
        <v/>
      </c>
      <c r="J23" s="4" t="n"/>
      <c r="K23" s="4" t="n"/>
      <c r="L23" s="5" t="inlineStr">
        <is>
          <t>High</t>
        </is>
      </c>
      <c r="M23" s="4" t="n"/>
    </row>
    <row r="24" ht="75" customHeight="1" s="16">
      <c r="A24" s="4" t="inlineStr">
        <is>
          <t>TC098</t>
        </is>
      </c>
      <c r="B24" s="4" t="inlineStr">
        <is>
          <t>Admin</t>
        </is>
      </c>
      <c r="C24" s="4" t="inlineStr">
        <is>
          <t>Restaurants</t>
        </is>
      </c>
      <c r="D24" s="4" t="inlineStr">
        <is>
          <t>Suspend</t>
        </is>
      </c>
      <c r="E24" s="4" t="inlineStr">
        <is>
          <t>Suspend Restaurant</t>
        </is>
      </c>
      <c r="F24" s="4" t="inlineStr">
        <is>
          <t>1. Find restaurant
2. Click Suspend
3. Add reason
4. Confirm</t>
        </is>
      </c>
      <c r="G24" s="13" t="inlineStr">
        <is>
          <t>https://nutrio.me/admin/restaurants</t>
        </is>
      </c>
      <c r="H24" s="4" t="inlineStr">
        <is>
          <t>Restaurant suspended, cannot receive orders</t>
        </is>
      </c>
      <c r="I24" s="4">
        <f>IF(J24="","",IF(J24=H24,"PASS","FAIL"))</f>
        <v/>
      </c>
      <c r="J24" s="4" t="n"/>
      <c r="K24" s="4" t="n"/>
      <c r="L24" s="5" t="inlineStr">
        <is>
          <t>High</t>
        </is>
      </c>
      <c r="M24" s="4" t="n"/>
    </row>
    <row r="25" ht="60" customHeight="1" s="16">
      <c r="A25" s="4" t="inlineStr">
        <is>
          <t>TC099</t>
        </is>
      </c>
      <c r="B25" s="4" t="inlineStr">
        <is>
          <t>Admin</t>
        </is>
      </c>
      <c r="C25" s="4" t="inlineStr">
        <is>
          <t>Restaurants</t>
        </is>
      </c>
      <c r="D25" s="4" t="inlineStr">
        <is>
          <t>Reactivate</t>
        </is>
      </c>
      <c r="E25" s="4" t="inlineStr">
        <is>
          <t>Reactivate Restaurant</t>
        </is>
      </c>
      <c r="F25" s="4" t="inlineStr">
        <is>
          <t>1. Find suspended restaurant
2. Click Reactivate
3. Confirm</t>
        </is>
      </c>
      <c r="G25" s="13" t="inlineStr">
        <is>
          <t>https://nutrio.me/admin/restaurants</t>
        </is>
      </c>
      <c r="H25" s="4" t="inlineStr">
        <is>
          <t>Restaurant reactivated, can receive orders</t>
        </is>
      </c>
      <c r="I25" s="4">
        <f>IF(J25="","",IF(J25=H25,"PASS","FAIL"))</f>
        <v/>
      </c>
      <c r="J25" s="4" t="n"/>
      <c r="K25" s="4" t="n"/>
      <c r="L25" s="5" t="inlineStr">
        <is>
          <t>High</t>
        </is>
      </c>
      <c r="M25" s="4" t="n"/>
    </row>
    <row r="26" ht="60" customHeight="1" s="16">
      <c r="A26" s="4" t="inlineStr">
        <is>
          <t>TC100</t>
        </is>
      </c>
      <c r="B26" s="4" t="inlineStr">
        <is>
          <t>Admin</t>
        </is>
      </c>
      <c r="C26" s="4" t="inlineStr">
        <is>
          <t>Restaurants</t>
        </is>
      </c>
      <c r="D26" s="4" t="inlineStr">
        <is>
          <t>Delete</t>
        </is>
      </c>
      <c r="E26" s="4" t="inlineStr">
        <is>
          <t>Delete Restaurant</t>
        </is>
      </c>
      <c r="F26" s="4" t="inlineStr">
        <is>
          <t>1. Find restaurant
2. Click Delete
3. Confirm</t>
        </is>
      </c>
      <c r="G26" s="13" t="inlineStr">
        <is>
          <t>https://nutrio.me/admin/restaurants</t>
        </is>
      </c>
      <c r="H26" s="4" t="inlineStr">
        <is>
          <t>Restaurant removed from platform</t>
        </is>
      </c>
      <c r="I26" s="4">
        <f>IF(J26="","",IF(J26=H26,"PASS","FAIL"))</f>
        <v/>
      </c>
      <c r="J26" s="4" t="n"/>
      <c r="K26" s="4" t="n"/>
      <c r="L26" s="6" t="inlineStr">
        <is>
          <t>Medium</t>
        </is>
      </c>
      <c r="M26" s="4" t="n"/>
    </row>
    <row r="27" ht="60" customHeight="1" s="16">
      <c r="A27" s="4" t="inlineStr">
        <is>
          <t>TC101</t>
        </is>
      </c>
      <c r="B27" s="4" t="inlineStr">
        <is>
          <t>Admin</t>
        </is>
      </c>
      <c r="C27" s="4" t="inlineStr">
        <is>
          <t>Orders</t>
        </is>
      </c>
      <c r="D27" s="4" t="inlineStr">
        <is>
          <t>View All</t>
        </is>
      </c>
      <c r="E27" s="4" t="inlineStr">
        <is>
          <t>View All Orders</t>
        </is>
      </c>
      <c r="F27" s="4" t="inlineStr">
        <is>
          <t>1. Go to Orders page
2. View all orders</t>
        </is>
      </c>
      <c r="G27" s="13" t="inlineStr">
        <is>
          <t>https://nutrio.me/admin/orders/[id]</t>
        </is>
      </c>
      <c r="H27" s="4" t="inlineStr">
        <is>
          <t>All orders displayed with filters and search</t>
        </is>
      </c>
      <c r="I27" s="4">
        <f>IF(J27="","",IF(J27=H27,"PASS","FAIL"))</f>
        <v/>
      </c>
      <c r="J27" s="4" t="n"/>
      <c r="K27" s="4" t="n"/>
      <c r="L27" s="5" t="inlineStr">
        <is>
          <t>High</t>
        </is>
      </c>
      <c r="M27" s="4" t="n"/>
    </row>
    <row r="28" ht="45" customHeight="1" s="16">
      <c r="A28" s="4" t="inlineStr">
        <is>
          <t>TC102</t>
        </is>
      </c>
      <c r="B28" s="4" t="inlineStr">
        <is>
          <t>Admin</t>
        </is>
      </c>
      <c r="C28" s="4" t="inlineStr">
        <is>
          <t>Orders</t>
        </is>
      </c>
      <c r="D28" s="4" t="inlineStr">
        <is>
          <t>Filter Status</t>
        </is>
      </c>
      <c r="E28" s="4" t="inlineStr">
        <is>
          <t>Filter by Order Status</t>
        </is>
      </c>
      <c r="F28" s="4" t="inlineStr">
        <is>
          <t>1. Select status filter
2. Apply</t>
        </is>
      </c>
      <c r="G28" s="13" t="inlineStr">
        <is>
          <t>https://nutrio.me/admin/orders?filter=[value]</t>
        </is>
      </c>
      <c r="H28" s="4" t="inlineStr">
        <is>
          <t>Orders filtered by status</t>
        </is>
      </c>
      <c r="I28" s="4">
        <f>IF(J28="","",IF(J28=H28,"PASS","FAIL"))</f>
        <v/>
      </c>
      <c r="J28" s="4" t="n"/>
      <c r="K28" s="4" t="n"/>
      <c r="L28" s="5" t="inlineStr">
        <is>
          <t>High</t>
        </is>
      </c>
      <c r="M28" s="4" t="n"/>
    </row>
    <row r="29" ht="45" customHeight="1" s="16">
      <c r="A29" s="4" t="inlineStr">
        <is>
          <t>TC103</t>
        </is>
      </c>
      <c r="B29" s="4" t="inlineStr">
        <is>
          <t>Admin</t>
        </is>
      </c>
      <c r="C29" s="4" t="inlineStr">
        <is>
          <t>Orders</t>
        </is>
      </c>
      <c r="D29" s="4" t="inlineStr">
        <is>
          <t>Search Order</t>
        </is>
      </c>
      <c r="E29" s="4" t="inlineStr">
        <is>
          <t>Search for Order</t>
        </is>
      </c>
      <c r="F29" s="4" t="inlineStr">
        <is>
          <t>1. Enter order ID or customer
2. Search</t>
        </is>
      </c>
      <c r="G29" s="13" t="inlineStr">
        <is>
          <t>https://nutrio.me/admin/orders?q=[search-term]</t>
        </is>
      </c>
      <c r="H29" s="4" t="inlineStr">
        <is>
          <t>Matching orders displayed</t>
        </is>
      </c>
      <c r="I29" s="4">
        <f>IF(J29="","",IF(J29=H29,"PASS","FAIL"))</f>
        <v/>
      </c>
      <c r="J29" s="4" t="n"/>
      <c r="K29" s="4" t="n"/>
      <c r="L29" s="5" t="inlineStr">
        <is>
          <t>High</t>
        </is>
      </c>
      <c r="M29" s="4" t="n"/>
    </row>
    <row r="30" ht="90" customHeight="1" s="16">
      <c r="A30" s="4" t="inlineStr">
        <is>
          <t>TC104</t>
        </is>
      </c>
      <c r="B30" s="4" t="inlineStr">
        <is>
          <t>Admin</t>
        </is>
      </c>
      <c r="C30" s="4" t="inlineStr">
        <is>
          <t>Orders</t>
        </is>
      </c>
      <c r="D30" s="4" t="inlineStr">
        <is>
          <t>View Details</t>
        </is>
      </c>
      <c r="E30" s="4" t="inlineStr">
        <is>
          <t>View Order Details</t>
        </is>
      </c>
      <c r="F30" s="4" t="inlineStr">
        <is>
          <t>1. Click on order
2. View details</t>
        </is>
      </c>
      <c r="G30" s="13" t="inlineStr">
        <is>
          <t>https://nutrio.me/admin/orders/[id]</t>
        </is>
      </c>
      <c r="H30" s="4" t="inlineStr">
        <is>
          <t>Full order info: items, customer, restaurant, status, payment</t>
        </is>
      </c>
      <c r="I30" s="4">
        <f>IF(J30="","",IF(J30=H30,"PASS","FAIL"))</f>
        <v/>
      </c>
      <c r="J30" s="4" t="n"/>
      <c r="K30" s="4" t="n"/>
      <c r="L30" s="5" t="inlineStr">
        <is>
          <t>High</t>
        </is>
      </c>
      <c r="M30" s="4" t="n"/>
    </row>
    <row r="31" ht="45" customHeight="1" s="16">
      <c r="A31" s="4" t="inlineStr">
        <is>
          <t>TC105</t>
        </is>
      </c>
      <c r="B31" s="4" t="inlineStr">
        <is>
          <t>Admin</t>
        </is>
      </c>
      <c r="C31" s="4" t="inlineStr">
        <is>
          <t>Orders</t>
        </is>
      </c>
      <c r="D31" s="4" t="inlineStr">
        <is>
          <t>Update Status</t>
        </is>
      </c>
      <c r="E31" s="4" t="inlineStr">
        <is>
          <t>Update Order Status</t>
        </is>
      </c>
      <c r="F31" s="4" t="inlineStr">
        <is>
          <t>1. Open order
2. Change status
3. Save</t>
        </is>
      </c>
      <c r="G31" s="13" t="inlineStr">
        <is>
          <t>https://nutrio.me/admin/orders/[id]/edit</t>
        </is>
      </c>
      <c r="H31" s="4" t="inlineStr">
        <is>
          <t>Order status updated</t>
        </is>
      </c>
      <c r="I31" s="4">
        <f>IF(J31="","",IF(J31=H31,"PASS","FAIL"))</f>
        <v/>
      </c>
      <c r="J31" s="4" t="n"/>
      <c r="K31" s="4" t="n"/>
      <c r="L31" s="6" t="inlineStr">
        <is>
          <t>Medium</t>
        </is>
      </c>
      <c r="M31" s="4" t="n"/>
    </row>
    <row r="32" ht="60" customHeight="1" s="16">
      <c r="A32" s="4" t="inlineStr">
        <is>
          <t>TC106</t>
        </is>
      </c>
      <c r="B32" s="4" t="inlineStr">
        <is>
          <t>Admin</t>
        </is>
      </c>
      <c r="C32" s="4" t="inlineStr">
        <is>
          <t>Orders</t>
        </is>
      </c>
      <c r="D32" s="4" t="inlineStr">
        <is>
          <t>Cancel Order</t>
        </is>
      </c>
      <c r="E32" s="4" t="inlineStr">
        <is>
          <t>Cancel Order</t>
        </is>
      </c>
      <c r="F32" s="4" t="inlineStr">
        <is>
          <t>1. Open order
2. Click Cancel
3. Add reason
4. Confirm</t>
        </is>
      </c>
      <c r="G32" s="13" t="inlineStr">
        <is>
          <t>https://nutrio.me/admin/orders</t>
        </is>
      </c>
      <c r="H32" s="4" t="inlineStr">
        <is>
          <t>Order cancelled, refund processed</t>
        </is>
      </c>
      <c r="I32" s="4">
        <f>IF(J32="","",IF(J32=H32,"PASS","FAIL"))</f>
        <v/>
      </c>
      <c r="J32" s="4" t="n"/>
      <c r="K32" s="4" t="n"/>
      <c r="L32" s="6" t="inlineStr">
        <is>
          <t>Medium</t>
        </is>
      </c>
      <c r="M32" s="4" t="n"/>
    </row>
    <row r="33" ht="60" customHeight="1" s="16">
      <c r="A33" s="4" t="inlineStr">
        <is>
          <t>TC107</t>
        </is>
      </c>
      <c r="B33" s="4" t="inlineStr">
        <is>
          <t>Admin</t>
        </is>
      </c>
      <c r="C33" s="4" t="inlineStr">
        <is>
          <t>Orders</t>
        </is>
      </c>
      <c r="D33" s="4" t="inlineStr">
        <is>
          <t>Refund</t>
        </is>
      </c>
      <c r="E33" s="4" t="inlineStr">
        <is>
          <t>Process Refund</t>
        </is>
      </c>
      <c r="F33" s="4" t="inlineStr">
        <is>
          <t>1. Open order
2. Click Refund
3. Enter amount
4. Confirm</t>
        </is>
      </c>
      <c r="G33" s="13" t="inlineStr">
        <is>
          <t>https://nutrio.me/admin/orders</t>
        </is>
      </c>
      <c r="H33" s="4" t="inlineStr">
        <is>
          <t>Refund processed, customer notified</t>
        </is>
      </c>
      <c r="I33" s="4">
        <f>IF(J33="","",IF(J33=H33,"PASS","FAIL"))</f>
        <v/>
      </c>
      <c r="J33" s="4" t="n"/>
      <c r="K33" s="4" t="n"/>
      <c r="L33" s="5" t="inlineStr">
        <is>
          <t>High</t>
        </is>
      </c>
      <c r="M33" s="4" t="n"/>
    </row>
    <row r="34" ht="60" customHeight="1" s="16">
      <c r="A34" s="4" t="inlineStr">
        <is>
          <t>TC108</t>
        </is>
      </c>
      <c r="B34" s="4" t="inlineStr">
        <is>
          <t>Admin</t>
        </is>
      </c>
      <c r="C34" s="4" t="inlineStr">
        <is>
          <t>Orders</t>
        </is>
      </c>
      <c r="D34" s="4" t="inlineStr">
        <is>
          <t>Assign Driver</t>
        </is>
      </c>
      <c r="E34" s="4" t="inlineStr">
        <is>
          <t>Assign Driver to Order</t>
        </is>
      </c>
      <c r="F34" s="4" t="inlineStr">
        <is>
          <t>1. Open order
2. Click Assign Driver
3. Select driver
4. Save</t>
        </is>
      </c>
      <c r="G34" s="13" t="inlineStr">
        <is>
          <t>https://nutrio.me/admin/orders</t>
        </is>
      </c>
      <c r="H34" s="4" t="inlineStr">
        <is>
          <t>Driver assigned, notified</t>
        </is>
      </c>
      <c r="I34" s="4">
        <f>IF(J34="","",IF(J34=H34,"PASS","FAIL"))</f>
        <v/>
      </c>
      <c r="J34" s="4" t="n"/>
      <c r="K34" s="4" t="n"/>
      <c r="L34" s="6" t="inlineStr">
        <is>
          <t>Medium</t>
        </is>
      </c>
      <c r="M34" s="4" t="n"/>
    </row>
    <row r="35" ht="45" customHeight="1" s="16">
      <c r="A35" s="4" t="inlineStr">
        <is>
          <t>TC109</t>
        </is>
      </c>
      <c r="B35" s="4" t="inlineStr">
        <is>
          <t>Admin</t>
        </is>
      </c>
      <c r="C35" s="4" t="inlineStr">
        <is>
          <t>Subscriptions</t>
        </is>
      </c>
      <c r="D35" s="4" t="inlineStr">
        <is>
          <t>View All</t>
        </is>
      </c>
      <c r="E35" s="4" t="inlineStr">
        <is>
          <t>View All Subscriptions</t>
        </is>
      </c>
      <c r="F35" s="4" t="inlineStr">
        <is>
          <t>1. Go to Subscriptions page
2. View list</t>
        </is>
      </c>
      <c r="G35" s="13" t="inlineStr">
        <is>
          <t>https://nutrio.me/admin/subscriptions/[id]</t>
        </is>
      </c>
      <c r="H35" s="4" t="inlineStr">
        <is>
          <t>All active subscriptions displayed</t>
        </is>
      </c>
      <c r="I35" s="4">
        <f>IF(J35="","",IF(J35=H35,"PASS","FAIL"))</f>
        <v/>
      </c>
      <c r="J35" s="4" t="n"/>
      <c r="K35" s="4" t="n"/>
      <c r="L35" s="5" t="inlineStr">
        <is>
          <t>High</t>
        </is>
      </c>
      <c r="M35" s="4" t="n"/>
    </row>
    <row r="36" ht="45" customHeight="1" s="16">
      <c r="A36" s="4" t="inlineStr">
        <is>
          <t>TC110</t>
        </is>
      </c>
      <c r="B36" s="4" t="inlineStr">
        <is>
          <t>Admin</t>
        </is>
      </c>
      <c r="C36" s="4" t="inlineStr">
        <is>
          <t>Subscriptions</t>
        </is>
      </c>
      <c r="D36" s="4" t="inlineStr">
        <is>
          <t>View Plans</t>
        </is>
      </c>
      <c r="E36" s="4" t="inlineStr">
        <is>
          <t>View Subscription Plans</t>
        </is>
      </c>
      <c r="F36" s="4" t="inlineStr">
        <is>
          <t>1. Click Plans tab
2. View all tiers</t>
        </is>
      </c>
      <c r="G36" s="13" t="inlineStr">
        <is>
          <t>https://nutrio.me/admin/subscriptions/[id]</t>
        </is>
      </c>
      <c r="H36" s="4" t="inlineStr">
        <is>
          <t>All plans with pricing displayed</t>
        </is>
      </c>
      <c r="I36" s="4">
        <f>IF(J36="","",IF(J36=H36,"PASS","FAIL"))</f>
        <v/>
      </c>
      <c r="J36" s="4" t="n"/>
      <c r="K36" s="4" t="n"/>
      <c r="L36" s="5" t="inlineStr">
        <is>
          <t>High</t>
        </is>
      </c>
      <c r="M36" s="4" t="n"/>
    </row>
    <row r="37" ht="45" customHeight="1" s="16">
      <c r="A37" s="4" t="inlineStr">
        <is>
          <t>TC111</t>
        </is>
      </c>
      <c r="B37" s="4" t="inlineStr">
        <is>
          <t>Admin</t>
        </is>
      </c>
      <c r="C37" s="4" t="inlineStr">
        <is>
          <t>Subscriptions</t>
        </is>
      </c>
      <c r="D37" s="4" t="inlineStr">
        <is>
          <t>Edit Plan</t>
        </is>
      </c>
      <c r="E37" s="4" t="inlineStr">
        <is>
          <t>Edit Subscription Plan</t>
        </is>
      </c>
      <c r="F37" s="4" t="inlineStr">
        <is>
          <t>1. Click on plan
2. Edit price/features
3. Save</t>
        </is>
      </c>
      <c r="G37" s="13" t="inlineStr">
        <is>
          <t>https://nutrio.me/admin/subscriptions/[id]/edit</t>
        </is>
      </c>
      <c r="H37" s="4" t="inlineStr">
        <is>
          <t>Plan updated</t>
        </is>
      </c>
      <c r="I37" s="4">
        <f>IF(J37="","",IF(J37=H37,"PASS","FAIL"))</f>
        <v/>
      </c>
      <c r="J37" s="4" t="n"/>
      <c r="K37" s="4" t="n"/>
      <c r="L37" s="6" t="inlineStr">
        <is>
          <t>Medium</t>
        </is>
      </c>
      <c r="M37" s="4" t="n"/>
    </row>
    <row r="38" ht="45" customHeight="1" s="16">
      <c r="A38" s="4" t="inlineStr">
        <is>
          <t>TC112</t>
        </is>
      </c>
      <c r="B38" s="4" t="inlineStr">
        <is>
          <t>Admin</t>
        </is>
      </c>
      <c r="C38" s="4" t="inlineStr">
        <is>
          <t>Subscriptions</t>
        </is>
      </c>
      <c r="D38" s="4" t="inlineStr">
        <is>
          <t>Add Plan</t>
        </is>
      </c>
      <c r="E38" s="4" t="inlineStr">
        <is>
          <t>Add New Subscription Plan</t>
        </is>
      </c>
      <c r="F38" s="4" t="inlineStr">
        <is>
          <t>1. Click Add Plan
2. Fill details
3. Save</t>
        </is>
      </c>
      <c r="G38" s="13" t="inlineStr">
        <is>
          <t>https://nutrio.me/admin/subscriptions/new</t>
        </is>
      </c>
      <c r="H38" s="4" t="inlineStr">
        <is>
          <t>New plan created</t>
        </is>
      </c>
      <c r="I38" s="4">
        <f>IF(J38="","",IF(J38=H38,"PASS","FAIL"))</f>
        <v/>
      </c>
      <c r="J38" s="4" t="n"/>
      <c r="K38" s="4" t="n"/>
      <c r="L38" s="4" t="inlineStr">
        <is>
          <t>Low</t>
        </is>
      </c>
      <c r="M38" s="4" t="n"/>
    </row>
    <row r="39" ht="45" customHeight="1" s="16">
      <c r="A39" s="4" t="inlineStr">
        <is>
          <t>TC113</t>
        </is>
      </c>
      <c r="B39" s="4" t="inlineStr">
        <is>
          <t>Admin</t>
        </is>
      </c>
      <c r="C39" s="4" t="inlineStr">
        <is>
          <t>Subscriptions</t>
        </is>
      </c>
      <c r="D39" s="4" t="inlineStr">
        <is>
          <t>Cancel Sub</t>
        </is>
      </c>
      <c r="E39" s="4" t="inlineStr">
        <is>
          <t>Cancel Customer Subscription</t>
        </is>
      </c>
      <c r="F39" s="4" t="inlineStr">
        <is>
          <t>1. Find subscription
2. Click Cancel
3. Confirm</t>
        </is>
      </c>
      <c r="G39" s="13" t="inlineStr">
        <is>
          <t>https://nutrio.me/admin/subscriptions</t>
        </is>
      </c>
      <c r="H39" s="4" t="inlineStr">
        <is>
          <t>Subscription cancelled</t>
        </is>
      </c>
      <c r="I39" s="4">
        <f>IF(J39="","",IF(J39=H39,"PASS","FAIL"))</f>
        <v/>
      </c>
      <c r="J39" s="4" t="n"/>
      <c r="K39" s="4" t="n"/>
      <c r="L39" s="6" t="inlineStr">
        <is>
          <t>Medium</t>
        </is>
      </c>
      <c r="M39" s="4" t="n"/>
    </row>
    <row r="40" ht="45" customHeight="1" s="16">
      <c r="A40" s="4" t="inlineStr">
        <is>
          <t>TC114</t>
        </is>
      </c>
      <c r="B40" s="4" t="inlineStr">
        <is>
          <t>Admin</t>
        </is>
      </c>
      <c r="C40" s="4" t="inlineStr">
        <is>
          <t>Subscriptions</t>
        </is>
      </c>
      <c r="D40" s="4" t="inlineStr">
        <is>
          <t>Extend</t>
        </is>
      </c>
      <c r="E40" s="4" t="inlineStr">
        <is>
          <t>Extend Subscription</t>
        </is>
      </c>
      <c r="F40" s="4" t="inlineStr">
        <is>
          <t>1. Open subscription
2. Add extension days
3. Save</t>
        </is>
      </c>
      <c r="G40" s="13" t="inlineStr">
        <is>
          <t>https://nutrio.me/admin/subscriptions</t>
        </is>
      </c>
      <c r="H40" s="4" t="inlineStr">
        <is>
          <t>Subscription extended</t>
        </is>
      </c>
      <c r="I40" s="4">
        <f>IF(J40="","",IF(J40=H40,"PASS","FAIL"))</f>
        <v/>
      </c>
      <c r="J40" s="4" t="n"/>
      <c r="K40" s="4" t="n"/>
      <c r="L40" s="4" t="inlineStr">
        <is>
          <t>Low</t>
        </is>
      </c>
      <c r="M40" s="4" t="n"/>
    </row>
    <row r="41" ht="60" customHeight="1" s="16">
      <c r="A41" s="4" t="inlineStr">
        <is>
          <t>TC115</t>
        </is>
      </c>
      <c r="B41" s="4" t="inlineStr">
        <is>
          <t>Admin</t>
        </is>
      </c>
      <c r="C41" s="4" t="inlineStr">
        <is>
          <t>Content</t>
        </is>
      </c>
      <c r="D41" s="4" t="inlineStr">
        <is>
          <t>View Meals</t>
        </is>
      </c>
      <c r="E41" s="4" t="inlineStr">
        <is>
          <t>View All Meals</t>
        </is>
      </c>
      <c r="F41" s="4" t="inlineStr">
        <is>
          <t>1. Go to Content &gt; Meals
2. View all meals</t>
        </is>
      </c>
      <c r="G41" s="13" t="inlineStr">
        <is>
          <t>https://nutrio.me/admin/content/[id]</t>
        </is>
      </c>
      <c r="H41" s="4" t="inlineStr">
        <is>
          <t>All meals from all restaurants displayed</t>
        </is>
      </c>
      <c r="I41" s="4">
        <f>IF(J41="","",IF(J41=H41,"PASS","FAIL"))</f>
        <v/>
      </c>
      <c r="J41" s="4" t="n"/>
      <c r="K41" s="4" t="n"/>
      <c r="L41" s="6" t="inlineStr">
        <is>
          <t>Medium</t>
        </is>
      </c>
      <c r="M41" s="4" t="n"/>
    </row>
    <row r="42" ht="60" customHeight="1" s="16">
      <c r="A42" s="4" t="inlineStr">
        <is>
          <t>TC116</t>
        </is>
      </c>
      <c r="B42" s="4" t="inlineStr">
        <is>
          <t>Admin</t>
        </is>
      </c>
      <c r="C42" s="4" t="inlineStr">
        <is>
          <t>Content</t>
        </is>
      </c>
      <c r="D42" s="4" t="inlineStr">
        <is>
          <t>Edit Meal</t>
        </is>
      </c>
      <c r="E42" s="4" t="inlineStr">
        <is>
          <t>Edit Any Meal</t>
        </is>
      </c>
      <c r="F42" s="4" t="inlineStr">
        <is>
          <t>1. Find meal
2. Click Edit
3. Modify
4. Save</t>
        </is>
      </c>
      <c r="G42" s="13" t="inlineStr">
        <is>
          <t>https://nutrio.me/admin/content/[id]/edit</t>
        </is>
      </c>
      <c r="H42" s="4" t="inlineStr">
        <is>
          <t>Meal updated</t>
        </is>
      </c>
      <c r="I42" s="4">
        <f>IF(J42="","",IF(J42=H42,"PASS","FAIL"))</f>
        <v/>
      </c>
      <c r="J42" s="4" t="n"/>
      <c r="K42" s="4" t="n"/>
      <c r="L42" s="6" t="inlineStr">
        <is>
          <t>Medium</t>
        </is>
      </c>
      <c r="M42" s="4" t="n"/>
    </row>
    <row r="43" ht="45" customHeight="1" s="16">
      <c r="A43" s="4" t="inlineStr">
        <is>
          <t>TC117</t>
        </is>
      </c>
      <c r="B43" s="4" t="inlineStr">
        <is>
          <t>Admin</t>
        </is>
      </c>
      <c r="C43" s="4" t="inlineStr">
        <is>
          <t>Content</t>
        </is>
      </c>
      <c r="D43" s="4" t="inlineStr">
        <is>
          <t>Delete Meal</t>
        </is>
      </c>
      <c r="E43" s="4" t="inlineStr">
        <is>
          <t>Delete Meal</t>
        </is>
      </c>
      <c r="F43" s="4" t="inlineStr">
        <is>
          <t>1. Find meal
2. Click Delete
3. Confirm</t>
        </is>
      </c>
      <c r="G43" s="13" t="inlineStr">
        <is>
          <t>https://nutrio.me/admin/content</t>
        </is>
      </c>
      <c r="H43" s="4" t="inlineStr">
        <is>
          <t>Meal deleted</t>
        </is>
      </c>
      <c r="I43" s="4">
        <f>IF(J43="","",IF(J43=H43,"PASS","FAIL"))</f>
        <v/>
      </c>
      <c r="J43" s="4" t="n"/>
      <c r="K43" s="4" t="n"/>
      <c r="L43" s="6" t="inlineStr">
        <is>
          <t>Medium</t>
        </is>
      </c>
      <c r="M43" s="4" t="n"/>
    </row>
    <row r="44" ht="60" customHeight="1" s="16">
      <c r="A44" s="4" t="inlineStr">
        <is>
          <t>TC118</t>
        </is>
      </c>
      <c r="B44" s="4" t="inlineStr">
        <is>
          <t>Admin</t>
        </is>
      </c>
      <c r="C44" s="4" t="inlineStr">
        <is>
          <t>Content</t>
        </is>
      </c>
      <c r="D44" s="4" t="inlineStr">
        <is>
          <t>Diet Tags</t>
        </is>
      </c>
      <c r="E44" s="4" t="inlineStr">
        <is>
          <t>Manage Diet Tags</t>
        </is>
      </c>
      <c r="F44" s="4" t="inlineStr">
        <is>
          <t>1. Go to Diet Tags
2. Add/Edit/Delete tags</t>
        </is>
      </c>
      <c r="G44" s="13" t="inlineStr">
        <is>
          <t>https://nutrio.me/admin/content</t>
        </is>
      </c>
      <c r="H44" s="4" t="inlineStr">
        <is>
          <t>Tags updated across platform</t>
        </is>
      </c>
      <c r="I44" s="4">
        <f>IF(J44="","",IF(J44=H44,"PASS","FAIL"))</f>
        <v/>
      </c>
      <c r="J44" s="4" t="n"/>
      <c r="K44" s="4" t="n"/>
      <c r="L44" s="4" t="inlineStr">
        <is>
          <t>Low</t>
        </is>
      </c>
      <c r="M44" s="4" t="n"/>
    </row>
    <row r="45" ht="45" customHeight="1" s="16">
      <c r="A45" s="4" t="inlineStr">
        <is>
          <t>TC119</t>
        </is>
      </c>
      <c r="B45" s="4" t="inlineStr">
        <is>
          <t>Admin</t>
        </is>
      </c>
      <c r="C45" s="4" t="inlineStr">
        <is>
          <t>Content</t>
        </is>
      </c>
      <c r="D45" s="4" t="inlineStr">
        <is>
          <t>Announcements</t>
        </is>
      </c>
      <c r="E45" s="4" t="inlineStr">
        <is>
          <t>Create Announcement</t>
        </is>
      </c>
      <c r="F45" s="4" t="inlineStr">
        <is>
          <t>1. Go to Announcements
2. Create new
3. Publish</t>
        </is>
      </c>
      <c r="G45" s="13" t="inlineStr">
        <is>
          <t>https://nutrio.me/admin/content/new</t>
        </is>
      </c>
      <c r="H45" s="4" t="inlineStr">
        <is>
          <t>Announcement visible to users</t>
        </is>
      </c>
      <c r="I45" s="4">
        <f>IF(J45="","",IF(J45=H45,"PASS","FAIL"))</f>
        <v/>
      </c>
      <c r="J45" s="4" t="n"/>
      <c r="K45" s="4" t="n"/>
      <c r="L45" s="4" t="inlineStr">
        <is>
          <t>Low</t>
        </is>
      </c>
      <c r="M45" s="4" t="n"/>
    </row>
    <row r="46" ht="90" customHeight="1" s="16">
      <c r="A46" s="4" t="inlineStr">
        <is>
          <t>TC120</t>
        </is>
      </c>
      <c r="B46" s="4" t="inlineStr">
        <is>
          <t>Admin</t>
        </is>
      </c>
      <c r="C46" s="4" t="inlineStr">
        <is>
          <t>Reports</t>
        </is>
      </c>
      <c r="D46" s="4" t="inlineStr">
        <is>
          <t>View Reports</t>
        </is>
      </c>
      <c r="E46" s="4" t="inlineStr">
        <is>
          <t>View Analytics Reports</t>
        </is>
      </c>
      <c r="F46" s="4" t="inlineStr">
        <is>
          <t>1. Go to Reports page
2. View charts and data</t>
        </is>
      </c>
      <c r="G46" s="13" t="inlineStr">
        <is>
          <t>https://nutrio.me/</t>
        </is>
      </c>
      <c r="H46" s="4" t="inlineStr">
        <is>
          <t>Analytics displayed: revenue, orders, users, growth</t>
        </is>
      </c>
      <c r="I46" s="4">
        <f>IF(J46="","",IF(J46=H46,"PASS","FAIL"))</f>
        <v/>
      </c>
      <c r="J46" s="4" t="n"/>
      <c r="K46" s="4" t="n"/>
      <c r="L46" s="6" t="inlineStr">
        <is>
          <t>Medium</t>
        </is>
      </c>
      <c r="M46" s="4" t="n"/>
    </row>
    <row r="47" ht="45" customHeight="1" s="16">
      <c r="A47" s="4" t="inlineStr">
        <is>
          <t>TC121</t>
        </is>
      </c>
      <c r="B47" s="4" t="inlineStr">
        <is>
          <t>Admin</t>
        </is>
      </c>
      <c r="C47" s="4" t="inlineStr">
        <is>
          <t>Reports</t>
        </is>
      </c>
      <c r="D47" s="4" t="inlineStr">
        <is>
          <t>Revenue Report</t>
        </is>
      </c>
      <c r="E47" s="4" t="inlineStr">
        <is>
          <t>Generate Revenue Report</t>
        </is>
      </c>
      <c r="F47" s="4" t="inlineStr">
        <is>
          <t>1. Select date range
2. Click Generate
3. View report</t>
        </is>
      </c>
      <c r="G47" s="13" t="inlineStr">
        <is>
          <t>https://nutrio.me/</t>
        </is>
      </c>
      <c r="H47" s="4" t="inlineStr">
        <is>
          <t>Revenue report generated</t>
        </is>
      </c>
      <c r="I47" s="4">
        <f>IF(J47="","",IF(J47=H47,"PASS","FAIL"))</f>
        <v/>
      </c>
      <c r="J47" s="4" t="n"/>
      <c r="K47" s="4" t="n"/>
      <c r="L47" s="6" t="inlineStr">
        <is>
          <t>Medium</t>
        </is>
      </c>
      <c r="M47" s="4" t="n"/>
    </row>
    <row r="48" ht="60" customHeight="1" s="16">
      <c r="A48" s="4" t="inlineStr">
        <is>
          <t>TC122</t>
        </is>
      </c>
      <c r="B48" s="4" t="inlineStr">
        <is>
          <t>Admin</t>
        </is>
      </c>
      <c r="C48" s="4" t="inlineStr">
        <is>
          <t>Reports</t>
        </is>
      </c>
      <c r="D48" s="4" t="inlineStr">
        <is>
          <t>Export</t>
        </is>
      </c>
      <c r="E48" s="4" t="inlineStr">
        <is>
          <t>Export Report to CSV/Excel</t>
        </is>
      </c>
      <c r="F48" s="4" t="inlineStr">
        <is>
          <t>1. Generate report
2. Click Export
3. Select format
4. Download</t>
        </is>
      </c>
      <c r="G48" s="13" t="inlineStr">
        <is>
          <t>https://nutrio.me/</t>
        </is>
      </c>
      <c r="H48" s="4" t="inlineStr">
        <is>
          <t>Report downloaded</t>
        </is>
      </c>
      <c r="I48" s="4">
        <f>IF(J48="","",IF(J48=H48,"PASS","FAIL"))</f>
        <v/>
      </c>
      <c r="J48" s="4" t="n"/>
      <c r="K48" s="4" t="n"/>
      <c r="L48" s="4" t="inlineStr">
        <is>
          <t>Low</t>
        </is>
      </c>
      <c r="M48" s="4" t="n"/>
    </row>
    <row r="49" ht="60" customHeight="1" s="16">
      <c r="A49" s="4" t="inlineStr">
        <is>
          <t>TC123</t>
        </is>
      </c>
      <c r="B49" s="4" t="inlineStr">
        <is>
          <t>Admin</t>
        </is>
      </c>
      <c r="C49" s="4" t="inlineStr">
        <is>
          <t>Reports</t>
        </is>
      </c>
      <c r="D49" s="4" t="inlineStr">
        <is>
          <t>Restaurant Performance</t>
        </is>
      </c>
      <c r="E49" s="4" t="inlineStr">
        <is>
          <t>View Restaurant Performance</t>
        </is>
      </c>
      <c r="F49" s="4" t="inlineStr">
        <is>
          <t>1. Go to Restaurant Reports
2. View performance metrics</t>
        </is>
      </c>
      <c r="G49" s="13" t="inlineStr">
        <is>
          <t>https://nutrio.me/</t>
        </is>
      </c>
      <c r="H49" s="4" t="inlineStr">
        <is>
          <t>Per-restaurant stats displayed</t>
        </is>
      </c>
      <c r="I49" s="4">
        <f>IF(J49="","",IF(J49=H49,"PASS","FAIL"))</f>
        <v/>
      </c>
      <c r="J49" s="4" t="n"/>
      <c r="K49" s="4" t="n"/>
      <c r="L49" s="6" t="inlineStr">
        <is>
          <t>Medium</t>
        </is>
      </c>
      <c r="M49" s="4" t="n"/>
    </row>
    <row r="50" ht="45" customHeight="1" s="16">
      <c r="A50" s="4" t="inlineStr">
        <is>
          <t>TC124</t>
        </is>
      </c>
      <c r="B50" s="4" t="inlineStr">
        <is>
          <t>Admin</t>
        </is>
      </c>
      <c r="C50" s="4" t="inlineStr">
        <is>
          <t>Payouts</t>
        </is>
      </c>
      <c r="D50" s="4" t="inlineStr">
        <is>
          <t>View Pending</t>
        </is>
      </c>
      <c r="E50" s="4" t="inlineStr">
        <is>
          <t>View Pending Payouts</t>
        </is>
      </c>
      <c r="F50" s="4" t="inlineStr">
        <is>
          <t>1. Go to Payouts page
2. View pending list</t>
        </is>
      </c>
      <c r="G50" s="13" t="inlineStr">
        <is>
          <t>https://nutrio.me/admin/payouts/[id]</t>
        </is>
      </c>
      <c r="H50" s="4" t="inlineStr">
        <is>
          <t>All pending payouts displayed</t>
        </is>
      </c>
      <c r="I50" s="4">
        <f>IF(J50="","",IF(J50=H50,"PASS","FAIL"))</f>
        <v/>
      </c>
      <c r="J50" s="4" t="n"/>
      <c r="K50" s="4" t="n"/>
      <c r="L50" s="5" t="inlineStr">
        <is>
          <t>High</t>
        </is>
      </c>
      <c r="M50" s="4" t="n"/>
    </row>
    <row r="51" ht="60" customHeight="1" s="16">
      <c r="A51" s="4" t="inlineStr">
        <is>
          <t>TC125</t>
        </is>
      </c>
      <c r="B51" s="4" t="inlineStr">
        <is>
          <t>Admin</t>
        </is>
      </c>
      <c r="C51" s="4" t="inlineStr">
        <is>
          <t>Payouts</t>
        </is>
      </c>
      <c r="D51" s="4" t="inlineStr">
        <is>
          <t>Process Payout</t>
        </is>
      </c>
      <c r="E51" s="4" t="inlineStr">
        <is>
          <t>Process Weekly Payout</t>
        </is>
      </c>
      <c r="F51" s="4" t="inlineStr">
        <is>
          <t>1. Select restaurants
2. Click Process
3. Confirm</t>
        </is>
      </c>
      <c r="G51" s="13" t="inlineStr">
        <is>
          <t>https://nutrio.me/admin/payouts</t>
        </is>
      </c>
      <c r="H51" s="4" t="inlineStr">
        <is>
          <t>Payouts processed, restaurants notified</t>
        </is>
      </c>
      <c r="I51" s="4">
        <f>IF(J51="","",IF(J51=H51,"PASS","FAIL"))</f>
        <v/>
      </c>
      <c r="J51" s="4" t="n"/>
      <c r="K51" s="4" t="n"/>
      <c r="L51" s="7" t="inlineStr">
        <is>
          <t>Critical</t>
        </is>
      </c>
      <c r="M51" s="4" t="n"/>
    </row>
    <row r="52" ht="60" customHeight="1" s="16">
      <c r="A52" s="4" t="inlineStr">
        <is>
          <t>TC126</t>
        </is>
      </c>
      <c r="B52" s="4" t="inlineStr">
        <is>
          <t>Admin</t>
        </is>
      </c>
      <c r="C52" s="4" t="inlineStr">
        <is>
          <t>Payouts</t>
        </is>
      </c>
      <c r="D52" s="4" t="inlineStr">
        <is>
          <t>View History</t>
        </is>
      </c>
      <c r="E52" s="4" t="inlineStr">
        <is>
          <t>View Payout History</t>
        </is>
      </c>
      <c r="F52" s="4" t="inlineStr">
        <is>
          <t>1. Click History
2. View past payouts</t>
        </is>
      </c>
      <c r="G52" s="13" t="inlineStr">
        <is>
          <t>https://nutrio.me/admin/payouts/[id]</t>
        </is>
      </c>
      <c r="H52" s="4" t="inlineStr">
        <is>
          <t>All processed payouts listed</t>
        </is>
      </c>
      <c r="I52" s="4">
        <f>IF(J52="","",IF(J52=H52,"PASS","FAIL"))</f>
        <v/>
      </c>
      <c r="J52" s="4" t="n"/>
      <c r="K52" s="4" t="n"/>
      <c r="L52" s="6" t="inlineStr">
        <is>
          <t>Medium</t>
        </is>
      </c>
      <c r="M52" s="4" t="n"/>
    </row>
    <row r="53" ht="60" customHeight="1" s="16">
      <c r="A53" s="4" t="inlineStr">
        <is>
          <t>TC127</t>
        </is>
      </c>
      <c r="B53" s="4" t="inlineStr">
        <is>
          <t>Admin</t>
        </is>
      </c>
      <c r="C53" s="4" t="inlineStr">
        <is>
          <t>Payouts</t>
        </is>
      </c>
      <c r="D53" s="4" t="inlineStr">
        <is>
          <t>Adjust Payout</t>
        </is>
      </c>
      <c r="E53" s="4" t="inlineStr">
        <is>
          <t>Adjust Restaurant Payout</t>
        </is>
      </c>
      <c r="F53" s="4" t="inlineStr">
        <is>
          <t>1. Find restaurant
2. Edit payout amount
3. Add note
4. Save</t>
        </is>
      </c>
      <c r="G53" s="13" t="inlineStr">
        <is>
          <t>https://nutrio.me/admin/payouts</t>
        </is>
      </c>
      <c r="H53" s="4" t="inlineStr">
        <is>
          <t>Payout adjusted with audit trail</t>
        </is>
      </c>
      <c r="I53" s="4">
        <f>IF(J53="","",IF(J53=H53,"PASS","FAIL"))</f>
        <v/>
      </c>
      <c r="J53" s="4" t="n"/>
      <c r="K53" s="4" t="n"/>
      <c r="L53" s="6" t="inlineStr">
        <is>
          <t>Medium</t>
        </is>
      </c>
      <c r="M53" s="4" t="n"/>
    </row>
    <row r="54" ht="45" customHeight="1" s="16">
      <c r="A54" s="4" t="inlineStr">
        <is>
          <t>TC128</t>
        </is>
      </c>
      <c r="B54" s="4" t="inlineStr">
        <is>
          <t>Admin</t>
        </is>
      </c>
      <c r="C54" s="4" t="inlineStr">
        <is>
          <t>Settings</t>
        </is>
      </c>
      <c r="D54" s="4" t="inlineStr">
        <is>
          <t>General</t>
        </is>
      </c>
      <c r="E54" s="4" t="inlineStr">
        <is>
          <t>General Settings</t>
        </is>
      </c>
      <c r="F54" s="4" t="inlineStr">
        <is>
          <t>1. Go to Settings
2. Modify general settings
3. Save</t>
        </is>
      </c>
      <c r="G54" s="13" t="inlineStr">
        <is>
          <t>https://nutrio.me/admin/settings</t>
        </is>
      </c>
      <c r="H54" s="4" t="inlineStr">
        <is>
          <t>Settings saved</t>
        </is>
      </c>
      <c r="I54" s="4">
        <f>IF(J54="","",IF(J54=H54,"PASS","FAIL"))</f>
        <v/>
      </c>
      <c r="J54" s="4" t="n"/>
      <c r="K54" s="4" t="n"/>
      <c r="L54" s="6" t="inlineStr">
        <is>
          <t>Medium</t>
        </is>
      </c>
      <c r="M54" s="4" t="n"/>
    </row>
    <row r="55" ht="45" customHeight="1" s="16">
      <c r="A55" s="4" t="inlineStr">
        <is>
          <t>TC129</t>
        </is>
      </c>
      <c r="B55" s="4" t="inlineStr">
        <is>
          <t>Admin</t>
        </is>
      </c>
      <c r="C55" s="4" t="inlineStr">
        <is>
          <t>Settings</t>
        </is>
      </c>
      <c r="D55" s="4" t="inlineStr">
        <is>
          <t>Payment</t>
        </is>
      </c>
      <c r="E55" s="4" t="inlineStr">
        <is>
          <t>Payment Settings</t>
        </is>
      </c>
      <c r="F55" s="4" t="inlineStr">
        <is>
          <t>1. Go to Payment Settings
2. Configure Sadad
3. Save</t>
        </is>
      </c>
      <c r="G55" s="13" t="inlineStr">
        <is>
          <t>https://nutrio.me/admin/settings</t>
        </is>
      </c>
      <c r="H55" s="4" t="inlineStr">
        <is>
          <t>Payment settings updated</t>
        </is>
      </c>
      <c r="I55" s="4">
        <f>IF(J55="","",IF(J55=H55,"PASS","FAIL"))</f>
        <v/>
      </c>
      <c r="J55" s="4" t="n"/>
      <c r="K55" s="4" t="n"/>
      <c r="L55" s="5" t="inlineStr">
        <is>
          <t>High</t>
        </is>
      </c>
      <c r="M55" s="4" t="n"/>
    </row>
    <row r="56" ht="45" customHeight="1" s="16">
      <c r="A56" s="4" t="inlineStr">
        <is>
          <t>TC130</t>
        </is>
      </c>
      <c r="B56" s="4" t="inlineStr">
        <is>
          <t>Admin</t>
        </is>
      </c>
      <c r="C56" s="4" t="inlineStr">
        <is>
          <t>Settings</t>
        </is>
      </c>
      <c r="D56" s="4" t="inlineStr">
        <is>
          <t>Notifications</t>
        </is>
      </c>
      <c r="E56" s="4" t="inlineStr">
        <is>
          <t>Notification Settings</t>
        </is>
      </c>
      <c r="F56" s="4" t="inlineStr">
        <is>
          <t>1. Go to Notifications
2. Configure templates
3. Save</t>
        </is>
      </c>
      <c r="G56" s="13" t="inlineStr">
        <is>
          <t>https://nutrio.me/admin/settings</t>
        </is>
      </c>
      <c r="H56" s="4" t="inlineStr">
        <is>
          <t>Notification settings saved</t>
        </is>
      </c>
      <c r="I56" s="4">
        <f>IF(J56="","",IF(J56=H56,"PASS","FAIL"))</f>
        <v/>
      </c>
      <c r="J56" s="4" t="n"/>
      <c r="K56" s="4" t="n"/>
      <c r="L56" s="4" t="inlineStr">
        <is>
          <t>Low</t>
        </is>
      </c>
      <c r="M56" s="4" t="n"/>
    </row>
    <row r="57" ht="45" customHeight="1" s="16">
      <c r="A57" s="4" t="inlineStr">
        <is>
          <t>TC131</t>
        </is>
      </c>
      <c r="B57" s="4" t="inlineStr">
        <is>
          <t>Admin</t>
        </is>
      </c>
      <c r="C57" s="4" t="inlineStr">
        <is>
          <t>Settings</t>
        </is>
      </c>
      <c r="D57" s="4" t="inlineStr">
        <is>
          <t>Referral</t>
        </is>
      </c>
      <c r="E57" s="4" t="inlineStr">
        <is>
          <t>Referral Settings</t>
        </is>
      </c>
      <c r="F57" s="4" t="inlineStr">
        <is>
          <t>1. Go to Referral Settings
2. Set reward amounts
3. Save</t>
        </is>
      </c>
      <c r="G57" s="13" t="inlineStr">
        <is>
          <t>https://nutrio.me/admin/settings</t>
        </is>
      </c>
      <c r="H57" s="4" t="inlineStr">
        <is>
          <t>Referral settings updated</t>
        </is>
      </c>
      <c r="I57" s="4">
        <f>IF(J57="","",IF(J57=H57,"PASS","FAIL"))</f>
        <v/>
      </c>
      <c r="J57" s="4" t="n"/>
      <c r="K57" s="4" t="n"/>
      <c r="L57" s="4" t="inlineStr">
        <is>
          <t>Low</t>
        </is>
      </c>
      <c r="M57" s="4" t="n"/>
    </row>
    <row r="58" ht="75" customHeight="1" s="16">
      <c r="A58" s="4" t="inlineStr">
        <is>
          <t>TC253</t>
        </is>
      </c>
      <c r="B58" s="4" t="inlineStr">
        <is>
          <t>Admin</t>
        </is>
      </c>
      <c r="C58" s="4" t="inlineStr">
        <is>
          <t>Restaurants</t>
        </is>
      </c>
      <c r="D58" s="4" t="inlineStr">
        <is>
          <t>Review Application</t>
        </is>
      </c>
      <c r="E58" s="4" t="inlineStr">
        <is>
          <t>Review Restaurant Application Details</t>
        </is>
      </c>
      <c r="F58" s="4" t="inlineStr">
        <is>
          <t>1. Open pending application
2. View all 5 steps data
3. Check documents
4. Verify bank details
5. Review photos</t>
        </is>
      </c>
      <c r="G58" s="13" t="inlineStr">
        <is>
          <t>https://nutrio.me/admin/restaurants/[id]</t>
        </is>
      </c>
      <c r="H58" s="4" t="inlineStr">
        <is>
          <t>Complete application data displayed</t>
        </is>
      </c>
      <c r="I58" s="4">
        <f>IF(J58="","",IF(J58=H58,"PASS","FAIL"))</f>
        <v/>
      </c>
      <c r="J58" s="4" t="n"/>
      <c r="K58" s="4" t="n"/>
      <c r="L58" s="7" t="inlineStr">
        <is>
          <t>Critical</t>
        </is>
      </c>
      <c r="M58" s="4" t="n"/>
    </row>
    <row r="59" ht="75" customHeight="1" s="16">
      <c r="A59" s="4" t="inlineStr">
        <is>
          <t>TC254</t>
        </is>
      </c>
      <c r="B59" s="4" t="inlineStr">
        <is>
          <t>Admin</t>
        </is>
      </c>
      <c r="C59" s="4" t="inlineStr">
        <is>
          <t>Restaurants</t>
        </is>
      </c>
      <c r="D59" s="4" t="inlineStr">
        <is>
          <t>Request More Info</t>
        </is>
      </c>
      <c r="E59" s="4" t="inlineStr">
        <is>
          <t>Request Additional Information</t>
        </is>
      </c>
      <c r="F59" s="4" t="inlineStr">
        <is>
          <t>1. Review application
2. Click Request Info
3. Specify what's needed
4. Send request
5. Restaurant notified</t>
        </is>
      </c>
      <c r="G59" s="13" t="inlineStr">
        <is>
          <t>https://nutrio.me/admin/restaurants/new</t>
        </is>
      </c>
      <c r="H59" s="4" t="inlineStr">
        <is>
          <t>Request sent to restaurant</t>
        </is>
      </c>
      <c r="I59" s="4">
        <f>IF(J59="","",IF(J59=H59,"PASS","FAIL"))</f>
        <v/>
      </c>
      <c r="J59" s="4" t="n"/>
      <c r="K59" s="4" t="n"/>
      <c r="L59" s="6" t="inlineStr">
        <is>
          <t>Medium</t>
        </is>
      </c>
      <c r="M59" s="4" t="n"/>
    </row>
    <row r="60" ht="75" customHeight="1" s="16">
      <c r="A60" s="4" t="inlineStr">
        <is>
          <t>TC255</t>
        </is>
      </c>
      <c r="B60" s="4" t="inlineStr">
        <is>
          <t>Admin</t>
        </is>
      </c>
      <c r="C60" s="4" t="inlineStr">
        <is>
          <t>Restaurants</t>
        </is>
      </c>
      <c r="D60" s="4" t="inlineStr">
        <is>
          <t>Approve with Custom Payout</t>
        </is>
      </c>
      <c r="E60" s="4" t="inlineStr">
        <is>
          <t>Approve with Custom Payout Rate</t>
        </is>
      </c>
      <c r="F60" s="4" t="inlineStr">
        <is>
          <t>1. Review application
2. Set custom payout rate
3. Add internal notes
4. Click Approve
5. Restaurant notified</t>
        </is>
      </c>
      <c r="G60" s="13" t="inlineStr">
        <is>
          <t>https://nutrio.me/admin/restaurants</t>
        </is>
      </c>
      <c r="H60" s="4" t="inlineStr">
        <is>
          <t>Approved with custom payout rate</t>
        </is>
      </c>
      <c r="I60" s="4">
        <f>IF(J60="","",IF(J60=H60,"PASS","FAIL"))</f>
        <v/>
      </c>
      <c r="J60" s="4" t="n"/>
      <c r="K60" s="4" t="n"/>
      <c r="L60" s="7" t="inlineStr">
        <is>
          <t>Critical</t>
        </is>
      </c>
      <c r="M60" s="4" t="n"/>
    </row>
    <row r="61" ht="75" customHeight="1" s="16">
      <c r="A61" s="4" t="inlineStr">
        <is>
          <t>TC256</t>
        </is>
      </c>
      <c r="B61" s="4" t="inlineStr">
        <is>
          <t>Admin</t>
        </is>
      </c>
      <c r="C61" s="4" t="inlineStr">
        <is>
          <t>Restaurants</t>
        </is>
      </c>
      <c r="D61" s="4" t="inlineStr">
        <is>
          <t>Bulk Approve</t>
        </is>
      </c>
      <c r="E61" s="4" t="inlineStr">
        <is>
          <t>Bulk Approve Multiple Restaurants</t>
        </is>
      </c>
      <c r="F61" s="4" t="inlineStr">
        <is>
          <t>1. Select multiple pending
2. Click Bulk Approve
3. Set default payout
4. Confirm
5. All approved</t>
        </is>
      </c>
      <c r="G61" s="13" t="inlineStr">
        <is>
          <t>https://nutrio.me/admin/restaurants</t>
        </is>
      </c>
      <c r="H61" s="4" t="inlineStr">
        <is>
          <t>All selected restaurants approved</t>
        </is>
      </c>
      <c r="I61" s="4">
        <f>IF(J61="","",IF(J61=H61,"PASS","FAIL"))</f>
        <v/>
      </c>
      <c r="J61" s="4" t="n"/>
      <c r="K61" s="4" t="n"/>
      <c r="L61" s="4" t="inlineStr">
        <is>
          <t>Low</t>
        </is>
      </c>
      <c r="M61" s="4" t="n"/>
    </row>
    <row r="62" ht="75" customHeight="1" s="16">
      <c r="A62" s="4" t="inlineStr">
        <is>
          <t>TC257</t>
        </is>
      </c>
      <c r="B62" s="4" t="inlineStr">
        <is>
          <t>Admin</t>
        </is>
      </c>
      <c r="C62" s="4" t="inlineStr">
        <is>
          <t>Restaurants</t>
        </is>
      </c>
      <c r="D62" s="4" t="inlineStr">
        <is>
          <t>Restaurant Performance</t>
        </is>
      </c>
      <c r="E62" s="4" t="inlineStr">
        <is>
          <t>View Detailed Restaurant Performance</t>
        </is>
      </c>
      <c r="F62" s="4" t="inlineStr">
        <is>
          <t>1. Open restaurant
2. View orders trend
3. View earnings trend
4. Check rating history
5. Compare with average</t>
        </is>
      </c>
      <c r="G62" s="13" t="inlineStr">
        <is>
          <t>https://nutrio.me/admin/restaurants/[id]</t>
        </is>
      </c>
      <c r="H62" s="4" t="inlineStr">
        <is>
          <t>Detailed performance metrics displayed</t>
        </is>
      </c>
      <c r="I62" s="4">
        <f>IF(J62="","",IF(J62=H62,"PASS","FAIL"))</f>
        <v/>
      </c>
      <c r="J62" s="4" t="n"/>
      <c r="K62" s="4" t="n"/>
      <c r="L62" s="6" t="inlineStr">
        <is>
          <t>Medium</t>
        </is>
      </c>
      <c r="M62" s="4" t="n"/>
    </row>
    <row r="63" ht="75" customHeight="1" s="16">
      <c r="A63" s="4" t="inlineStr">
        <is>
          <t>TC258</t>
        </is>
      </c>
      <c r="B63" s="4" t="inlineStr">
        <is>
          <t>Admin</t>
        </is>
      </c>
      <c r="C63" s="4" t="inlineStr">
        <is>
          <t>Payouts</t>
        </is>
      </c>
      <c r="D63" s="4" t="inlineStr">
        <is>
          <t>Calculate Payouts</t>
        </is>
      </c>
      <c r="E63" s="4" t="inlineStr">
        <is>
          <t>Calculate Weekly Payouts</t>
        </is>
      </c>
      <c r="F63" s="4" t="inlineStr">
        <is>
          <t>1. Go to payouts
2. Select week
3. Click Calculate
4. Review all calculations
5. Check for discrepancies</t>
        </is>
      </c>
      <c r="G63" s="13" t="inlineStr">
        <is>
          <t>https://nutrio.me/admin/payouts</t>
        </is>
      </c>
      <c r="H63" s="4" t="inlineStr">
        <is>
          <t>Payouts calculated for all restaurants</t>
        </is>
      </c>
      <c r="I63" s="4">
        <f>IF(J63="","",IF(J63=H63,"PASS","FAIL"))</f>
        <v/>
      </c>
      <c r="J63" s="4" t="n"/>
      <c r="K63" s="4" t="n"/>
      <c r="L63" s="7" t="inlineStr">
        <is>
          <t>Critical</t>
        </is>
      </c>
      <c r="M63" s="4" t="n"/>
    </row>
    <row r="64" ht="75" customHeight="1" s="16">
      <c r="A64" s="4" t="inlineStr">
        <is>
          <t>TC259</t>
        </is>
      </c>
      <c r="B64" s="4" t="inlineStr">
        <is>
          <t>Admin</t>
        </is>
      </c>
      <c r="C64" s="4" t="inlineStr">
        <is>
          <t>Payouts</t>
        </is>
      </c>
      <c r="D64" s="4" t="inlineStr">
        <is>
          <t>Preview Payouts</t>
        </is>
      </c>
      <c r="E64" s="4" t="inlineStr">
        <is>
          <t>Preview Before Processing</t>
        </is>
      </c>
      <c r="F64" s="4" t="inlineStr">
        <is>
          <t>1. Calculate payouts
2. Click Preview
3. Review each restaurant
4. Check amounts
5. Verify accuracy</t>
        </is>
      </c>
      <c r="G64" s="13" t="inlineStr">
        <is>
          <t>https://nutrio.me/admin/payouts/[id]</t>
        </is>
      </c>
      <c r="H64" s="4" t="inlineStr">
        <is>
          <t>Preview displayed with all details</t>
        </is>
      </c>
      <c r="I64" s="4">
        <f>IF(J64="","",IF(J64=H64,"PASS","FAIL"))</f>
        <v/>
      </c>
      <c r="J64" s="4" t="n"/>
      <c r="K64" s="4" t="n"/>
      <c r="L64" s="5" t="inlineStr">
        <is>
          <t>High</t>
        </is>
      </c>
      <c r="M64" s="4" t="n"/>
    </row>
    <row r="65" ht="75" customHeight="1" s="16">
      <c r="A65" s="4" t="inlineStr">
        <is>
          <t>TC260</t>
        </is>
      </c>
      <c r="B65" s="4" t="inlineStr">
        <is>
          <t>Admin</t>
        </is>
      </c>
      <c r="C65" s="4" t="inlineStr">
        <is>
          <t>Payouts</t>
        </is>
      </c>
      <c r="D65" s="4" t="inlineStr">
        <is>
          <t>Process Individual</t>
        </is>
      </c>
      <c r="E65" s="4" t="inlineStr">
        <is>
          <t>Process Individual Payout</t>
        </is>
      </c>
      <c r="F65" s="4" t="inlineStr">
        <is>
          <t>1. Find specific restaurant
2. Click Process
3. Confirm amount
4. Mark as paid
5. Generate receipt</t>
        </is>
      </c>
      <c r="G65" s="13" t="inlineStr">
        <is>
          <t>https://nutrio.me/admin/payouts</t>
        </is>
      </c>
      <c r="H65" s="4" t="inlineStr">
        <is>
          <t>Individual payout processed</t>
        </is>
      </c>
      <c r="I65" s="4">
        <f>IF(J65="","",IF(J65=H65,"PASS","FAIL"))</f>
        <v/>
      </c>
      <c r="J65" s="4" t="n"/>
      <c r="K65" s="4" t="n"/>
      <c r="L65" s="6" t="inlineStr">
        <is>
          <t>Medium</t>
        </is>
      </c>
      <c r="M65" s="4" t="n"/>
    </row>
    <row r="66" ht="75" customHeight="1" s="16">
      <c r="A66" s="4" t="inlineStr">
        <is>
          <t>TC261</t>
        </is>
      </c>
      <c r="B66" s="4" t="inlineStr">
        <is>
          <t>Admin</t>
        </is>
      </c>
      <c r="C66" s="4" t="inlineStr">
        <is>
          <t>Payouts</t>
        </is>
      </c>
      <c r="D66" s="4" t="inlineStr">
        <is>
          <t>Export Payout Data</t>
        </is>
      </c>
      <c r="E66" s="4" t="inlineStr">
        <is>
          <t>Export Payout Data for Accounting</t>
        </is>
      </c>
      <c r="F66" s="4" t="inlineStr">
        <is>
          <t>1. Select date range
2. Click Export
3. Choose format (Excel/PDF)
4. Download
5. Verify data integrity</t>
        </is>
      </c>
      <c r="G66" s="13" t="inlineStr">
        <is>
          <t>https://nutrio.me/admin/payouts</t>
        </is>
      </c>
      <c r="H66" s="4" t="inlineStr">
        <is>
          <t>Payout data exported</t>
        </is>
      </c>
      <c r="I66" s="4">
        <f>IF(J66="","",IF(J66=H66,"PASS","FAIL"))</f>
        <v/>
      </c>
      <c r="J66" s="4" t="n"/>
      <c r="K66" s="4" t="n"/>
      <c r="L66" s="6" t="inlineStr">
        <is>
          <t>Medium</t>
        </is>
      </c>
      <c r="M66" s="4" t="n"/>
    </row>
    <row r="67" ht="75" customHeight="1" s="16">
      <c r="A67" s="4" t="inlineStr">
        <is>
          <t>TC262</t>
        </is>
      </c>
      <c r="B67" s="4" t="inlineStr">
        <is>
          <t>Admin</t>
        </is>
      </c>
      <c r="C67" s="4" t="inlineStr">
        <is>
          <t>Payouts</t>
        </is>
      </c>
      <c r="D67" s="4" t="inlineStr">
        <is>
          <t>Handle Dispute</t>
        </is>
      </c>
      <c r="E67" s="4" t="inlineStr">
        <is>
          <t>Handle Payout Dispute</t>
        </is>
      </c>
      <c r="F67" s="4" t="inlineStr">
        <is>
          <t>1. Receive dispute
2. Review order details
3. Check calculation
4. Resolve dispute
5. Adjust if needed</t>
        </is>
      </c>
      <c r="G67" s="13" t="inlineStr">
        <is>
          <t>https://nutrio.me/admin/payouts</t>
        </is>
      </c>
      <c r="H67" s="4" t="inlineStr">
        <is>
          <t>Dispute resolved with documentation</t>
        </is>
      </c>
      <c r="I67" s="4">
        <f>IF(J67="","",IF(J67=H67,"PASS","FAIL"))</f>
        <v/>
      </c>
      <c r="J67" s="4" t="n"/>
      <c r="K67" s="4" t="n"/>
      <c r="L67" s="5" t="inlineStr">
        <is>
          <t>High</t>
        </is>
      </c>
      <c r="M67" s="4" t="n"/>
    </row>
    <row r="68" ht="75" customHeight="1" s="16">
      <c r="A68" s="4" t="inlineStr">
        <is>
          <t>TC263</t>
        </is>
      </c>
      <c r="B68" s="4" t="inlineStr">
        <is>
          <t>Admin</t>
        </is>
      </c>
      <c r="C68" s="4" t="inlineStr">
        <is>
          <t>Users</t>
        </is>
      </c>
      <c r="D68" s="4" t="inlineStr">
        <is>
          <t>Impersonate User</t>
        </is>
      </c>
      <c r="E68" s="4" t="inlineStr">
        <is>
          <t>Impersonate Customer Account</t>
        </is>
      </c>
      <c r="F68" s="4" t="inlineStr">
        <is>
          <t>1. Find user
2. Click Impersonate
3. View app as user
4. Debug issues
5. Exit impersonation</t>
        </is>
      </c>
      <c r="G68" s="13" t="inlineStr">
        <is>
          <t>https://nutrio.me/admin/users</t>
        </is>
      </c>
      <c r="H68" s="4" t="inlineStr">
        <is>
          <t>Logged in as user, can view their experience</t>
        </is>
      </c>
      <c r="I68" s="4">
        <f>IF(J68="","",IF(J68=H68,"PASS","FAIL"))</f>
        <v/>
      </c>
      <c r="J68" s="4" t="n"/>
      <c r="K68" s="4" t="n"/>
      <c r="L68" s="6" t="inlineStr">
        <is>
          <t>Medium</t>
        </is>
      </c>
      <c r="M68" s="4" t="n"/>
    </row>
    <row r="69" ht="75" customHeight="1" s="16">
      <c r="A69" s="4" t="inlineStr">
        <is>
          <t>TC264</t>
        </is>
      </c>
      <c r="B69" s="4" t="inlineStr">
        <is>
          <t>Admin</t>
        </is>
      </c>
      <c r="C69" s="4" t="inlineStr">
        <is>
          <t>Users</t>
        </is>
      </c>
      <c r="D69" s="4" t="inlineStr">
        <is>
          <t>Reset User Password</t>
        </is>
      </c>
      <c r="E69" s="4" t="inlineStr">
        <is>
          <t>Reset User Password</t>
        </is>
      </c>
      <c r="F69" s="4" t="inlineStr">
        <is>
          <t>1. Find user
2. Click Reset Password
3. Generate temp password
4. Send to user
5. Force change on login</t>
        </is>
      </c>
      <c r="G69" s="13" t="inlineStr">
        <is>
          <t>https://nutrio.me/admin/users</t>
        </is>
      </c>
      <c r="H69" s="4" t="inlineStr">
        <is>
          <t>Password reset, user notified</t>
        </is>
      </c>
      <c r="I69" s="4">
        <f>IF(J69="","",IF(J69=H69,"PASS","FAIL"))</f>
        <v/>
      </c>
      <c r="J69" s="4" t="n"/>
      <c r="K69" s="4" t="n"/>
      <c r="L69" s="5" t="inlineStr">
        <is>
          <t>High</t>
        </is>
      </c>
      <c r="M69" s="4" t="n"/>
    </row>
    <row r="70" ht="75" customHeight="1" s="16">
      <c r="A70" s="4" t="inlineStr">
        <is>
          <t>TC265</t>
        </is>
      </c>
      <c r="B70" s="4" t="inlineStr">
        <is>
          <t>Admin</t>
        </is>
      </c>
      <c r="C70" s="4" t="inlineStr">
        <is>
          <t>Users</t>
        </is>
      </c>
      <c r="D70" s="4" t="inlineStr">
        <is>
          <t>View User Activity</t>
        </is>
      </c>
      <c r="E70" s="4" t="inlineStr">
        <is>
          <t>View Complete User Activity Log</t>
        </is>
      </c>
      <c r="F70" s="4" t="inlineStr">
        <is>
          <t>1. Open user
2. Click Activity Log
3. View all actions
4. Filter by date
5. Export log</t>
        </is>
      </c>
      <c r="G70" s="13" t="inlineStr">
        <is>
          <t>https://nutrio.me/admin/users/[id]</t>
        </is>
      </c>
      <c r="H70" s="4" t="inlineStr">
        <is>
          <t>Complete activity history displayed</t>
        </is>
      </c>
      <c r="I70" s="4">
        <f>IF(J70="","",IF(J70=H70,"PASS","FAIL"))</f>
        <v/>
      </c>
      <c r="J70" s="4" t="n"/>
      <c r="K70" s="4" t="n"/>
      <c r="L70" s="6" t="inlineStr">
        <is>
          <t>Medium</t>
        </is>
      </c>
      <c r="M70" s="4" t="n"/>
    </row>
    <row r="71" ht="75" customHeight="1" s="16">
      <c r="A71" s="4" t="inlineStr">
        <is>
          <t>TC266</t>
        </is>
      </c>
      <c r="B71" s="4" t="inlineStr">
        <is>
          <t>Admin</t>
        </is>
      </c>
      <c r="C71" s="4" t="inlineStr">
        <is>
          <t>Content</t>
        </is>
      </c>
      <c r="D71" s="4" t="inlineStr">
        <is>
          <t>Bulk Edit Meals</t>
        </is>
      </c>
      <c r="E71" s="4" t="inlineStr">
        <is>
          <t>Bulk Edit Multiple Meals</t>
        </is>
      </c>
      <c r="F71" s="4" t="inlineStr">
        <is>
          <t>1. Select multiple meals
2. Click Bulk Edit
3. Change common field
4. Apply to all
5. Verify changes</t>
        </is>
      </c>
      <c r="G71" s="13" t="inlineStr">
        <is>
          <t>https://nutrio.me/admin/content/[id]/edit</t>
        </is>
      </c>
      <c r="H71" s="4" t="inlineStr">
        <is>
          <t>All selected meals updated</t>
        </is>
      </c>
      <c r="I71" s="4">
        <f>IF(J71="","",IF(J71=H71,"PASS","FAIL"))</f>
        <v/>
      </c>
      <c r="J71" s="4" t="n"/>
      <c r="K71" s="4" t="n"/>
      <c r="L71" s="4" t="inlineStr">
        <is>
          <t>Low</t>
        </is>
      </c>
      <c r="M71" s="4" t="n"/>
    </row>
    <row r="72" ht="75" customHeight="1" s="16">
      <c r="A72" s="4" t="inlineStr">
        <is>
          <t>TC267</t>
        </is>
      </c>
      <c r="B72" s="4" t="inlineStr">
        <is>
          <t>Admin</t>
        </is>
      </c>
      <c r="C72" s="4" t="inlineStr">
        <is>
          <t>Content</t>
        </is>
      </c>
      <c r="D72" s="4" t="inlineStr">
        <is>
          <t>Moderate Reviews</t>
        </is>
      </c>
      <c r="E72" s="4" t="inlineStr">
        <is>
          <t>Moderate Customer Reviews</t>
        </is>
      </c>
      <c r="F72" s="4" t="inlineStr">
        <is>
          <t>1. Go to reviews
2. Filter inappropriate
3. Review content
4. Approve or remove
5. Notify if removed</t>
        </is>
      </c>
      <c r="G72" s="13" t="inlineStr">
        <is>
          <t>https://nutrio.me/admin/content/[id]</t>
        </is>
      </c>
      <c r="H72" s="4" t="inlineStr">
        <is>
          <t>Review moderated</t>
        </is>
      </c>
      <c r="I72" s="4">
        <f>IF(J72="","",IF(J72=H72,"PASS","FAIL"))</f>
        <v/>
      </c>
      <c r="J72" s="4" t="n"/>
      <c r="K72" s="4" t="n"/>
      <c r="L72" s="6" t="inlineStr">
        <is>
          <t>Medium</t>
        </is>
      </c>
      <c r="M72" s="4" t="n"/>
    </row>
    <row r="73" ht="90" customHeight="1" s="16">
      <c r="A73" s="4" t="inlineStr">
        <is>
          <t>TC268</t>
        </is>
      </c>
      <c r="B73" s="4" t="inlineStr">
        <is>
          <t>Admin</t>
        </is>
      </c>
      <c r="C73" s="4" t="inlineStr">
        <is>
          <t>Content</t>
        </is>
      </c>
      <c r="D73" s="4" t="inlineStr">
        <is>
          <t>Create Promo</t>
        </is>
      </c>
      <c r="E73" s="4" t="inlineStr">
        <is>
          <t>Create Promotional Banner</t>
        </is>
      </c>
      <c r="F73" s="4" t="inlineStr">
        <is>
          <t>1. Go to content
2. Click Banners
3. Upload image
4. Set link
5. Set dates
6. Publish</t>
        </is>
      </c>
      <c r="G73" s="13" t="inlineStr">
        <is>
          <t>https://nutrio.me/admin/content/new</t>
        </is>
      </c>
      <c r="H73" s="4" t="inlineStr">
        <is>
          <t>Banner live on app</t>
        </is>
      </c>
      <c r="I73" s="4">
        <f>IF(J73="","",IF(J73=H73,"PASS","FAIL"))</f>
        <v/>
      </c>
      <c r="J73" s="4" t="n"/>
      <c r="K73" s="4" t="n"/>
      <c r="L73" s="4" t="inlineStr">
        <is>
          <t>Low</t>
        </is>
      </c>
      <c r="M73" s="4" t="n"/>
    </row>
    <row r="74" ht="75" customHeight="1" s="16">
      <c r="A74" s="4" t="inlineStr">
        <is>
          <t>TC269</t>
        </is>
      </c>
      <c r="B74" s="4" t="inlineStr">
        <is>
          <t>Admin</t>
        </is>
      </c>
      <c r="C74" s="4" t="inlineStr">
        <is>
          <t>Content</t>
        </is>
      </c>
      <c r="D74" s="4" t="inlineStr">
        <is>
          <t>Diet Tags Management</t>
        </is>
      </c>
      <c r="E74" s="4" t="inlineStr">
        <is>
          <t>Manage Dietary Tags</t>
        </is>
      </c>
      <c r="F74" s="4" t="inlineStr">
        <is>
          <t>1. Go to diet tags
2. Add new tag
3. Edit existing
4. Delete unused
5. Reorder list</t>
        </is>
      </c>
      <c r="G74" s="13" t="inlineStr">
        <is>
          <t>https://nutrio.me/admin/content</t>
        </is>
      </c>
      <c r="H74" s="4" t="inlineStr">
        <is>
          <t>Tags updated system-wide</t>
        </is>
      </c>
      <c r="I74" s="4">
        <f>IF(J74="","",IF(J74=H74,"PASS","FAIL"))</f>
        <v/>
      </c>
      <c r="J74" s="4" t="n"/>
      <c r="K74" s="4" t="n"/>
      <c r="L74" s="4" t="inlineStr">
        <is>
          <t>Low</t>
        </is>
      </c>
      <c r="M74" s="4" t="n"/>
    </row>
    <row r="75" ht="75" customHeight="1" s="16">
      <c r="A75" s="4" t="inlineStr">
        <is>
          <t>TC270</t>
        </is>
      </c>
      <c r="B75" s="4" t="inlineStr">
        <is>
          <t>Admin</t>
        </is>
      </c>
      <c r="C75" s="4" t="inlineStr">
        <is>
          <t>Analytics</t>
        </is>
      </c>
      <c r="D75" s="4" t="inlineStr">
        <is>
          <t>Revenue Trends</t>
        </is>
      </c>
      <c r="E75" s="4" t="inlineStr">
        <is>
          <t>View Revenue Trends</t>
        </is>
      </c>
      <c r="F75" s="4" t="inlineStr">
        <is>
          <t>1. Go to analytics
2. Select date range
3. View revenue chart
4. Compare periods
5. Export data</t>
        </is>
      </c>
      <c r="G75" s="13" t="inlineStr">
        <is>
          <t>https://nutrio.me/admin/analytics/[id]</t>
        </is>
      </c>
      <c r="H75" s="4" t="inlineStr">
        <is>
          <t>Revenue trends displayed</t>
        </is>
      </c>
      <c r="I75" s="4">
        <f>IF(J75="","",IF(J75=H75,"PASS","FAIL"))</f>
        <v/>
      </c>
      <c r="J75" s="4" t="n"/>
      <c r="K75" s="4" t="n"/>
      <c r="L75" s="6" t="inlineStr">
        <is>
          <t>Medium</t>
        </is>
      </c>
      <c r="M75" s="4" t="n"/>
    </row>
    <row r="76" ht="75" customHeight="1" s="16">
      <c r="A76" s="4" t="inlineStr">
        <is>
          <t>TC271</t>
        </is>
      </c>
      <c r="B76" s="4" t="inlineStr">
        <is>
          <t>Admin</t>
        </is>
      </c>
      <c r="C76" s="4" t="inlineStr">
        <is>
          <t>Analytics</t>
        </is>
      </c>
      <c r="D76" s="4" t="inlineStr">
        <is>
          <t>Customer Retention</t>
        </is>
      </c>
      <c r="E76" s="4" t="inlineStr">
        <is>
          <t>View Customer Retention Metrics</t>
        </is>
      </c>
      <c r="F76" s="4" t="inlineStr">
        <is>
          <t>1. Go to analytics
2. Click Retention
3. View cohort analysis
4. Check churn rate
5. Identify trends</t>
        </is>
      </c>
      <c r="G76" s="13" t="inlineStr">
        <is>
          <t>https://nutrio.me/admin/analytics/[id]</t>
        </is>
      </c>
      <c r="H76" s="4" t="inlineStr">
        <is>
          <t>Retention metrics displayed</t>
        </is>
      </c>
      <c r="I76" s="4">
        <f>IF(J76="","",IF(J76=H76,"PASS","FAIL"))</f>
        <v/>
      </c>
      <c r="J76" s="4" t="n"/>
      <c r="K76" s="4" t="n"/>
      <c r="L76" s="6" t="inlineStr">
        <is>
          <t>Medium</t>
        </is>
      </c>
      <c r="M76" s="4" t="n"/>
    </row>
    <row r="77" ht="75" customHeight="1" s="16">
      <c r="A77" s="4" t="inlineStr">
        <is>
          <t>TC272</t>
        </is>
      </c>
      <c r="B77" s="4" t="inlineStr">
        <is>
          <t>Admin</t>
        </is>
      </c>
      <c r="C77" s="4" t="inlineStr">
        <is>
          <t>Analytics</t>
        </is>
      </c>
      <c r="D77" s="4" t="inlineStr">
        <is>
          <t>Peak Hours</t>
        </is>
      </c>
      <c r="E77" s="4" t="inlineStr">
        <is>
          <t>View Peak Order Hours</t>
        </is>
      </c>
      <c r="F77" s="4" t="inlineStr">
        <is>
          <t>1. Go to analytics
2. Click Peak Hours
3. View heatmap
4. Identify busy times
5. Plan capacity</t>
        </is>
      </c>
      <c r="G77" s="13" t="inlineStr">
        <is>
          <t>https://nutrio.me/admin/analytics/[id]</t>
        </is>
      </c>
      <c r="H77" s="4" t="inlineStr">
        <is>
          <t>Peak hours heatmap displayed</t>
        </is>
      </c>
      <c r="I77" s="4">
        <f>IF(J77="","",IF(J77=H77,"PASS","FAIL"))</f>
        <v/>
      </c>
      <c r="J77" s="4" t="n"/>
      <c r="K77" s="4" t="n"/>
      <c r="L77" s="6" t="inlineStr">
        <is>
          <t>Medium</t>
        </is>
      </c>
      <c r="M77" s="4" t="n"/>
    </row>
    <row r="78" ht="75" customHeight="1" s="16">
      <c r="A78" s="4" t="inlineStr">
        <is>
          <t>TC273</t>
        </is>
      </c>
      <c r="B78" s="4" t="inlineStr">
        <is>
          <t>Admin</t>
        </is>
      </c>
      <c r="C78" s="4" t="inlineStr">
        <is>
          <t>Analytics</t>
        </is>
      </c>
      <c r="D78" s="4" t="inlineStr">
        <is>
          <t>Export Full Report</t>
        </is>
      </c>
      <c r="E78" s="4" t="inlineStr">
        <is>
          <t>Export Complete Analytics Report</t>
        </is>
      </c>
      <c r="F78" s="4" t="inlineStr">
        <is>
          <t>1. Go to analytics
2. Select all metrics
3. Choose date range
4. Click Export
5. Download comprehensive PDF</t>
        </is>
      </c>
      <c r="G78" s="13" t="inlineStr">
        <is>
          <t>https://nutrio.me/admin/analytics</t>
        </is>
      </c>
      <c r="H78" s="4" t="inlineStr">
        <is>
          <t>Full analytics report exported</t>
        </is>
      </c>
      <c r="I78" s="4">
        <f>IF(J78="","",IF(J78=H78,"PASS","FAIL"))</f>
        <v/>
      </c>
      <c r="J78" s="4" t="n"/>
      <c r="K78" s="4" t="n"/>
      <c r="L78" s="4" t="inlineStr">
        <is>
          <t>Low</t>
        </is>
      </c>
      <c r="M78" s="4" t="n"/>
    </row>
    <row r="79" ht="75" customHeight="1" s="16">
      <c r="A79" s="4" t="inlineStr">
        <is>
          <t>TC274</t>
        </is>
      </c>
      <c r="B79" s="4" t="inlineStr">
        <is>
          <t>Admin</t>
        </is>
      </c>
      <c r="C79" s="4" t="inlineStr">
        <is>
          <t>Settings</t>
        </is>
      </c>
      <c r="D79" s="4" t="inlineStr">
        <is>
          <t>Configure Sadad</t>
        </is>
      </c>
      <c r="E79" s="4" t="inlineStr">
        <is>
          <t>Configure Sadad Payment Gateway</t>
        </is>
      </c>
      <c r="F79" s="4" t="inlineStr">
        <is>
          <t>1. Go to payment settings
2. Enter Sadad credentials
3. Test connection
4. Set webhook
5. Save config</t>
        </is>
      </c>
      <c r="G79" s="13" t="inlineStr">
        <is>
          <t>https://nutrio.me/admin/settings</t>
        </is>
      </c>
      <c r="H79" s="4" t="inlineStr">
        <is>
          <t>Sadad configured and tested</t>
        </is>
      </c>
      <c r="I79" s="4">
        <f>IF(J79="","",IF(J79=H79,"PASS","FAIL"))</f>
        <v/>
      </c>
      <c r="J79" s="4" t="n"/>
      <c r="K79" s="4" t="n"/>
      <c r="L79" s="7" t="inlineStr">
        <is>
          <t>Critical</t>
        </is>
      </c>
      <c r="M79" s="4" t="n"/>
    </row>
    <row r="80" ht="75" customHeight="1" s="16">
      <c r="A80" s="4" t="inlineStr">
        <is>
          <t>TC275</t>
        </is>
      </c>
      <c r="B80" s="4" t="inlineStr">
        <is>
          <t>Admin</t>
        </is>
      </c>
      <c r="C80" s="4" t="inlineStr">
        <is>
          <t>Settings</t>
        </is>
      </c>
      <c r="D80" s="4" t="inlineStr">
        <is>
          <t>Notification Templates</t>
        </is>
      </c>
      <c r="E80" s="4" t="inlineStr">
        <is>
          <t>Edit Notification Templates</t>
        </is>
      </c>
      <c r="F80" s="4" t="inlineStr">
        <is>
          <t>1. Go to notifications
2. Select template
3. Edit message
4. Add variables
5. Save template</t>
        </is>
      </c>
      <c r="G80" s="13" t="inlineStr">
        <is>
          <t>https://nutrio.me/admin/settings/[id]/edit</t>
        </is>
      </c>
      <c r="H80" s="4" t="inlineStr">
        <is>
          <t>Template updated</t>
        </is>
      </c>
      <c r="I80" s="4">
        <f>IF(J80="","",IF(J80=H80,"PASS","FAIL"))</f>
        <v/>
      </c>
      <c r="J80" s="4" t="n"/>
      <c r="K80" s="4" t="n"/>
      <c r="L80" s="4" t="inlineStr">
        <is>
          <t>Low</t>
        </is>
      </c>
      <c r="M80" s="4" t="n"/>
    </row>
    <row r="81" ht="75" customHeight="1" s="16">
      <c r="A81" s="4" t="inlineStr">
        <is>
          <t>TC276</t>
        </is>
      </c>
      <c r="B81" s="4" t="inlineStr">
        <is>
          <t>Admin</t>
        </is>
      </c>
      <c r="C81" s="4" t="inlineStr">
        <is>
          <t>Settings</t>
        </is>
      </c>
      <c r="D81" s="4" t="inlineStr">
        <is>
          <t>Referral Rewards</t>
        </is>
      </c>
      <c r="E81" s="4" t="inlineStr">
        <is>
          <t>Configure Referral Program</t>
        </is>
      </c>
      <c r="F81" s="4" t="inlineStr">
        <is>
          <t>1. Go to referral settings
2. Set referrer reward
3. Set referee reward
4. Set limits
5. Enable/disable</t>
        </is>
      </c>
      <c r="G81" s="13" t="inlineStr">
        <is>
          <t>https://nutrio.me/admin/settings</t>
        </is>
      </c>
      <c r="H81" s="4" t="inlineStr">
        <is>
          <t>Referral settings saved</t>
        </is>
      </c>
      <c r="I81" s="4">
        <f>IF(J81="","",IF(J81=H81,"PASS","FAIL"))</f>
        <v/>
      </c>
      <c r="J81" s="4" t="n"/>
      <c r="K81" s="4" t="n"/>
      <c r="L81" s="6" t="inlineStr">
        <is>
          <t>Medium</t>
        </is>
      </c>
      <c r="M81" s="4" t="n"/>
    </row>
    <row r="82" ht="75" customHeight="1" s="16">
      <c r="A82" s="4" t="inlineStr">
        <is>
          <t>TC277</t>
        </is>
      </c>
      <c r="B82" s="4" t="inlineStr">
        <is>
          <t>Admin</t>
        </is>
      </c>
      <c r="C82" s="4" t="inlineStr">
        <is>
          <t>Settings</t>
        </is>
      </c>
      <c r="D82" s="4" t="inlineStr">
        <is>
          <t>System Maintenance</t>
        </is>
      </c>
      <c r="E82" s="4" t="inlineStr">
        <is>
          <t>Toggle Maintenance Mode</t>
        </is>
      </c>
      <c r="F82" s="4" t="inlineStr">
        <is>
          <t>1. Go to system settings
2. Enable maintenance
3. Set message
4. Save
5. Verify site shows maintenance</t>
        </is>
      </c>
      <c r="G82" s="13" t="inlineStr">
        <is>
          <t>https://nutrio.me/admin/settings</t>
        </is>
      </c>
      <c r="H82" s="4" t="inlineStr">
        <is>
          <t>Maintenance mode activated</t>
        </is>
      </c>
      <c r="I82" s="4">
        <f>IF(J82="","",IF(J82=H82,"PASS","FAIL"))</f>
        <v/>
      </c>
      <c r="J82" s="4" t="n"/>
      <c r="K82" s="4" t="n"/>
      <c r="L82" s="4" t="inlineStr">
        <is>
          <t>Low</t>
        </is>
      </c>
      <c r="M82" s="4" t="n"/>
    </row>
    <row r="83">
      <c r="G83" s="13" t="inlineStr">
        <is>
          <t>https://nutrio.me/</t>
        </is>
      </c>
      <c r="I83">
        <f>IF(J83="","",IF(J83=H83,"PASS","FAIL"))</f>
        <v/>
      </c>
    </row>
    <row r="84" ht="15.75" customHeight="1" s="16">
      <c r="A84" s="12" t="inlineStr">
        <is>
          <t>SUMMARY</t>
        </is>
      </c>
      <c r="G84" s="13" t="inlineStr">
        <is>
          <t>https://nutrio.me/</t>
        </is>
      </c>
      <c r="I84">
        <f>IF(J84="","",IF(J84=H84,"PASS","FAIL"))</f>
        <v/>
      </c>
    </row>
    <row r="85">
      <c r="A85" t="inlineStr">
        <is>
          <t>Total Tests:</t>
        </is>
      </c>
      <c r="B85">
        <f>COUNTA(A2:A83)</f>
        <v/>
      </c>
      <c r="G85" s="13" t="inlineStr">
        <is>
          <t>https://nutrio.me/</t>
        </is>
      </c>
      <c r="I85">
        <f>IF(J85="","",IF(J85=H85,"PASS","FAIL"))</f>
        <v/>
      </c>
    </row>
    <row r="86">
      <c r="A86" t="inlineStr">
        <is>
          <t>Passed:</t>
        </is>
      </c>
      <c r="B86">
        <f>COUNTIF(I2:I83,"PASS")</f>
        <v/>
      </c>
      <c r="G86" s="13" t="inlineStr">
        <is>
          <t>https://nutrio.me/</t>
        </is>
      </c>
      <c r="I86">
        <f>IF(J86="","",IF(J86=H86,"PASS","FAIL"))</f>
        <v/>
      </c>
    </row>
    <row r="87">
      <c r="A87" t="inlineStr">
        <is>
          <t>Failed:</t>
        </is>
      </c>
      <c r="B87">
        <f>COUNTIF(I2:I83,"FAIL")</f>
        <v/>
      </c>
      <c r="G87" s="13" t="inlineStr">
        <is>
          <t>https://nutrio.me/</t>
        </is>
      </c>
      <c r="I87">
        <f>IF(J87="","",IF(J87=H87,"PASS","FAIL"))</f>
        <v/>
      </c>
    </row>
    <row r="88">
      <c r="A88" t="inlineStr">
        <is>
          <t>Pass Rate:</t>
        </is>
      </c>
      <c r="B88" s="2">
        <f>IF(COUNTA(I2:I83)&gt;0,COUNTIF(I2:I83,"PASS")/COUNTA(I2:I83),0)</f>
        <v/>
      </c>
      <c r="G88" s="13" t="inlineStr">
        <is>
          <t>https://nutrio.me/</t>
        </is>
      </c>
      <c r="I88">
        <f>IF(J88="","",IF(J88=H88,"PASS","FAIL"))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60" customHeight="1" s="16">
      <c r="A2" s="4" t="inlineStr">
        <is>
          <t>TC132</t>
        </is>
      </c>
      <c r="B2" s="4" t="inlineStr">
        <is>
          <t>Driver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Driver Login</t>
        </is>
      </c>
      <c r="F2" s="4" t="inlineStr">
        <is>
          <t>1. Navigate to /driver/auth
2. Enter Email: driver@nutriofuel.com / Password: Driver123!
3. Login</t>
        </is>
      </c>
      <c r="G2" s="13" t="inlineStr">
        <is>
          <t>https://nutrio.me/driver/auth</t>
        </is>
      </c>
      <c r="H2" s="4" t="inlineStr">
        <is>
          <t>Driver logged in, dashboard displayed</t>
        </is>
      </c>
      <c r="I2" s="4">
        <f>IF(J2="","",IF(J2=H2,"PASS","FAIL"))</f>
        <v/>
      </c>
      <c r="J2" s="4" t="n"/>
      <c r="K2" s="4" t="n"/>
      <c r="L2" s="5" t="inlineStr">
        <is>
          <t>High</t>
        </is>
      </c>
      <c r="M2" s="4" t="n"/>
    </row>
    <row r="3" ht="30" customHeight="1" s="16">
      <c r="A3" s="4" t="inlineStr">
        <is>
          <t>TC133</t>
        </is>
      </c>
      <c r="B3" s="4" t="inlineStr">
        <is>
          <t>Driver</t>
        </is>
      </c>
      <c r="C3" s="4" t="inlineStr">
        <is>
          <t>Auth</t>
        </is>
      </c>
      <c r="D3" s="4" t="inlineStr">
        <is>
          <t>Logout</t>
        </is>
      </c>
      <c r="E3" s="4" t="inlineStr">
        <is>
          <t>Driver Logout</t>
        </is>
      </c>
      <c r="F3" s="4" t="inlineStr">
        <is>
          <t>1. Click Logout</t>
        </is>
      </c>
      <c r="G3" s="13" t="inlineStr">
        <is>
          <t>https://nutrio.me/driver/auth</t>
        </is>
      </c>
      <c r="H3" s="4" t="inlineStr">
        <is>
          <t>Driver logged out</t>
        </is>
      </c>
      <c r="I3" s="4">
        <f>IF(J3="","",IF(J3=H3,"PASS","FAIL"))</f>
        <v/>
      </c>
      <c r="J3" s="4" t="n"/>
      <c r="K3" s="4" t="n"/>
      <c r="L3" s="5" t="inlineStr">
        <is>
          <t>High</t>
        </is>
      </c>
      <c r="M3" s="4" t="n"/>
    </row>
    <row r="4" ht="120" customHeight="1" s="16">
      <c r="A4" s="4" t="inlineStr">
        <is>
          <t>TC134</t>
        </is>
      </c>
      <c r="B4" s="4" t="inlineStr">
        <is>
          <t>Driver</t>
        </is>
      </c>
      <c r="C4" s="4" t="inlineStr">
        <is>
          <t>Dashboard</t>
        </is>
      </c>
      <c r="D4" s="4" t="inlineStr">
        <is>
          <t>View</t>
        </is>
      </c>
      <c r="E4" s="4" t="inlineStr">
        <is>
          <t>Driver Dashboard Load</t>
        </is>
      </c>
      <c r="F4" s="4" t="inlineStr">
        <is>
          <t>1. Login as driver
2. View dashboard</t>
        </is>
      </c>
      <c r="G4" s="13" t="inlineStr">
        <is>
          <t>https://nutrio.me/driver/dashboard</t>
        </is>
      </c>
      <c r="H4" s="4" t="inlineStr">
        <is>
          <t>Dashboard shows: available orders, today's earnings, active deliveries</t>
        </is>
      </c>
      <c r="I4" s="4">
        <f>IF(J4="","",IF(J4=H4,"PASS","FAIL"))</f>
        <v/>
      </c>
      <c r="J4" s="4" t="n"/>
      <c r="K4" s="4" t="n"/>
      <c r="L4" s="5" t="inlineStr">
        <is>
          <t>High</t>
        </is>
      </c>
      <c r="M4" s="4" t="n"/>
    </row>
    <row r="5" ht="30" customHeight="1" s="16">
      <c r="A5" s="4" t="inlineStr">
        <is>
          <t>TC135</t>
        </is>
      </c>
      <c r="B5" s="4" t="inlineStr">
        <is>
          <t>Driver</t>
        </is>
      </c>
      <c r="C5" s="4" t="inlineStr">
        <is>
          <t>Dashboard</t>
        </is>
      </c>
      <c r="D5" s="4" t="inlineStr">
        <is>
          <t>Stats</t>
        </is>
      </c>
      <c r="E5" s="4" t="inlineStr">
        <is>
          <t>View Driver Stats</t>
        </is>
      </c>
      <c r="F5" s="4" t="inlineStr">
        <is>
          <t>1. Check today's stats
2. View earnings</t>
        </is>
      </c>
      <c r="G5" s="13" t="inlineStr">
        <is>
          <t>https://nutrio.me/driver/dashboard/[id]</t>
        </is>
      </c>
      <c r="H5" s="4" t="inlineStr">
        <is>
          <t>Correct stats displayed</t>
        </is>
      </c>
      <c r="I5" s="4">
        <f>IF(J5="","",IF(J5=H5,"PASS","FAIL"))</f>
        <v/>
      </c>
      <c r="J5" s="4" t="n"/>
      <c r="K5" s="4" t="n"/>
      <c r="L5" s="6" t="inlineStr">
        <is>
          <t>Medium</t>
        </is>
      </c>
      <c r="M5" s="4" t="n"/>
    </row>
    <row r="6" ht="60" customHeight="1" s="16">
      <c r="A6" s="4" t="inlineStr">
        <is>
          <t>TC136</t>
        </is>
      </c>
      <c r="B6" s="4" t="inlineStr">
        <is>
          <t>Driver</t>
        </is>
      </c>
      <c r="C6" s="4" t="inlineStr">
        <is>
          <t>Deliveries</t>
        </is>
      </c>
      <c r="D6" s="4" t="inlineStr">
        <is>
          <t>View Available</t>
        </is>
      </c>
      <c r="E6" s="4" t="inlineStr">
        <is>
          <t>View Available Deliveries</t>
        </is>
      </c>
      <c r="F6" s="4" t="inlineStr">
        <is>
          <t>1. Go to Deliveries
2. View available orders</t>
        </is>
      </c>
      <c r="G6" s="13" t="inlineStr">
        <is>
          <t>https://nutrio.me/driver/deliveries/[id]</t>
        </is>
      </c>
      <c r="H6" s="4" t="inlineStr">
        <is>
          <t>Orders ready for pickup displayed</t>
        </is>
      </c>
      <c r="I6" s="4">
        <f>IF(J6="","",IF(J6=H6,"PASS","FAIL"))</f>
        <v/>
      </c>
      <c r="J6" s="4" t="n"/>
      <c r="K6" s="4" t="n"/>
      <c r="L6" s="7" t="inlineStr">
        <is>
          <t>Critical</t>
        </is>
      </c>
      <c r="M6" s="4" t="n"/>
    </row>
    <row r="7" ht="45" customHeight="1" s="16">
      <c r="A7" s="4" t="inlineStr">
        <is>
          <t>TC137</t>
        </is>
      </c>
      <c r="B7" s="4" t="inlineStr">
        <is>
          <t>Driver</t>
        </is>
      </c>
      <c r="C7" s="4" t="inlineStr">
        <is>
          <t>Deliveries</t>
        </is>
      </c>
      <c r="D7" s="4" t="inlineStr">
        <is>
          <t>Accept Delivery</t>
        </is>
      </c>
      <c r="E7" s="4" t="inlineStr">
        <is>
          <t>Accept Delivery Order</t>
        </is>
      </c>
      <c r="F7" s="4" t="inlineStr">
        <is>
          <t>1. View available orders
2. Click Accept
3. Confirm</t>
        </is>
      </c>
      <c r="G7" s="13" t="inlineStr">
        <is>
          <t>https://nutrio.me/driver/deliveries</t>
        </is>
      </c>
      <c r="H7" s="4" t="inlineStr">
        <is>
          <t>Order assigned to driver</t>
        </is>
      </c>
      <c r="I7" s="4">
        <f>IF(J7="","",IF(J7=H7,"PASS","FAIL"))</f>
        <v/>
      </c>
      <c r="J7" s="4" t="n"/>
      <c r="K7" s="4" t="n"/>
      <c r="L7" s="7" t="inlineStr">
        <is>
          <t>Critical</t>
        </is>
      </c>
      <c r="M7" s="4" t="n"/>
    </row>
    <row r="8" ht="75" customHeight="1" s="16">
      <c r="A8" s="4" t="inlineStr">
        <is>
          <t>TC138</t>
        </is>
      </c>
      <c r="B8" s="4" t="inlineStr">
        <is>
          <t>Driver</t>
        </is>
      </c>
      <c r="C8" s="4" t="inlineStr">
        <is>
          <t>Deliveries</t>
        </is>
      </c>
      <c r="D8" s="4" t="inlineStr">
        <is>
          <t>View Active</t>
        </is>
      </c>
      <c r="E8" s="4" t="inlineStr">
        <is>
          <t>View Active Deliveries</t>
        </is>
      </c>
      <c r="F8" s="4" t="inlineStr">
        <is>
          <t>1. Go to Active tab
2. View current deliveries</t>
        </is>
      </c>
      <c r="G8" s="13" t="inlineStr">
        <is>
          <t>https://nutrio.me/driver/deliveries/[id]</t>
        </is>
      </c>
      <c r="H8" s="4" t="inlineStr">
        <is>
          <t>Accepted orders displayed with pickup details</t>
        </is>
      </c>
      <c r="I8" s="4">
        <f>IF(J8="","",IF(J8=H8,"PASS","FAIL"))</f>
        <v/>
      </c>
      <c r="J8" s="4" t="n"/>
      <c r="K8" s="4" t="n"/>
      <c r="L8" s="5" t="inlineStr">
        <is>
          <t>High</t>
        </is>
      </c>
      <c r="M8" s="4" t="n"/>
    </row>
    <row r="9" ht="60" customHeight="1" s="16">
      <c r="A9" s="4" t="inlineStr">
        <is>
          <t>TC139</t>
        </is>
      </c>
      <c r="B9" s="4" t="inlineStr">
        <is>
          <t>Driver</t>
        </is>
      </c>
      <c r="C9" s="4" t="inlineStr">
        <is>
          <t>Deliveries</t>
        </is>
      </c>
      <c r="D9" s="4" t="inlineStr">
        <is>
          <t>Navigate</t>
        </is>
      </c>
      <c r="E9" s="4" t="inlineStr">
        <is>
          <t>Navigate to Pickup</t>
        </is>
      </c>
      <c r="F9" s="4" t="inlineStr">
        <is>
          <t>1. Open active delivery
2. Click Navigate to Restaurant
3. Open maps</t>
        </is>
      </c>
      <c r="G9" s="13" t="inlineStr">
        <is>
          <t>https://nutrio.me/driver/deliveries</t>
        </is>
      </c>
      <c r="H9" s="4" t="inlineStr">
        <is>
          <t>Maps opens with route to restaurant</t>
        </is>
      </c>
      <c r="I9" s="4">
        <f>IF(J9="","",IF(J9=H9,"PASS","FAIL"))</f>
        <v/>
      </c>
      <c r="J9" s="4" t="n"/>
      <c r="K9" s="4" t="n"/>
      <c r="L9" s="5" t="inlineStr">
        <is>
          <t>High</t>
        </is>
      </c>
      <c r="M9" s="4" t="n"/>
    </row>
    <row r="10" ht="60" customHeight="1" s="16">
      <c r="A10" s="4" t="inlineStr">
        <is>
          <t>TC140</t>
        </is>
      </c>
      <c r="B10" s="4" t="inlineStr">
        <is>
          <t>Driver</t>
        </is>
      </c>
      <c r="C10" s="4" t="inlineStr">
        <is>
          <t>Deliveries</t>
        </is>
      </c>
      <c r="D10" s="4" t="inlineStr">
        <is>
          <t>Mark Picked Up</t>
        </is>
      </c>
      <c r="E10" s="4" t="inlineStr">
        <is>
          <t>Mark Order as Picked Up</t>
        </is>
      </c>
      <c r="F10" s="4" t="inlineStr">
        <is>
          <t>1. Arrive at restaurant
2. Pick up order
3. Click Picked Up</t>
        </is>
      </c>
      <c r="G10" s="13" t="inlineStr">
        <is>
          <t>https://nutrio.me/driver/deliveries</t>
        </is>
      </c>
      <c r="H10" s="4" t="inlineStr">
        <is>
          <t>Status updated, customer notified</t>
        </is>
      </c>
      <c r="I10" s="4">
        <f>IF(J10="","",IF(J10=H10,"PASS","FAIL"))</f>
        <v/>
      </c>
      <c r="J10" s="4" t="n"/>
      <c r="K10" s="4" t="n"/>
      <c r="L10" s="7" t="inlineStr">
        <is>
          <t>Critical</t>
        </is>
      </c>
      <c r="M10" s="4" t="n"/>
    </row>
    <row r="11" ht="45" customHeight="1" s="16">
      <c r="A11" s="4" t="inlineStr">
        <is>
          <t>TC141</t>
        </is>
      </c>
      <c r="B11" s="4" t="inlineStr">
        <is>
          <t>Driver</t>
        </is>
      </c>
      <c r="C11" s="4" t="inlineStr">
        <is>
          <t>Deliveries</t>
        </is>
      </c>
      <c r="D11" s="4" t="inlineStr">
        <is>
          <t>Navigate Delivery</t>
        </is>
      </c>
      <c r="E11" s="4" t="inlineStr">
        <is>
          <t>Navigate to Customer</t>
        </is>
      </c>
      <c r="F11" s="4" t="inlineStr">
        <is>
          <t>1. Click Navigate to Customer
2. Open maps</t>
        </is>
      </c>
      <c r="G11" s="13" t="inlineStr">
        <is>
          <t>https://nutrio.me/driver/deliveries</t>
        </is>
      </c>
      <c r="H11" s="4" t="inlineStr">
        <is>
          <t>Maps opens with route to customer</t>
        </is>
      </c>
      <c r="I11" s="4">
        <f>IF(J11="","",IF(J11=H11,"PASS","FAIL"))</f>
        <v/>
      </c>
      <c r="J11" s="4" t="n"/>
      <c r="K11" s="4" t="n"/>
      <c r="L11" s="5" t="inlineStr">
        <is>
          <t>High</t>
        </is>
      </c>
      <c r="M11" s="4" t="n"/>
    </row>
    <row r="12" ht="60" customHeight="1" s="16">
      <c r="A12" s="4" t="inlineStr">
        <is>
          <t>TC142</t>
        </is>
      </c>
      <c r="B12" s="4" t="inlineStr">
        <is>
          <t>Driver</t>
        </is>
      </c>
      <c r="C12" s="4" t="inlineStr">
        <is>
          <t>Deliveries</t>
        </is>
      </c>
      <c r="D12" s="4" t="inlineStr">
        <is>
          <t>Mark Delivered</t>
        </is>
      </c>
      <c r="E12" s="4" t="inlineStr">
        <is>
          <t>Mark Order as Delivered</t>
        </is>
      </c>
      <c r="F12" s="4" t="inlineStr">
        <is>
          <t>1. Arrive at customer
2. Deliver order
3. Click Delivered
4. Optional: Photo</t>
        </is>
      </c>
      <c r="G12" s="13" t="inlineStr">
        <is>
          <t>https://nutrio.me/driver/deliveries</t>
        </is>
      </c>
      <c r="H12" s="4" t="inlineStr">
        <is>
          <t>Status updated, delivery complete</t>
        </is>
      </c>
      <c r="I12" s="4">
        <f>IF(J12="","",IF(J12=H12,"PASS","FAIL"))</f>
        <v/>
      </c>
      <c r="J12" s="4" t="n"/>
      <c r="K12" s="4" t="n"/>
      <c r="L12" s="7" t="inlineStr">
        <is>
          <t>Critical</t>
        </is>
      </c>
      <c r="M12" s="4" t="n"/>
    </row>
    <row r="13" ht="75" customHeight="1" s="16">
      <c r="A13" s="4" t="inlineStr">
        <is>
          <t>TC143</t>
        </is>
      </c>
      <c r="B13" s="4" t="inlineStr">
        <is>
          <t>Driver</t>
        </is>
      </c>
      <c r="C13" s="4" t="inlineStr">
        <is>
          <t>Deliveries</t>
        </is>
      </c>
      <c r="D13" s="4" t="inlineStr">
        <is>
          <t>View History</t>
        </is>
      </c>
      <c r="E13" s="4" t="inlineStr">
        <is>
          <t>View Delivery History</t>
        </is>
      </c>
      <c r="F13" s="4" t="inlineStr">
        <is>
          <t>1. Go to History tab
2. View past deliveries</t>
        </is>
      </c>
      <c r="G13" s="13" t="inlineStr">
        <is>
          <t>https://nutrio.me/driver/deliveries/[id]</t>
        </is>
      </c>
      <c r="H13" s="4" t="inlineStr">
        <is>
          <t>Completed deliveries with earnings displayed</t>
        </is>
      </c>
      <c r="I13" s="4">
        <f>IF(J13="","",IF(J13=H13,"PASS","FAIL"))</f>
        <v/>
      </c>
      <c r="J13" s="4" t="n"/>
      <c r="K13" s="4" t="n"/>
      <c r="L13" s="6" t="inlineStr">
        <is>
          <t>Medium</t>
        </is>
      </c>
      <c r="M13" s="4" t="n"/>
    </row>
    <row r="14" ht="90" customHeight="1" s="16">
      <c r="A14" s="4" t="inlineStr">
        <is>
          <t>TC144</t>
        </is>
      </c>
      <c r="B14" s="4" t="inlineStr">
        <is>
          <t>Driver</t>
        </is>
      </c>
      <c r="C14" s="4" t="inlineStr">
        <is>
          <t>Deliveries</t>
        </is>
      </c>
      <c r="D14" s="4" t="inlineStr">
        <is>
          <t>Delivery Details</t>
        </is>
      </c>
      <c r="E14" s="4" t="inlineStr">
        <is>
          <t>View Delivery Details</t>
        </is>
      </c>
      <c r="F14" s="4" t="inlineStr">
        <is>
          <t>1. Click on any delivery
2. View details</t>
        </is>
      </c>
      <c r="G14" s="13" t="inlineStr">
        <is>
          <t>https://nutrio.me/driver/deliveries/[id]</t>
        </is>
      </c>
      <c r="H14" s="4" t="inlineStr">
        <is>
          <t>Full info: restaurant, customer, address, items, earnings</t>
        </is>
      </c>
      <c r="I14" s="4">
        <f>IF(J14="","",IF(J14=H14,"PASS","FAIL"))</f>
        <v/>
      </c>
      <c r="J14" s="4" t="n"/>
      <c r="K14" s="4" t="n"/>
      <c r="L14" s="6" t="inlineStr">
        <is>
          <t>Medium</t>
        </is>
      </c>
      <c r="M14" s="4" t="n"/>
    </row>
    <row r="15" ht="75" customHeight="1" s="16">
      <c r="A15" s="4" t="inlineStr">
        <is>
          <t>TC145</t>
        </is>
      </c>
      <c r="B15" s="4" t="inlineStr">
        <is>
          <t>Driver</t>
        </is>
      </c>
      <c r="C15" s="4" t="inlineStr">
        <is>
          <t>Earnings</t>
        </is>
      </c>
      <c r="D15" s="4" t="inlineStr">
        <is>
          <t>View</t>
        </is>
      </c>
      <c r="E15" s="4" t="inlineStr">
        <is>
          <t>View Earnings</t>
        </is>
      </c>
      <c r="F15" s="4" t="inlineStr">
        <is>
          <t>1. Go to Earnings page
2. View summary</t>
        </is>
      </c>
      <c r="G15" s="13" t="inlineStr">
        <is>
          <t>https://nutrio.me/driver/earnings/[id]</t>
        </is>
      </c>
      <c r="H15" s="4" t="inlineStr">
        <is>
          <t>Today's earnings, weekly, total displayed</t>
        </is>
      </c>
      <c r="I15" s="4">
        <f>IF(J15="","",IF(J15=H15,"PASS","FAIL"))</f>
        <v/>
      </c>
      <c r="J15" s="4" t="n"/>
      <c r="K15" s="4" t="n"/>
      <c r="L15" s="5" t="inlineStr">
        <is>
          <t>High</t>
        </is>
      </c>
      <c r="M15" s="4" t="n"/>
    </row>
    <row r="16" ht="45" customHeight="1" s="16">
      <c r="A16" s="4" t="inlineStr">
        <is>
          <t>TC146</t>
        </is>
      </c>
      <c r="B16" s="4" t="inlineStr">
        <is>
          <t>Driver</t>
        </is>
      </c>
      <c r="C16" s="4" t="inlineStr">
        <is>
          <t>Earnings</t>
        </is>
      </c>
      <c r="D16" s="4" t="inlineStr">
        <is>
          <t>History</t>
        </is>
      </c>
      <c r="E16" s="4" t="inlineStr">
        <is>
          <t>View Earnings History</t>
        </is>
      </c>
      <c r="F16" s="4" t="inlineStr">
        <is>
          <t>1. View earnings breakdown
2. Check per-delivery earnings</t>
        </is>
      </c>
      <c r="G16" s="13" t="inlineStr">
        <is>
          <t>https://nutrio.me/driver/earnings/[id]</t>
        </is>
      </c>
      <c r="H16" s="4" t="inlineStr">
        <is>
          <t>Accurate earnings history</t>
        </is>
      </c>
      <c r="I16" s="4">
        <f>IF(J16="","",IF(J16=H16,"PASS","FAIL"))</f>
        <v/>
      </c>
      <c r="J16" s="4" t="n"/>
      <c r="K16" s="4" t="n"/>
      <c r="L16" s="6" t="inlineStr">
        <is>
          <t>Medium</t>
        </is>
      </c>
      <c r="M16" s="4" t="n"/>
    </row>
    <row r="17" ht="45" customHeight="1" s="16">
      <c r="A17" s="4" t="inlineStr">
        <is>
          <t>TC147</t>
        </is>
      </c>
      <c r="B17" s="4" t="inlineStr">
        <is>
          <t>Driver</t>
        </is>
      </c>
      <c r="C17" s="4" t="inlineStr">
        <is>
          <t>Earnings</t>
        </is>
      </c>
      <c r="D17" s="4" t="inlineStr">
        <is>
          <t>Payout</t>
        </is>
      </c>
      <c r="E17" s="4" t="inlineStr">
        <is>
          <t>View Payout Status</t>
        </is>
      </c>
      <c r="F17" s="4" t="inlineStr">
        <is>
          <t>1. Check payout section
2. View pending/completed payouts</t>
        </is>
      </c>
      <c r="G17" s="13" t="inlineStr">
        <is>
          <t>https://nutrio.me/driver/earnings/[id]</t>
        </is>
      </c>
      <c r="H17" s="4" t="inlineStr">
        <is>
          <t>Payout status displayed</t>
        </is>
      </c>
      <c r="I17" s="4">
        <f>IF(J17="","",IF(J17=H17,"PASS","FAIL"))</f>
        <v/>
      </c>
      <c r="J17" s="4" t="n"/>
      <c r="K17" s="4" t="n"/>
      <c r="L17" s="6" t="inlineStr">
        <is>
          <t>Medium</t>
        </is>
      </c>
      <c r="M17" s="4" t="n"/>
    </row>
    <row r="18" ht="75" customHeight="1" s="16">
      <c r="A18" s="4" t="inlineStr">
        <is>
          <t>TC148</t>
        </is>
      </c>
      <c r="B18" s="4" t="inlineStr">
        <is>
          <t>Driver</t>
        </is>
      </c>
      <c r="C18" s="4" t="inlineStr">
        <is>
          <t>Profile</t>
        </is>
      </c>
      <c r="D18" s="4" t="inlineStr">
        <is>
          <t>View</t>
        </is>
      </c>
      <c r="E18" s="4" t="inlineStr">
        <is>
          <t>View Driver Profile</t>
        </is>
      </c>
      <c r="F18" s="4" t="inlineStr">
        <is>
          <t>1. Go to Profile
2. View info</t>
        </is>
      </c>
      <c r="G18" s="13" t="inlineStr">
        <is>
          <t>https://nutrio.me/driver/profile/[id]</t>
        </is>
      </c>
      <c r="H18" s="4" t="inlineStr">
        <is>
          <t>Driver details, vehicle info, ratings displayed</t>
        </is>
      </c>
      <c r="I18" s="4">
        <f>IF(J18="","",IF(J18=H18,"PASS","FAIL"))</f>
        <v/>
      </c>
      <c r="J18" s="4" t="n"/>
      <c r="K18" s="4" t="n"/>
      <c r="L18" s="6" t="inlineStr">
        <is>
          <t>Medium</t>
        </is>
      </c>
      <c r="M18" s="4" t="n"/>
    </row>
    <row r="19" ht="45" customHeight="1" s="16">
      <c r="A19" s="4" t="inlineStr">
        <is>
          <t>TC149</t>
        </is>
      </c>
      <c r="B19" s="4" t="inlineStr">
        <is>
          <t>Driver</t>
        </is>
      </c>
      <c r="C19" s="4" t="inlineStr">
        <is>
          <t>Profile</t>
        </is>
      </c>
      <c r="D19" s="4" t="inlineStr">
        <is>
          <t>Edit</t>
        </is>
      </c>
      <c r="E19" s="4" t="inlineStr">
        <is>
          <t>Edit Profile</t>
        </is>
      </c>
      <c r="F19" s="4" t="inlineStr">
        <is>
          <t>1. Click Edit
2. Update info
3. Save</t>
        </is>
      </c>
      <c r="G19" s="13" t="inlineStr">
        <is>
          <t>https://nutrio.me/driver/profile/[id]/edit</t>
        </is>
      </c>
      <c r="H19" s="4" t="inlineStr">
        <is>
          <t>Profile updated</t>
        </is>
      </c>
      <c r="I19" s="4">
        <f>IF(J19="","",IF(J19=H19,"PASS","FAIL"))</f>
        <v/>
      </c>
      <c r="J19" s="4" t="n"/>
      <c r="K19" s="4" t="n"/>
      <c r="L19" s="6" t="inlineStr">
        <is>
          <t>Medium</t>
        </is>
      </c>
      <c r="M19" s="4" t="n"/>
    </row>
    <row r="20" ht="30" customHeight="1" s="16">
      <c r="A20" s="4" t="inlineStr">
        <is>
          <t>TC150</t>
        </is>
      </c>
      <c r="B20" s="4" t="inlineStr">
        <is>
          <t>Driver</t>
        </is>
      </c>
      <c r="C20" s="4" t="inlineStr">
        <is>
          <t>Profile</t>
        </is>
      </c>
      <c r="D20" s="4" t="inlineStr">
        <is>
          <t>Update Vehicle</t>
        </is>
      </c>
      <c r="E20" s="4" t="inlineStr">
        <is>
          <t>Update Vehicle Information</t>
        </is>
      </c>
      <c r="F20" s="4" t="inlineStr">
        <is>
          <t>1. Edit vehicle details
2. Save</t>
        </is>
      </c>
      <c r="G20" s="13" t="inlineStr">
        <is>
          <t>https://nutrio.me/driver/profile/[id]/edit</t>
        </is>
      </c>
      <c r="H20" s="4" t="inlineStr">
        <is>
          <t>Vehicle info updated</t>
        </is>
      </c>
      <c r="I20" s="4">
        <f>IF(J20="","",IF(J20=H20,"PASS","FAIL"))</f>
        <v/>
      </c>
      <c r="J20" s="4" t="n"/>
      <c r="K20" s="4" t="n"/>
      <c r="L20" s="4" t="inlineStr">
        <is>
          <t>Low</t>
        </is>
      </c>
      <c r="M20" s="4" t="n"/>
    </row>
    <row r="21" ht="75" customHeight="1" s="16">
      <c r="A21" s="4" t="inlineStr">
        <is>
          <t>TC151</t>
        </is>
      </c>
      <c r="B21" s="4" t="inlineStr">
        <is>
          <t>Driver</t>
        </is>
      </c>
      <c r="C21" s="4" t="inlineStr">
        <is>
          <t>Profile</t>
        </is>
      </c>
      <c r="D21" s="4" t="inlineStr">
        <is>
          <t>Set Status</t>
        </is>
      </c>
      <c r="E21" s="4" t="inlineStr">
        <is>
          <t>Set Driver Status</t>
        </is>
      </c>
      <c r="F21" s="4" t="inlineStr">
        <is>
          <t>1. Toggle Online/Offline
2. Confirm</t>
        </is>
      </c>
      <c r="G21" s="13" t="inlineStr">
        <is>
          <t>https://nutrio.me/driver/profile</t>
        </is>
      </c>
      <c r="H21" s="4" t="inlineStr">
        <is>
          <t>Status updated, affects order availability</t>
        </is>
      </c>
      <c r="I21" s="4">
        <f>IF(J21="","",IF(J21=H21,"PASS","FAIL"))</f>
        <v/>
      </c>
      <c r="J21" s="4" t="n"/>
      <c r="K21" s="4" t="n"/>
      <c r="L21" s="5" t="inlineStr">
        <is>
          <t>High</t>
        </is>
      </c>
      <c r="M21" s="4" t="n"/>
    </row>
    <row r="22" ht="45" customHeight="1" s="16">
      <c r="A22" s="4" t="inlineStr">
        <is>
          <t>TC152</t>
        </is>
      </c>
      <c r="B22" s="4" t="inlineStr">
        <is>
          <t>Driver</t>
        </is>
      </c>
      <c r="C22" s="4" t="inlineStr">
        <is>
          <t>Profile</t>
        </is>
      </c>
      <c r="D22" s="4" t="inlineStr">
        <is>
          <t>Bank Info</t>
        </is>
      </c>
      <c r="E22" s="4" t="inlineStr">
        <is>
          <t>Update Bank Details</t>
        </is>
      </c>
      <c r="F22" s="4" t="inlineStr">
        <is>
          <t>1. Edit bank info
2. Save</t>
        </is>
      </c>
      <c r="G22" s="13" t="inlineStr">
        <is>
          <t>https://nutrio.me/driver/profile/[id]</t>
        </is>
      </c>
      <c r="H22" s="4" t="inlineStr">
        <is>
          <t>Bank details updated for payouts</t>
        </is>
      </c>
      <c r="I22" s="4">
        <f>IF(J22="","",IF(J22=H22,"PASS","FAIL"))</f>
        <v/>
      </c>
      <c r="J22" s="4" t="n"/>
      <c r="K22" s="4" t="n"/>
      <c r="L22" s="5" t="inlineStr">
        <is>
          <t>High</t>
        </is>
      </c>
      <c r="M22" s="4" t="n"/>
    </row>
    <row r="23" ht="60" customHeight="1" s="16">
      <c r="A23" s="4" t="inlineStr">
        <is>
          <t>TC230</t>
        </is>
      </c>
      <c r="B23" s="4" t="inlineStr">
        <is>
          <t>Driver</t>
        </is>
      </c>
      <c r="C23" s="4" t="inlineStr">
        <is>
          <t>Auth</t>
        </is>
      </c>
      <c r="D23" s="4" t="inlineStr">
        <is>
          <t>Forgot Password</t>
        </is>
      </c>
      <c r="E23" s="4" t="inlineStr">
        <is>
          <t>Driver Forgot Password</t>
        </is>
      </c>
      <c r="F23" s="4" t="inlineStr">
        <is>
          <t>1. Click Forgot Password
2. Enter email
3. Check email
4. Reset password</t>
        </is>
      </c>
      <c r="G23" s="13" t="inlineStr">
        <is>
          <t>https://nutrio.me/driver/auth</t>
        </is>
      </c>
      <c r="H23" s="4" t="inlineStr">
        <is>
          <t>Password reset successful</t>
        </is>
      </c>
      <c r="I23" s="4">
        <f>IF(J23="","",IF(J23=H23,"PASS","FAIL"))</f>
        <v/>
      </c>
      <c r="J23" s="4" t="n"/>
      <c r="K23" s="4" t="n"/>
      <c r="L23" s="5" t="inlineStr">
        <is>
          <t>High</t>
        </is>
      </c>
      <c r="M23" s="4" t="n"/>
    </row>
    <row r="24" ht="60" customHeight="1" s="16">
      <c r="A24" s="4" t="inlineStr">
        <is>
          <t>TC231</t>
        </is>
      </c>
      <c r="B24" s="4" t="inlineStr">
        <is>
          <t>Driver</t>
        </is>
      </c>
      <c r="C24" s="4" t="inlineStr">
        <is>
          <t>Dashboard</t>
        </is>
      </c>
      <c r="D24" s="4" t="inlineStr">
        <is>
          <t>Earnings Summary</t>
        </is>
      </c>
      <c r="E24" s="4" t="inlineStr">
        <is>
          <t>View Earnings Summary on Dashboard</t>
        </is>
      </c>
      <c r="F24" s="4" t="inlineStr">
        <is>
          <t>1. Login as driver
2. View today's earnings
3. View this week
4. View completion rate</t>
        </is>
      </c>
      <c r="G24" s="13" t="inlineStr">
        <is>
          <t>https://nutrio.me/driver/dashboard/[id]</t>
        </is>
      </c>
      <c r="H24" s="4" t="inlineStr">
        <is>
          <t>Earnings stats displayed accurately</t>
        </is>
      </c>
      <c r="I24" s="4">
        <f>IF(J24="","",IF(J24=H24,"PASS","FAIL"))</f>
        <v/>
      </c>
      <c r="J24" s="4" t="n"/>
      <c r="K24" s="4" t="n"/>
      <c r="L24" s="5" t="inlineStr">
        <is>
          <t>High</t>
        </is>
      </c>
      <c r="M24" s="4" t="n"/>
    </row>
    <row r="25" ht="60" customHeight="1" s="16">
      <c r="A25" s="4" t="inlineStr">
        <is>
          <t>TC232</t>
        </is>
      </c>
      <c r="B25" s="4" t="inlineStr">
        <is>
          <t>Driver</t>
        </is>
      </c>
      <c r="C25" s="4" t="inlineStr">
        <is>
          <t>Dashboard</t>
        </is>
      </c>
      <c r="D25" s="4" t="inlineStr">
        <is>
          <t>Active Delivery</t>
        </is>
      </c>
      <c r="E25" s="4" t="inlineStr">
        <is>
          <t>View Active Delivery on Dashboard</t>
        </is>
      </c>
      <c r="F25" s="4" t="inlineStr">
        <is>
          <t>1. Have active delivery
2. Check dashboard
3. View customer info
4. View navigation button</t>
        </is>
      </c>
      <c r="G25" s="13" t="inlineStr">
        <is>
          <t>https://nutrio.me/driver/dashboard/[id]</t>
        </is>
      </c>
      <c r="H25" s="4" t="inlineStr">
        <is>
          <t>Active delivery details shown</t>
        </is>
      </c>
      <c r="I25" s="4">
        <f>IF(J25="","",IF(J25=H25,"PASS","FAIL"))</f>
        <v/>
      </c>
      <c r="J25" s="4" t="n"/>
      <c r="K25" s="4" t="n"/>
      <c r="L25" s="7" t="inlineStr">
        <is>
          <t>Critical</t>
        </is>
      </c>
      <c r="M25" s="4" t="n"/>
    </row>
    <row r="26" ht="60" customHeight="1" s="16">
      <c r="A26" s="4" t="inlineStr">
        <is>
          <t>TC233</t>
        </is>
      </c>
      <c r="B26" s="4" t="inlineStr">
        <is>
          <t>Driver</t>
        </is>
      </c>
      <c r="C26" s="4" t="inlineStr">
        <is>
          <t>Deliveries</t>
        </is>
      </c>
      <c r="D26" s="4" t="inlineStr">
        <is>
          <t>Filter Available</t>
        </is>
      </c>
      <c r="E26" s="4" t="inlineStr">
        <is>
          <t>Filter Available Deliveries</t>
        </is>
      </c>
      <c r="F26" s="4" t="inlineStr">
        <is>
          <t>1. Go to available deliveries
2. Filter by distance
3. Filter by payout
4. Sort by nearest</t>
        </is>
      </c>
      <c r="G26" s="13" t="inlineStr">
        <is>
          <t>https://nutrio.me/driver/deliveries?filter=[value]</t>
        </is>
      </c>
      <c r="H26" s="4" t="inlineStr">
        <is>
          <t>Deliveries filtered according to criteria</t>
        </is>
      </c>
      <c r="I26" s="4">
        <f>IF(J26="","",IF(J26=H26,"PASS","FAIL"))</f>
        <v/>
      </c>
      <c r="J26" s="4" t="n"/>
      <c r="K26" s="4" t="n"/>
      <c r="L26" s="6" t="inlineStr">
        <is>
          <t>Medium</t>
        </is>
      </c>
      <c r="M26" s="4" t="n"/>
    </row>
    <row r="27" ht="75" customHeight="1" s="16">
      <c r="A27" s="4" t="inlineStr">
        <is>
          <t>TC234</t>
        </is>
      </c>
      <c r="B27" s="4" t="inlineStr">
        <is>
          <t>Driver</t>
        </is>
      </c>
      <c r="C27" s="4" t="inlineStr">
        <is>
          <t>Deliveries</t>
        </is>
      </c>
      <c r="D27" s="4" t="inlineStr">
        <is>
          <t>Accept Multiple</t>
        </is>
      </c>
      <c r="E27" s="4" t="inlineStr">
        <is>
          <t>Accept Multiple Deliveries (Batch)</t>
        </is>
      </c>
      <c r="F27" s="4" t="inlineStr">
        <is>
          <t>1. View available orders
2. Accept order 1
3. Accept order 2 (nearby)
4. View optimized route</t>
        </is>
      </c>
      <c r="G27" s="13" t="inlineStr">
        <is>
          <t>https://nutrio.me/driver/deliveries</t>
        </is>
      </c>
      <c r="H27" s="4" t="inlineStr">
        <is>
          <t>Multiple orders accepted, route optimized</t>
        </is>
      </c>
      <c r="I27" s="4">
        <f>IF(J27="","",IF(J27=H27,"PASS","FAIL"))</f>
        <v/>
      </c>
      <c r="J27" s="4" t="n"/>
      <c r="K27" s="4" t="n"/>
      <c r="L27" s="5" t="inlineStr">
        <is>
          <t>High</t>
        </is>
      </c>
      <c r="M27" s="4" t="n"/>
    </row>
    <row r="28" ht="60" customHeight="1" s="16">
      <c r="A28" s="4" t="inlineStr">
        <is>
          <t>TC235</t>
        </is>
      </c>
      <c r="B28" s="4" t="inlineStr">
        <is>
          <t>Driver</t>
        </is>
      </c>
      <c r="C28" s="4" t="inlineStr">
        <is>
          <t>Deliveries</t>
        </is>
      </c>
      <c r="D28" s="4" t="inlineStr">
        <is>
          <t>Reject Order</t>
        </is>
      </c>
      <c r="E28" s="4" t="inlineStr">
        <is>
          <t>Reject Delivery Order</t>
        </is>
      </c>
      <c r="F28" s="4" t="inlineStr">
        <is>
          <t>1. See available order
2. Click Reject
3. Select reason
4. Confirm</t>
        </is>
      </c>
      <c r="G28" s="13" t="inlineStr">
        <is>
          <t>https://nutrio.me/driver/deliveries</t>
        </is>
      </c>
      <c r="H28" s="4" t="inlineStr">
        <is>
          <t>Order rejected, reason recorded</t>
        </is>
      </c>
      <c r="I28" s="4">
        <f>IF(J28="","",IF(J28=H28,"PASS","FAIL"))</f>
        <v/>
      </c>
      <c r="J28" s="4" t="n"/>
      <c r="K28" s="4" t="n"/>
      <c r="L28" s="6" t="inlineStr">
        <is>
          <t>Medium</t>
        </is>
      </c>
      <c r="M28" s="4" t="n"/>
    </row>
    <row r="29" ht="60" customHeight="1" s="16">
      <c r="A29" s="4" t="inlineStr">
        <is>
          <t>TC236</t>
        </is>
      </c>
      <c r="B29" s="4" t="inlineStr">
        <is>
          <t>Driver</t>
        </is>
      </c>
      <c r="C29" s="4" t="inlineStr">
        <is>
          <t>Deliveries</t>
        </is>
      </c>
      <c r="D29" s="4" t="inlineStr">
        <is>
          <t>Pickup Navigation</t>
        </is>
      </c>
      <c r="E29" s="4" t="inlineStr">
        <is>
          <t>Navigate to Restaurant Pickup</t>
        </is>
      </c>
      <c r="F29" s="4" t="inlineStr">
        <is>
          <t>1. Accept order
2. Click Navigate to Restaurant
3. Maps opens with route
4. Follow navigation</t>
        </is>
      </c>
      <c r="G29" s="13" t="inlineStr">
        <is>
          <t>https://nutrio.me/driver/deliveries</t>
        </is>
      </c>
      <c r="H29" s="4" t="inlineStr">
        <is>
          <t>Navigation to restaurant started</t>
        </is>
      </c>
      <c r="I29" s="4">
        <f>IF(J29="","",IF(J29=H29,"PASS","FAIL"))</f>
        <v/>
      </c>
      <c r="J29" s="4" t="n"/>
      <c r="K29" s="4" t="n"/>
      <c r="L29" s="7" t="inlineStr">
        <is>
          <t>Critical</t>
        </is>
      </c>
      <c r="M29" s="4" t="n"/>
    </row>
    <row r="30" ht="60" customHeight="1" s="16">
      <c r="A30" s="4" t="inlineStr">
        <is>
          <t>TC237</t>
        </is>
      </c>
      <c r="B30" s="4" t="inlineStr">
        <is>
          <t>Driver</t>
        </is>
      </c>
      <c r="C30" s="4" t="inlineStr">
        <is>
          <t>Deliveries</t>
        </is>
      </c>
      <c r="D30" s="4" t="inlineStr">
        <is>
          <t>Customer Navigation</t>
        </is>
      </c>
      <c r="E30" s="4" t="inlineStr">
        <is>
          <t>Navigate to Customer Delivery</t>
        </is>
      </c>
      <c r="F30" s="4" t="inlineStr">
        <is>
          <t>1. Mark picked up
2. Click Navigate to Customer
3. Maps opens with route
4. Follow navigation</t>
        </is>
      </c>
      <c r="G30" s="13" t="inlineStr">
        <is>
          <t>https://nutrio.me/driver/deliveries</t>
        </is>
      </c>
      <c r="H30" s="4" t="inlineStr">
        <is>
          <t>Navigation to customer started</t>
        </is>
      </c>
      <c r="I30" s="4">
        <f>IF(J30="","",IF(J30=H30,"PASS","FAIL"))</f>
        <v/>
      </c>
      <c r="J30" s="4" t="n"/>
      <c r="K30" s="4" t="n"/>
      <c r="L30" s="7" t="inlineStr">
        <is>
          <t>Critical</t>
        </is>
      </c>
      <c r="M30" s="4" t="n"/>
    </row>
    <row r="31" ht="60" customHeight="1" s="16">
      <c r="A31" s="4" t="inlineStr">
        <is>
          <t>TC238</t>
        </is>
      </c>
      <c r="B31" s="4" t="inlineStr">
        <is>
          <t>Driver</t>
        </is>
      </c>
      <c r="C31" s="4" t="inlineStr">
        <is>
          <t>Deliveries</t>
        </is>
      </c>
      <c r="D31" s="4" t="inlineStr">
        <is>
          <t>Call Customer</t>
        </is>
      </c>
      <c r="E31" s="4" t="inlineStr">
        <is>
          <t>Call Customer from Delivery</t>
        </is>
      </c>
      <c r="F31" s="4" t="inlineStr">
        <is>
          <t>1. Open active delivery
2. Click Call Customer
3. Phone app opens
4. Call connected</t>
        </is>
      </c>
      <c r="G31" s="13" t="inlineStr">
        <is>
          <t>https://nutrio.me/driver/deliveries</t>
        </is>
      </c>
      <c r="H31" s="4" t="inlineStr">
        <is>
          <t>Phone app opens with customer number</t>
        </is>
      </c>
      <c r="I31" s="4">
        <f>IF(J31="","",IF(J31=H31,"PASS","FAIL"))</f>
        <v/>
      </c>
      <c r="J31" s="4" t="n"/>
      <c r="K31" s="4" t="n"/>
      <c r="L31" s="5" t="inlineStr">
        <is>
          <t>High</t>
        </is>
      </c>
      <c r="M31" s="4" t="n"/>
    </row>
    <row r="32" ht="60" customHeight="1" s="16">
      <c r="A32" s="4" t="inlineStr">
        <is>
          <t>TC239</t>
        </is>
      </c>
      <c r="B32" s="4" t="inlineStr">
        <is>
          <t>Driver</t>
        </is>
      </c>
      <c r="C32" s="4" t="inlineStr">
        <is>
          <t>Deliveries</t>
        </is>
      </c>
      <c r="D32" s="4" t="inlineStr">
        <is>
          <t>Call Restaurant</t>
        </is>
      </c>
      <c r="E32" s="4" t="inlineStr">
        <is>
          <t>Call Restaurant from Delivery</t>
        </is>
      </c>
      <c r="F32" s="4" t="inlineStr">
        <is>
          <t>1. Open active delivery
2. Click Call Restaurant
3. Phone app opens
4. Call connected</t>
        </is>
      </c>
      <c r="G32" s="13" t="inlineStr">
        <is>
          <t>https://nutrio.me/driver/deliveries</t>
        </is>
      </c>
      <c r="H32" s="4" t="inlineStr">
        <is>
          <t>Phone app opens with restaurant number</t>
        </is>
      </c>
      <c r="I32" s="4">
        <f>IF(J32="","",IF(J32=H32,"PASS","FAIL"))</f>
        <v/>
      </c>
      <c r="J32" s="4" t="n"/>
      <c r="K32" s="4" t="n"/>
      <c r="L32" s="5" t="inlineStr">
        <is>
          <t>High</t>
        </is>
      </c>
      <c r="M32" s="4" t="n"/>
    </row>
    <row r="33" ht="75" customHeight="1" s="16">
      <c r="A33" s="4" t="inlineStr">
        <is>
          <t>TC240</t>
        </is>
      </c>
      <c r="B33" s="4" t="inlineStr">
        <is>
          <t>Driver</t>
        </is>
      </c>
      <c r="C33" s="4" t="inlineStr">
        <is>
          <t>Deliveries</t>
        </is>
      </c>
      <c r="D33" s="4" t="inlineStr">
        <is>
          <t>Delivery Photo</t>
        </is>
      </c>
      <c r="E33" s="4" t="inlineStr">
        <is>
          <t>Take Delivery Confirmation Photo</t>
        </is>
      </c>
      <c r="F33" s="4" t="inlineStr">
        <is>
          <t>1. Arrive at customer
2. Deliver order
3. Click Take Photo
4. Capture delivery photo
5. Mark delivered</t>
        </is>
      </c>
      <c r="G33" s="13" t="inlineStr">
        <is>
          <t>https://nutrio.me/driver/deliveries</t>
        </is>
      </c>
      <c r="H33" s="4" t="inlineStr">
        <is>
          <t>Photo captured and uploaded</t>
        </is>
      </c>
      <c r="I33" s="4">
        <f>IF(J33="","",IF(J33=H33,"PASS","FAIL"))</f>
        <v/>
      </c>
      <c r="J33" s="4" t="n"/>
      <c r="K33" s="4" t="n"/>
      <c r="L33" s="6" t="inlineStr">
        <is>
          <t>Medium</t>
        </is>
      </c>
      <c r="M33" s="4" t="n"/>
    </row>
    <row r="34" ht="75" customHeight="1" s="16">
      <c r="A34" s="4" t="inlineStr">
        <is>
          <t>TC241</t>
        </is>
      </c>
      <c r="B34" s="4" t="inlineStr">
        <is>
          <t>Driver</t>
        </is>
      </c>
      <c r="C34" s="4" t="inlineStr">
        <is>
          <t>Deliveries</t>
        </is>
      </c>
      <c r="D34" s="4" t="inlineStr">
        <is>
          <t>Customer Not Available</t>
        </is>
      </c>
      <c r="E34" s="4" t="inlineStr">
        <is>
          <t>Handle Customer Not Available</t>
        </is>
      </c>
      <c r="F34" s="4" t="inlineStr">
        <is>
          <t>1. Arrive at location
2. Customer not available
3. Click Customer Not Available
4. Follow protocol
5. Return order</t>
        </is>
      </c>
      <c r="G34" s="13" t="inlineStr">
        <is>
          <t>https://nutrio.me/driver/deliveries</t>
        </is>
      </c>
      <c r="H34" s="4" t="inlineStr">
        <is>
          <t>Protocol initiated, support notified</t>
        </is>
      </c>
      <c r="I34" s="4">
        <f>IF(J34="","",IF(J34=H34,"PASS","FAIL"))</f>
        <v/>
      </c>
      <c r="J34" s="4" t="n"/>
      <c r="K34" s="4" t="n"/>
      <c r="L34" s="5" t="inlineStr">
        <is>
          <t>High</t>
        </is>
      </c>
      <c r="M34" s="4" t="n"/>
    </row>
    <row r="35" ht="75" customHeight="1" s="16">
      <c r="A35" s="4" t="inlineStr">
        <is>
          <t>TC242</t>
        </is>
      </c>
      <c r="B35" s="4" t="inlineStr">
        <is>
          <t>Driver</t>
        </is>
      </c>
      <c r="C35" s="4" t="inlineStr">
        <is>
          <t>Deliveries</t>
        </is>
      </c>
      <c r="D35" s="4" t="inlineStr">
        <is>
          <t>Wrong Address</t>
        </is>
      </c>
      <c r="E35" s="4" t="inlineStr">
        <is>
          <t>Handle Wrong Address</t>
        </is>
      </c>
      <c r="F35" s="4" t="inlineStr">
        <is>
          <t>1. Arrive at address
2. Customer at different location
3. Contact support
4. Get new address
5. Navigate to new location</t>
        </is>
      </c>
      <c r="G35" s="13" t="inlineStr">
        <is>
          <t>https://nutrio.me/driver/deliveries/new</t>
        </is>
      </c>
      <c r="H35" s="4" t="inlineStr">
        <is>
          <t>Support provides updated address</t>
        </is>
      </c>
      <c r="I35" s="4">
        <f>IF(J35="","",IF(J35=H35,"PASS","FAIL"))</f>
        <v/>
      </c>
      <c r="J35" s="4" t="n"/>
      <c r="K35" s="4" t="n"/>
      <c r="L35" s="5" t="inlineStr">
        <is>
          <t>High</t>
        </is>
      </c>
      <c r="M35" s="4" t="n"/>
    </row>
    <row r="36" ht="60" customHeight="1" s="16">
      <c r="A36" s="4" t="inlineStr">
        <is>
          <t>TC243</t>
        </is>
      </c>
      <c r="B36" s="4" t="inlineStr">
        <is>
          <t>Driver</t>
        </is>
      </c>
      <c r="C36" s="4" t="inlineStr">
        <is>
          <t>Earnings</t>
        </is>
      </c>
      <c r="D36" s="4" t="inlineStr">
        <is>
          <t>Daily Breakdown</t>
        </is>
      </c>
      <c r="E36" s="4" t="inlineStr">
        <is>
          <t>View Daily Earnings Breakdown</t>
        </is>
      </c>
      <c r="F36" s="4" t="inlineStr">
        <is>
          <t>1. Go to earnings
2. Select date
3. View all deliveries that day
4. Check tips received</t>
        </is>
      </c>
      <c r="G36" s="13" t="inlineStr">
        <is>
          <t>https://nutrio.me/driver/earnings/[id]</t>
        </is>
      </c>
      <c r="H36" s="4" t="inlineStr">
        <is>
          <t>Daily breakdown with all deliveries</t>
        </is>
      </c>
      <c r="I36" s="4">
        <f>IF(J36="","",IF(J36=H36,"PASS","FAIL"))</f>
        <v/>
      </c>
      <c r="J36" s="4" t="n"/>
      <c r="K36" s="4" t="n"/>
      <c r="L36" s="6" t="inlineStr">
        <is>
          <t>Medium</t>
        </is>
      </c>
      <c r="M36" s="4" t="n"/>
    </row>
    <row r="37" ht="75" customHeight="1" s="16">
      <c r="A37" s="4" t="inlineStr">
        <is>
          <t>TC244</t>
        </is>
      </c>
      <c r="B37" s="4" t="inlineStr">
        <is>
          <t>Driver</t>
        </is>
      </c>
      <c r="C37" s="4" t="inlineStr">
        <is>
          <t>Earnings</t>
        </is>
      </c>
      <c r="D37" s="4" t="inlineStr">
        <is>
          <t>Weekly Summary</t>
        </is>
      </c>
      <c r="E37" s="4" t="inlineStr">
        <is>
          <t>View Weekly Earnings Summary</t>
        </is>
      </c>
      <c r="F37" s="4" t="inlineStr">
        <is>
          <t>1. Go to earnings
2. View this week
3. See total deliveries
4. See total hours
5. See hourly rate</t>
        </is>
      </c>
      <c r="G37" s="13" t="inlineStr">
        <is>
          <t>https://nutrio.me/driver/earnings/[id]</t>
        </is>
      </c>
      <c r="H37" s="4" t="inlineStr">
        <is>
          <t>Weekly summary with all metrics</t>
        </is>
      </c>
      <c r="I37" s="4">
        <f>IF(J37="","",IF(J37=H37,"PASS","FAIL"))</f>
        <v/>
      </c>
      <c r="J37" s="4" t="n"/>
      <c r="K37" s="4" t="n"/>
      <c r="L37" s="6" t="inlineStr">
        <is>
          <t>Medium</t>
        </is>
      </c>
      <c r="M37" s="4" t="n"/>
    </row>
    <row r="38" ht="60" customHeight="1" s="16">
      <c r="A38" s="4" t="inlineStr">
        <is>
          <t>TC245</t>
        </is>
      </c>
      <c r="B38" s="4" t="inlineStr">
        <is>
          <t>Driver</t>
        </is>
      </c>
      <c r="C38" s="4" t="inlineStr">
        <is>
          <t>Earnings</t>
        </is>
      </c>
      <c r="D38" s="4" t="inlineStr">
        <is>
          <t>Payout Status</t>
        </is>
      </c>
      <c r="E38" s="4" t="inlineStr">
        <is>
          <t>Check Payout Status</t>
        </is>
      </c>
      <c r="F38" s="4" t="inlineStr">
        <is>
          <t>1. Go to earnings
2. View payout history
3. Check pending payout
4. Verify bank account</t>
        </is>
      </c>
      <c r="G38" s="13" t="inlineStr">
        <is>
          <t>https://nutrio.me/driver/earnings</t>
        </is>
      </c>
      <c r="H38" s="4" t="inlineStr">
        <is>
          <t>Payout status displayed</t>
        </is>
      </c>
      <c r="I38" s="4">
        <f>IF(J38="","",IF(J38=H38,"PASS","FAIL"))</f>
        <v/>
      </c>
      <c r="J38" s="4" t="n"/>
      <c r="K38" s="4" t="n"/>
      <c r="L38" s="5" t="inlineStr">
        <is>
          <t>High</t>
        </is>
      </c>
      <c r="M38" s="4" t="n"/>
    </row>
    <row r="39" ht="60" customHeight="1" s="16">
      <c r="A39" s="4" t="inlineStr">
        <is>
          <t>TC246</t>
        </is>
      </c>
      <c r="B39" s="4" t="inlineStr">
        <is>
          <t>Driver</t>
        </is>
      </c>
      <c r="C39" s="4" t="inlineStr">
        <is>
          <t>Earnings</t>
        </is>
      </c>
      <c r="D39" s="4" t="inlineStr">
        <is>
          <t>Instant Pay</t>
        </is>
      </c>
      <c r="E39" s="4" t="inlineStr">
        <is>
          <t>Request Instant Pay (if available)</t>
        </is>
      </c>
      <c r="F39" s="4" t="inlineStr">
        <is>
          <t>1. Have earnings available
2. Click Instant Pay
3. Confirm fee
4. Transfer to wallet/bank</t>
        </is>
      </c>
      <c r="G39" s="13" t="inlineStr">
        <is>
          <t>https://nutrio.me/driver/earnings</t>
        </is>
      </c>
      <c r="H39" s="4" t="inlineStr">
        <is>
          <t>Instant payout processed</t>
        </is>
      </c>
      <c r="I39" s="4">
        <f>IF(J39="","",IF(J39=H39,"PASS","FAIL"))</f>
        <v/>
      </c>
      <c r="J39" s="4" t="n"/>
      <c r="K39" s="4" t="n"/>
      <c r="L39" s="4" t="inlineStr">
        <is>
          <t>Low</t>
        </is>
      </c>
      <c r="M39" s="4" t="n"/>
    </row>
    <row r="40" ht="90" customHeight="1" s="16">
      <c r="A40" s="4" t="inlineStr">
        <is>
          <t>TC247</t>
        </is>
      </c>
      <c r="B40" s="4" t="inlineStr">
        <is>
          <t>Driver</t>
        </is>
      </c>
      <c r="C40" s="4" t="inlineStr">
        <is>
          <t>Profile</t>
        </is>
      </c>
      <c r="D40" s="4" t="inlineStr">
        <is>
          <t>Update Vehicle</t>
        </is>
      </c>
      <c r="E40" s="4" t="inlineStr">
        <is>
          <t>Update Vehicle Information</t>
        </is>
      </c>
      <c r="F40" s="4" t="inlineStr">
        <is>
          <t>1. Go to profile
2. Click Vehicle
3. Update vehicle type
4. Update license plate
5. Upload vehicle photo
6. Save</t>
        </is>
      </c>
      <c r="G40" s="13" t="inlineStr">
        <is>
          <t>https://nutrio.me/driver/profile/[id]/edit</t>
        </is>
      </c>
      <c r="H40" s="4" t="inlineStr">
        <is>
          <t>Vehicle information updated</t>
        </is>
      </c>
      <c r="I40" s="4">
        <f>IF(J40="","",IF(J40=H40,"PASS","FAIL"))</f>
        <v/>
      </c>
      <c r="J40" s="4" t="n"/>
      <c r="K40" s="4" t="n"/>
      <c r="L40" s="6" t="inlineStr">
        <is>
          <t>Medium</t>
        </is>
      </c>
      <c r="M40" s="4" t="n"/>
    </row>
    <row r="41" ht="75" customHeight="1" s="16">
      <c r="A41" s="4" t="inlineStr">
        <is>
          <t>TC248</t>
        </is>
      </c>
      <c r="B41" s="4" t="inlineStr">
        <is>
          <t>Driver</t>
        </is>
      </c>
      <c r="C41" s="4" t="inlineStr">
        <is>
          <t>Profile</t>
        </is>
      </c>
      <c r="D41" s="4" t="inlineStr">
        <is>
          <t>Update Documents</t>
        </is>
      </c>
      <c r="E41" s="4" t="inlineStr">
        <is>
          <t>Upload Driver Documents</t>
        </is>
      </c>
      <c r="F41" s="4" t="inlineStr">
        <is>
          <t>1. Go to documents
2. Upload driver's license
3. Upload vehicle registration
4. Upload insurance
5. Submit for verification</t>
        </is>
      </c>
      <c r="G41" s="13" t="inlineStr">
        <is>
          <t>https://nutrio.me/driver/profile</t>
        </is>
      </c>
      <c r="H41" s="4" t="inlineStr">
        <is>
          <t>Documents uploaded and pending verification</t>
        </is>
      </c>
      <c r="I41" s="4">
        <f>IF(J41="","",IF(J41=H41,"PASS","FAIL"))</f>
        <v/>
      </c>
      <c r="J41" s="4" t="n"/>
      <c r="K41" s="4" t="n"/>
      <c r="L41" s="5" t="inlineStr">
        <is>
          <t>High</t>
        </is>
      </c>
      <c r="M41" s="4" t="n"/>
    </row>
    <row r="42" ht="75" customHeight="1" s="16">
      <c r="A42" s="4" t="inlineStr">
        <is>
          <t>TC249</t>
        </is>
      </c>
      <c r="B42" s="4" t="inlineStr">
        <is>
          <t>Driver</t>
        </is>
      </c>
      <c r="C42" s="4" t="inlineStr">
        <is>
          <t>Profile</t>
        </is>
      </c>
      <c r="D42" s="4" t="inlineStr">
        <is>
          <t>Working Hours</t>
        </is>
      </c>
      <c r="E42" s="4" t="inlineStr">
        <is>
          <t>Set Working Hours</t>
        </is>
      </c>
      <c r="F42" s="4" t="inlineStr">
        <is>
          <t>1. Go to availability
2. Set active hours
3. Mark days off
4. Set break times
5. Save schedule</t>
        </is>
      </c>
      <c r="G42" s="13" t="inlineStr">
        <is>
          <t>https://nutrio.me/driver/profile</t>
        </is>
      </c>
      <c r="H42" s="4" t="inlineStr">
        <is>
          <t>Working hours saved</t>
        </is>
      </c>
      <c r="I42" s="4">
        <f>IF(J42="","",IF(J42=H42,"PASS","FAIL"))</f>
        <v/>
      </c>
      <c r="J42" s="4" t="n"/>
      <c r="K42" s="4" t="n"/>
      <c r="L42" s="6" t="inlineStr">
        <is>
          <t>Medium</t>
        </is>
      </c>
      <c r="M42" s="4" t="n"/>
    </row>
    <row r="43" ht="60" customHeight="1" s="16">
      <c r="A43" s="4" t="inlineStr">
        <is>
          <t>TC250</t>
        </is>
      </c>
      <c r="B43" s="4" t="inlineStr">
        <is>
          <t>Driver</t>
        </is>
      </c>
      <c r="C43" s="4" t="inlineStr">
        <is>
          <t>Profile</t>
        </is>
      </c>
      <c r="D43" s="4" t="inlineStr">
        <is>
          <t>Go Offline</t>
        </is>
      </c>
      <c r="E43" s="4" t="inlineStr">
        <is>
          <t>Go Offline/Online</t>
        </is>
      </c>
      <c r="F43" s="4" t="inlineStr">
        <is>
          <t>1. Toggle online status
2. When offline, not receive orders
3. Toggle back online
4. Start receiving orders</t>
        </is>
      </c>
      <c r="G43" s="13" t="inlineStr">
        <is>
          <t>https://nutrio.me/driver/profile</t>
        </is>
      </c>
      <c r="H43" s="4" t="inlineStr">
        <is>
          <t>Online/offline status toggles correctly</t>
        </is>
      </c>
      <c r="I43" s="4">
        <f>IF(J43="","",IF(J43=H43,"PASS","FAIL"))</f>
        <v/>
      </c>
      <c r="J43" s="4" t="n"/>
      <c r="K43" s="4" t="n"/>
      <c r="L43" s="7" t="inlineStr">
        <is>
          <t>Critical</t>
        </is>
      </c>
      <c r="M43" s="4" t="n"/>
    </row>
    <row r="44" ht="75" customHeight="1" s="16">
      <c r="A44" s="4" t="inlineStr">
        <is>
          <t>TC251</t>
        </is>
      </c>
      <c r="B44" s="4" t="inlineStr">
        <is>
          <t>Driver</t>
        </is>
      </c>
      <c r="C44" s="4" t="inlineStr">
        <is>
          <t>Support</t>
        </is>
      </c>
      <c r="D44" s="4" t="inlineStr">
        <is>
          <t>Contact Support</t>
        </is>
      </c>
      <c r="E44" s="4" t="inlineStr">
        <is>
          <t>Contact Support from App</t>
        </is>
      </c>
      <c r="F44" s="4" t="inlineStr">
        <is>
          <t>1. Go to support
2. Select issue type
3. Describe issue
4. Attach photo if needed
5. Submit</t>
        </is>
      </c>
      <c r="G44" s="13" t="inlineStr">
        <is>
          <t>https://nutrio.me/driver/support</t>
        </is>
      </c>
      <c r="H44" s="4" t="inlineStr">
        <is>
          <t>Support ticket created</t>
        </is>
      </c>
      <c r="I44" s="4">
        <f>IF(J44="","",IF(J44=H44,"PASS","FAIL"))</f>
        <v/>
      </c>
      <c r="J44" s="4" t="n"/>
      <c r="K44" s="4" t="n"/>
      <c r="L44" s="5" t="inlineStr">
        <is>
          <t>High</t>
        </is>
      </c>
      <c r="M44" s="4" t="n"/>
    </row>
    <row r="45" ht="60" customHeight="1" s="16">
      <c r="A45" s="4" t="inlineStr">
        <is>
          <t>TC252</t>
        </is>
      </c>
      <c r="B45" s="4" t="inlineStr">
        <is>
          <t>Driver</t>
        </is>
      </c>
      <c r="C45" s="4" t="inlineStr">
        <is>
          <t>Support</t>
        </is>
      </c>
      <c r="D45" s="4" t="inlineStr">
        <is>
          <t>Emergency Button</t>
        </is>
      </c>
      <c r="E45" s="4" t="inlineStr">
        <is>
          <t>Use Emergency Button</t>
        </is>
      </c>
      <c r="F45" s="4" t="inlineStr">
        <is>
          <t>1. Click emergency
2. Select emergency type
3. Confirm
4. Support contacted immediately</t>
        </is>
      </c>
      <c r="G45" s="13" t="inlineStr">
        <is>
          <t>https://nutrio.me/driver/support</t>
        </is>
      </c>
      <c r="H45" s="4" t="inlineStr">
        <is>
          <t>Emergency alert sent to support</t>
        </is>
      </c>
      <c r="I45" s="4">
        <f>IF(J45="","",IF(J45=H45,"PASS","FAIL"))</f>
        <v/>
      </c>
      <c r="J45" s="4" t="n"/>
      <c r="K45" s="4" t="n"/>
      <c r="L45" s="7" t="inlineStr">
        <is>
          <t>Critical</t>
        </is>
      </c>
      <c r="M45" s="4" t="n"/>
    </row>
    <row r="46">
      <c r="G46" s="13" t="inlineStr">
        <is>
          <t>https://nutrio.me/</t>
        </is>
      </c>
      <c r="I46">
        <f>IF(J46="","",IF(J46=H46,"PASS","FAIL"))</f>
        <v/>
      </c>
    </row>
    <row r="47" ht="15.75" customHeight="1" s="16">
      <c r="A47" s="12" t="inlineStr">
        <is>
          <t>SUMMARY</t>
        </is>
      </c>
      <c r="G47" s="13" t="inlineStr">
        <is>
          <t>https://nutrio.me/</t>
        </is>
      </c>
      <c r="I47">
        <f>IF(J47="","",IF(J47=H47,"PASS","FAIL"))</f>
        <v/>
      </c>
    </row>
    <row r="48">
      <c r="A48" t="inlineStr">
        <is>
          <t>Total Tests:</t>
        </is>
      </c>
      <c r="B48">
        <f>COUNTA(A2:A46)</f>
        <v/>
      </c>
      <c r="G48" s="13" t="inlineStr">
        <is>
          <t>https://nutrio.me/</t>
        </is>
      </c>
      <c r="I48">
        <f>IF(J48="","",IF(J48=H48,"PASS","FAIL"))</f>
        <v/>
      </c>
    </row>
    <row r="49">
      <c r="A49" t="inlineStr">
        <is>
          <t>Passed:</t>
        </is>
      </c>
      <c r="B49">
        <f>COUNTIF(I2:I46,"PASS")</f>
        <v/>
      </c>
      <c r="G49" s="13" t="inlineStr">
        <is>
          <t>https://nutrio.me/</t>
        </is>
      </c>
      <c r="I49">
        <f>IF(J49="","",IF(J49=H49,"PASS","FAIL"))</f>
        <v/>
      </c>
    </row>
    <row r="50">
      <c r="A50" t="inlineStr">
        <is>
          <t>Failed:</t>
        </is>
      </c>
      <c r="B50">
        <f>COUNTIF(I2:I46,"FAIL")</f>
        <v/>
      </c>
      <c r="G50" s="13" t="inlineStr">
        <is>
          <t>https://nutrio.me/</t>
        </is>
      </c>
      <c r="I50">
        <f>IF(J50="","",IF(J50=H50,"PASS","FAIL"))</f>
        <v/>
      </c>
    </row>
    <row r="51">
      <c r="A51" t="inlineStr">
        <is>
          <t>Pass Rate:</t>
        </is>
      </c>
      <c r="B51" s="2">
        <f>IF(COUNTA(I2:I46)&gt;0,COUNTIF(I2:I46,"PASS")/COUNTA(I2:I46),0)</f>
        <v/>
      </c>
      <c r="G51" s="13" t="inlineStr">
        <is>
          <t>https://nutrio.me/</t>
        </is>
      </c>
      <c r="I51">
        <f>IF(J51="","",IF(J51=H51,"PASS","FAIL"))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45" customHeight="1" s="16">
      <c r="A2" s="4" t="inlineStr">
        <is>
          <t>TC153</t>
        </is>
      </c>
      <c r="B2" s="4" t="inlineStr">
        <is>
          <t>System</t>
        </is>
      </c>
      <c r="C2" s="4" t="inlineStr">
        <is>
          <t>Notifications</t>
        </is>
      </c>
      <c r="D2" s="4" t="inlineStr">
        <is>
          <t>Email</t>
        </is>
      </c>
      <c r="E2" s="4" t="inlineStr">
        <is>
          <t>Email Notifications Sent</t>
        </is>
      </c>
      <c r="F2" s="4" t="inlineStr">
        <is>
          <t>1. Trigger events (order, signup, etc.)
2. Check email delivery</t>
        </is>
      </c>
      <c r="G2" s="13" t="inlineStr">
        <is>
          <t>https://nutrio.me/</t>
        </is>
      </c>
      <c r="H2" s="4" t="inlineStr">
        <is>
          <t>Emails delivered correctly</t>
        </is>
      </c>
      <c r="I2" s="4">
        <f>IF(J2="","",IF(J2=H2,"PASS","FAIL"))</f>
        <v/>
      </c>
      <c r="J2" s="4" t="n"/>
      <c r="K2" s="4" t="n"/>
      <c r="L2" s="6" t="inlineStr">
        <is>
          <t>Medium</t>
        </is>
      </c>
      <c r="M2" s="4" t="n"/>
    </row>
    <row r="3" ht="45" customHeight="1" s="16">
      <c r="A3" s="4" t="inlineStr">
        <is>
          <t>TC154</t>
        </is>
      </c>
      <c r="B3" s="4" t="inlineStr">
        <is>
          <t>System</t>
        </is>
      </c>
      <c r="C3" s="4" t="inlineStr">
        <is>
          <t>Notifications</t>
        </is>
      </c>
      <c r="D3" s="4" t="inlineStr">
        <is>
          <t>WhatsApp</t>
        </is>
      </c>
      <c r="E3" s="4" t="inlineStr">
        <is>
          <t>WhatsApp Notifications Sent</t>
        </is>
      </c>
      <c r="F3" s="4" t="inlineStr">
        <is>
          <t>1. Trigger WhatsApp events
2. Verify delivery</t>
        </is>
      </c>
      <c r="G3" s="13" t="inlineStr">
        <is>
          <t>https://nutrio.me/</t>
        </is>
      </c>
      <c r="H3" s="4" t="inlineStr">
        <is>
          <t>WhatsApp messages delivered</t>
        </is>
      </c>
      <c r="I3" s="4">
        <f>IF(J3="","",IF(J3=H3,"PASS","FAIL"))</f>
        <v/>
      </c>
      <c r="J3" s="4" t="n"/>
      <c r="K3" s="4" t="n"/>
      <c r="L3" s="5" t="inlineStr">
        <is>
          <t>High</t>
        </is>
      </c>
      <c r="M3" s="4" t="n"/>
    </row>
    <row r="4" ht="45" customHeight="1" s="16">
      <c r="A4" s="4" t="inlineStr">
        <is>
          <t>TC155</t>
        </is>
      </c>
      <c r="B4" s="4" t="inlineStr">
        <is>
          <t>System</t>
        </is>
      </c>
      <c r="C4" s="4" t="inlineStr">
        <is>
          <t>Notifications</t>
        </is>
      </c>
      <c r="D4" s="4" t="inlineStr">
        <is>
          <t>Push</t>
        </is>
      </c>
      <c r="E4" s="4" t="inlineStr">
        <is>
          <t>Push Notifications</t>
        </is>
      </c>
      <c r="F4" s="4" t="inlineStr">
        <is>
          <t>1. Trigger notification
2. Verify browser push</t>
        </is>
      </c>
      <c r="G4" s="13" t="inlineStr">
        <is>
          <t>https://nutrio.me/</t>
        </is>
      </c>
      <c r="H4" s="4" t="inlineStr">
        <is>
          <t>Push notifications received</t>
        </is>
      </c>
      <c r="I4" s="4">
        <f>IF(J4="","",IF(J4=H4,"PASS","FAIL"))</f>
        <v/>
      </c>
      <c r="J4" s="4" t="n"/>
      <c r="K4" s="4" t="n"/>
      <c r="L4" s="4" t="inlineStr">
        <is>
          <t>Low</t>
        </is>
      </c>
      <c r="M4" s="4" t="n"/>
    </row>
    <row r="5" ht="60" customHeight="1" s="16">
      <c r="A5" s="4" t="inlineStr">
        <is>
          <t>TC156</t>
        </is>
      </c>
      <c r="B5" s="4" t="inlineStr">
        <is>
          <t>System</t>
        </is>
      </c>
      <c r="C5" s="4" t="inlineStr">
        <is>
          <t>Payments</t>
        </is>
      </c>
      <c r="D5" s="4" t="inlineStr">
        <is>
          <t>Sadad</t>
        </is>
      </c>
      <c r="E5" s="4" t="inlineStr">
        <is>
          <t>Sadad Payment Integration</t>
        </is>
      </c>
      <c r="F5" s="4" t="inlineStr">
        <is>
          <t>1. Checkout with Sadad
2. Complete payment
3. Verify webhook</t>
        </is>
      </c>
      <c r="G5" s="13" t="inlineStr">
        <is>
          <t>https://nutrio.me/</t>
        </is>
      </c>
      <c r="H5" s="4" t="inlineStr">
        <is>
          <t>Payment processed, subscription activated</t>
        </is>
      </c>
      <c r="I5" s="4">
        <f>IF(J5="","",IF(J5=H5,"PASS","FAIL"))</f>
        <v/>
      </c>
      <c r="J5" s="4" t="n"/>
      <c r="K5" s="4" t="n"/>
      <c r="L5" s="7" t="inlineStr">
        <is>
          <t>Critical</t>
        </is>
      </c>
      <c r="M5" s="4" t="n"/>
    </row>
    <row r="6" ht="45" customHeight="1" s="16">
      <c r="A6" s="4" t="inlineStr">
        <is>
          <t>TC157</t>
        </is>
      </c>
      <c r="B6" s="4" t="inlineStr">
        <is>
          <t>System</t>
        </is>
      </c>
      <c r="C6" s="4" t="inlineStr">
        <is>
          <t>Payments</t>
        </is>
      </c>
      <c r="D6" s="4" t="inlineStr">
        <is>
          <t>Refund</t>
        </is>
      </c>
      <c r="E6" s="4" t="inlineStr">
        <is>
          <t>Refund Processing</t>
        </is>
      </c>
      <c r="F6" s="4" t="inlineStr">
        <is>
          <t>1. Process refund
2. Verify amount returned</t>
        </is>
      </c>
      <c r="G6" s="13" t="inlineStr">
        <is>
          <t>https://nutrio.me/</t>
        </is>
      </c>
      <c r="H6" s="4" t="inlineStr">
        <is>
          <t>Refund processed correctly</t>
        </is>
      </c>
      <c r="I6" s="4">
        <f>IF(J6="","",IF(J6=H6,"PASS","FAIL"))</f>
        <v/>
      </c>
      <c r="J6" s="4" t="n"/>
      <c r="K6" s="4" t="n"/>
      <c r="L6" s="5" t="inlineStr">
        <is>
          <t>High</t>
        </is>
      </c>
      <c r="M6" s="4" t="n"/>
    </row>
    <row r="7" ht="60" customHeight="1" s="16">
      <c r="A7" s="4" t="inlineStr">
        <is>
          <t>TC158</t>
        </is>
      </c>
      <c r="B7" s="4" t="inlineStr">
        <is>
          <t>System</t>
        </is>
      </c>
      <c r="C7" s="4" t="inlineStr">
        <is>
          <t>Security</t>
        </is>
      </c>
      <c r="D7" s="4" t="inlineStr">
        <is>
          <t>RLS</t>
        </is>
      </c>
      <c r="E7" s="4" t="inlineStr">
        <is>
          <t>Row Level Security</t>
        </is>
      </c>
      <c r="F7" s="4" t="inlineStr">
        <is>
          <t>1. Login as different users
2. Try to access unauthorized data</t>
        </is>
      </c>
      <c r="G7" s="13" t="inlineStr">
        <is>
          <t>https://nutrio.me/</t>
        </is>
      </c>
      <c r="H7" s="4" t="inlineStr">
        <is>
          <t>Access denied for unauthorized data</t>
        </is>
      </c>
      <c r="I7" s="4">
        <f>IF(J7="","",IF(J7=H7,"PASS","FAIL"))</f>
        <v/>
      </c>
      <c r="J7" s="4" t="n"/>
      <c r="K7" s="4" t="n"/>
      <c r="L7" s="7" t="inlineStr">
        <is>
          <t>Critical</t>
        </is>
      </c>
      <c r="M7" s="4" t="n"/>
    </row>
    <row r="8" ht="45" customHeight="1" s="16">
      <c r="A8" s="4" t="inlineStr">
        <is>
          <t>TC159</t>
        </is>
      </c>
      <c r="B8" s="4" t="inlineStr">
        <is>
          <t>System</t>
        </is>
      </c>
      <c r="C8" s="4" t="inlineStr">
        <is>
          <t>Security</t>
        </is>
      </c>
      <c r="D8" s="4" t="inlineStr">
        <is>
          <t>Auth</t>
        </is>
      </c>
      <c r="E8" s="4" t="inlineStr">
        <is>
          <t>Authentication Required</t>
        </is>
      </c>
      <c r="F8" s="4" t="inlineStr">
        <is>
          <t>1. Try to access protected routes without login
2. Verify redirect</t>
        </is>
      </c>
      <c r="G8" s="13" t="inlineStr">
        <is>
          <t>https://nutrio.me/</t>
        </is>
      </c>
      <c r="H8" s="4" t="inlineStr">
        <is>
          <t>Redirected to login page</t>
        </is>
      </c>
      <c r="I8" s="4">
        <f>IF(J8="","",IF(J8=H8,"PASS","FAIL"))</f>
        <v/>
      </c>
      <c r="J8" s="4" t="n"/>
      <c r="K8" s="4" t="n"/>
      <c r="L8" s="7" t="inlineStr">
        <is>
          <t>Critical</t>
        </is>
      </c>
      <c r="M8" s="4" t="n"/>
    </row>
    <row r="9" ht="60" customHeight="1" s="16">
      <c r="A9" s="4" t="inlineStr">
        <is>
          <t>TC160</t>
        </is>
      </c>
      <c r="B9" s="4" t="inlineStr">
        <is>
          <t>System</t>
        </is>
      </c>
      <c r="C9" s="4" t="inlineStr">
        <is>
          <t>Performance</t>
        </is>
      </c>
      <c r="D9" s="4" t="inlineStr">
        <is>
          <t>Load Time</t>
        </is>
      </c>
      <c r="E9" s="4" t="inlineStr">
        <is>
          <t>Page Load Performance</t>
        </is>
      </c>
      <c r="F9" s="4" t="inlineStr">
        <is>
          <t>1. Measure load times for key pages
2. Verify under 3 seconds</t>
        </is>
      </c>
      <c r="G9" s="13" t="inlineStr">
        <is>
          <t>https://nutrio.me/</t>
        </is>
      </c>
      <c r="H9" s="4" t="inlineStr">
        <is>
          <t>All pages load within acceptable time</t>
        </is>
      </c>
      <c r="I9" s="4">
        <f>IF(J9="","",IF(J9=H9,"PASS","FAIL"))</f>
        <v/>
      </c>
      <c r="J9" s="4" t="n"/>
      <c r="K9" s="4" t="n"/>
      <c r="L9" s="6" t="inlineStr">
        <is>
          <t>Medium</t>
        </is>
      </c>
      <c r="M9" s="4" t="n"/>
    </row>
    <row r="10" ht="45" customHeight="1" s="16">
      <c r="A10" s="4" t="inlineStr">
        <is>
          <t>TC161</t>
        </is>
      </c>
      <c r="B10" s="4" t="inlineStr">
        <is>
          <t>System</t>
        </is>
      </c>
      <c r="C10" s="4" t="inlineStr">
        <is>
          <t>Mobile</t>
        </is>
      </c>
      <c r="D10" s="4" t="inlineStr">
        <is>
          <t>Responsive</t>
        </is>
      </c>
      <c r="E10" s="4" t="inlineStr">
        <is>
          <t>Mobile Responsiveness</t>
        </is>
      </c>
      <c r="F10" s="4" t="inlineStr">
        <is>
          <t>1. Open site on mobile device
2. Test all features</t>
        </is>
      </c>
      <c r="G10" s="13" t="inlineStr">
        <is>
          <t>https://nutrio.me/</t>
        </is>
      </c>
      <c r="H10" s="4" t="inlineStr">
        <is>
          <t>All features work on mobile</t>
        </is>
      </c>
      <c r="I10" s="4">
        <f>IF(J10="","",IF(J10=H10,"PASS","FAIL"))</f>
        <v/>
      </c>
      <c r="J10" s="4" t="n"/>
      <c r="K10" s="4" t="n"/>
      <c r="L10" s="5" t="inlineStr">
        <is>
          <t>High</t>
        </is>
      </c>
      <c r="M10" s="4" t="n"/>
    </row>
    <row r="11" ht="45" customHeight="1" s="16">
      <c r="A11" s="4" t="inlineStr">
        <is>
          <t>TC162</t>
        </is>
      </c>
      <c r="B11" s="4" t="inlineStr">
        <is>
          <t>System</t>
        </is>
      </c>
      <c r="C11" s="4" t="inlineStr">
        <is>
          <t>Data</t>
        </is>
      </c>
      <c r="D11" s="4" t="inlineStr">
        <is>
          <t>Backup</t>
        </is>
      </c>
      <c r="E11" s="4" t="inlineStr">
        <is>
          <t>Data Backup Verification</t>
        </is>
      </c>
      <c r="F11" s="4" t="inlineStr">
        <is>
          <t>1. Check backup logs
2. Verify recent backups</t>
        </is>
      </c>
      <c r="G11" s="13" t="inlineStr">
        <is>
          <t>https://nutrio.me/</t>
        </is>
      </c>
      <c r="H11" s="4" t="inlineStr">
        <is>
          <t>Backups running successfully</t>
        </is>
      </c>
      <c r="I11" s="4">
        <f>IF(J11="","",IF(J11=H11,"PASS","FAIL"))</f>
        <v/>
      </c>
      <c r="J11" s="4" t="n"/>
      <c r="K11" s="4" t="n"/>
      <c r="L11" s="6" t="inlineStr">
        <is>
          <t>Medium</t>
        </is>
      </c>
      <c r="M11" s="4" t="n"/>
    </row>
    <row r="12" ht="75" customHeight="1" s="16">
      <c r="A12" s="4" t="inlineStr">
        <is>
          <t>TC278</t>
        </is>
      </c>
      <c r="B12" s="4" t="inlineStr">
        <is>
          <t>System</t>
        </is>
      </c>
      <c r="C12" s="4" t="inlineStr">
        <is>
          <t>Security</t>
        </is>
      </c>
      <c r="D12" s="4" t="inlineStr">
        <is>
          <t>SQL Injection</t>
        </is>
      </c>
      <c r="E12" s="4" t="inlineStr">
        <is>
          <t>Test SQL Injection Protection</t>
        </is>
      </c>
      <c r="F12" s="4" t="inlineStr">
        <is>
          <t>1. Try SQL injection in form fields
2. Enter special characters
3. Submit form
4. Verify blocked
5. Check error handling</t>
        </is>
      </c>
      <c r="G12" s="13" t="inlineStr">
        <is>
          <t>https://nutrio.me/</t>
        </is>
      </c>
      <c r="H12" s="4" t="inlineStr">
        <is>
          <t>Injection attempts blocked</t>
        </is>
      </c>
      <c r="I12" s="4">
        <f>IF(J12="","",IF(J12=H12,"PASS","FAIL"))</f>
        <v/>
      </c>
      <c r="J12" s="4" t="n"/>
      <c r="K12" s="4" t="n"/>
      <c r="L12" s="7" t="inlineStr">
        <is>
          <t>Critical</t>
        </is>
      </c>
      <c r="M12" s="4" t="n"/>
    </row>
    <row r="13" ht="60" customHeight="1" s="16">
      <c r="A13" s="4" t="inlineStr">
        <is>
          <t>TC279</t>
        </is>
      </c>
      <c r="B13" s="4" t="inlineStr">
        <is>
          <t>System</t>
        </is>
      </c>
      <c r="C13" s="4" t="inlineStr">
        <is>
          <t>Security</t>
        </is>
      </c>
      <c r="D13" s="4" t="inlineStr">
        <is>
          <t>XSS Protection</t>
        </is>
      </c>
      <c r="E13" s="4" t="inlineStr">
        <is>
          <t>Test XSS Protection</t>
        </is>
      </c>
      <c r="F13" s="4" t="inlineStr">
        <is>
          <t>1. Enter script tags in inputs
2. Submit form
3. Verify scripts sanitized
4. Check output encoding</t>
        </is>
      </c>
      <c r="G13" s="13" t="inlineStr">
        <is>
          <t>https://nutrio.me/</t>
        </is>
      </c>
      <c r="H13" s="4" t="inlineStr">
        <is>
          <t>XSS attempts blocked/sanitized</t>
        </is>
      </c>
      <c r="I13" s="4">
        <f>IF(J13="","",IF(J13=H13,"PASS","FAIL"))</f>
        <v/>
      </c>
      <c r="J13" s="4" t="n"/>
      <c r="K13" s="4" t="n"/>
      <c r="L13" s="7" t="inlineStr">
        <is>
          <t>Critical</t>
        </is>
      </c>
      <c r="M13" s="4" t="n"/>
    </row>
    <row r="14" ht="75" customHeight="1" s="16">
      <c r="A14" s="4" t="inlineStr">
        <is>
          <t>TC280</t>
        </is>
      </c>
      <c r="B14" s="4" t="inlineStr">
        <is>
          <t>System</t>
        </is>
      </c>
      <c r="C14" s="4" t="inlineStr">
        <is>
          <t>Security</t>
        </is>
      </c>
      <c r="D14" s="4" t="inlineStr">
        <is>
          <t>Brute Force</t>
        </is>
      </c>
      <c r="E14" s="4" t="inlineStr">
        <is>
          <t>Test Brute Force Protection</t>
        </is>
      </c>
      <c r="F14" s="4" t="inlineStr">
        <is>
          <t>1. Attempt multiple wrong passwords
2. Verify account lockout
3. Check rate limiting
4. Verify CAPTCHA shown</t>
        </is>
      </c>
      <c r="G14" s="13" t="inlineStr">
        <is>
          <t>https://nutrio.me/</t>
        </is>
      </c>
      <c r="H14" s="4" t="inlineStr">
        <is>
          <t>Account temporarily locked after failed attempts</t>
        </is>
      </c>
      <c r="I14" s="4">
        <f>IF(J14="","",IF(J14=H14,"PASS","FAIL"))</f>
        <v/>
      </c>
      <c r="J14" s="4" t="n"/>
      <c r="K14" s="4" t="n"/>
      <c r="L14" s="7" t="inlineStr">
        <is>
          <t>Critical</t>
        </is>
      </c>
      <c r="M14" s="4" t="n"/>
    </row>
    <row r="15" ht="75" customHeight="1" s="16">
      <c r="A15" s="4" t="inlineStr">
        <is>
          <t>TC281</t>
        </is>
      </c>
      <c r="B15" s="4" t="inlineStr">
        <is>
          <t>System</t>
        </is>
      </c>
      <c r="C15" s="4" t="inlineStr">
        <is>
          <t>Security</t>
        </is>
      </c>
      <c r="D15" s="4" t="inlineStr">
        <is>
          <t>Session Timeout</t>
        </is>
      </c>
      <c r="E15" s="4" t="inlineStr">
        <is>
          <t>Test Session Timeout</t>
        </is>
      </c>
      <c r="F15" s="4" t="inlineStr">
        <is>
          <t>1. Login
2. Leave idle for 30 mins
3. Try action
4. Verify redirected to login
5. Re-authenticate required</t>
        </is>
      </c>
      <c r="G15" s="13" t="inlineStr">
        <is>
          <t>https://nutrio.me/</t>
        </is>
      </c>
      <c r="H15" s="4" t="inlineStr">
        <is>
          <t>Session expired, login required</t>
        </is>
      </c>
      <c r="I15" s="4">
        <f>IF(J15="","",IF(J15=H15,"PASS","FAIL"))</f>
        <v/>
      </c>
      <c r="J15" s="4" t="n"/>
      <c r="K15" s="4" t="n"/>
      <c r="L15" s="5" t="inlineStr">
        <is>
          <t>High</t>
        </is>
      </c>
      <c r="M15" s="4" t="n"/>
    </row>
    <row r="16" ht="75" customHeight="1" s="16">
      <c r="A16" s="4" t="inlineStr">
        <is>
          <t>TC282</t>
        </is>
      </c>
      <c r="B16" s="4" t="inlineStr">
        <is>
          <t>System</t>
        </is>
      </c>
      <c r="C16" s="4" t="inlineStr">
        <is>
          <t>Performance</t>
        </is>
      </c>
      <c r="D16" s="4" t="inlineStr">
        <is>
          <t>Page Load</t>
        </is>
      </c>
      <c r="E16" s="4" t="inlineStr">
        <is>
          <t>Test Page Load Times</t>
        </is>
      </c>
      <c r="F16" s="4" t="inlineStr">
        <is>
          <t>1. Navigate to key pages
2. Measure load time
3. Check under 3 seconds
4. Test on slow connection
5. Verify optimization</t>
        </is>
      </c>
      <c r="G16" s="13" t="inlineStr">
        <is>
          <t>https://nutrio.me/</t>
        </is>
      </c>
      <c r="H16" s="4" t="inlineStr">
        <is>
          <t>All pages load within acceptable time</t>
        </is>
      </c>
      <c r="I16" s="4">
        <f>IF(J16="","",IF(J16=H16,"PASS","FAIL"))</f>
        <v/>
      </c>
      <c r="J16" s="4" t="n"/>
      <c r="K16" s="4" t="n"/>
      <c r="L16" s="5" t="inlineStr">
        <is>
          <t>High</t>
        </is>
      </c>
      <c r="M16" s="4" t="n"/>
    </row>
    <row r="17" ht="75" customHeight="1" s="16">
      <c r="A17" s="4" t="inlineStr">
        <is>
          <t>TC283</t>
        </is>
      </c>
      <c r="B17" s="4" t="inlineStr">
        <is>
          <t>System</t>
        </is>
      </c>
      <c r="C17" s="4" t="inlineStr">
        <is>
          <t>Performance</t>
        </is>
      </c>
      <c r="D17" s="4" t="inlineStr">
        <is>
          <t>Concurrent Users</t>
        </is>
      </c>
      <c r="E17" s="4" t="inlineStr">
        <is>
          <t>Test with Concurrent Users</t>
        </is>
      </c>
      <c r="F17" s="4" t="inlineStr">
        <is>
          <t>1. Simulate multiple users
2. Place simultaneous orders
3. Check system stability
4. Verify no data corruption
5. Monitor response times</t>
        </is>
      </c>
      <c r="G17" s="13" t="inlineStr">
        <is>
          <t>https://nutrio.me/</t>
        </is>
      </c>
      <c r="H17" s="4" t="inlineStr">
        <is>
          <t>System handles concurrent load</t>
        </is>
      </c>
      <c r="I17" s="4">
        <f>IF(J17="","",IF(J17=H17,"PASS","FAIL"))</f>
        <v/>
      </c>
      <c r="J17" s="4" t="n"/>
      <c r="K17" s="4" t="n"/>
      <c r="L17" s="7" t="inlineStr">
        <is>
          <t>Critical</t>
        </is>
      </c>
      <c r="M17" s="4" t="n"/>
    </row>
    <row r="18" ht="75" customHeight="1" s="16">
      <c r="A18" s="4" t="inlineStr">
        <is>
          <t>TC284</t>
        </is>
      </c>
      <c r="B18" s="4" t="inlineStr">
        <is>
          <t>System</t>
        </is>
      </c>
      <c r="C18" s="4" t="inlineStr">
        <is>
          <t>Performance</t>
        </is>
      </c>
      <c r="D18" s="4" t="inlineStr">
        <is>
          <t>Database Performance</t>
        </is>
      </c>
      <c r="E18" s="4" t="inlineStr">
        <is>
          <t>Test Database Query Performance</t>
        </is>
      </c>
      <c r="F18" s="4" t="inlineStr">
        <is>
          <t>1. Run complex queries
2. Check response times
3. Monitor index usage
4. Verify optimization
5. Check for slow queries</t>
        </is>
      </c>
      <c r="G18" s="13" t="inlineStr">
        <is>
          <t>https://nutrio.me/</t>
        </is>
      </c>
      <c r="H18" s="4" t="inlineStr">
        <is>
          <t>Database queries optimized</t>
        </is>
      </c>
      <c r="I18" s="4">
        <f>IF(J18="","",IF(J18=H18,"PASS","FAIL"))</f>
        <v/>
      </c>
      <c r="J18" s="4" t="n"/>
      <c r="K18" s="4" t="n"/>
      <c r="L18" s="6" t="inlineStr">
        <is>
          <t>Medium</t>
        </is>
      </c>
      <c r="M18" s="4" t="n"/>
    </row>
    <row r="19" ht="75" customHeight="1" s="16">
      <c r="A19" s="4" t="inlineStr">
        <is>
          <t>TC285</t>
        </is>
      </c>
      <c r="B19" s="4" t="inlineStr">
        <is>
          <t>System</t>
        </is>
      </c>
      <c r="C19" s="4" t="inlineStr">
        <is>
          <t>Errors</t>
        </is>
      </c>
      <c r="D19" s="4" t="inlineStr">
        <is>
          <t>404 Handling</t>
        </is>
      </c>
      <c r="E19" s="4" t="inlineStr">
        <is>
          <t>Test 404 Error Page</t>
        </is>
      </c>
      <c r="F19" s="4" t="inlineStr">
        <is>
          <t>1. Navigate to non-existent page
2. Verify 404 page shown
3. Check navigation options
4. Verify helpful message
5. Test back button</t>
        </is>
      </c>
      <c r="G19" s="13" t="inlineStr">
        <is>
          <t>https://nutrio.me/</t>
        </is>
      </c>
      <c r="H19" s="4" t="inlineStr">
        <is>
          <t>Custom 404 page displayed</t>
        </is>
      </c>
      <c r="I19" s="4">
        <f>IF(J19="","",IF(J19=H19,"PASS","FAIL"))</f>
        <v/>
      </c>
      <c r="J19" s="4" t="n"/>
      <c r="K19" s="4" t="n"/>
      <c r="L19" s="4" t="inlineStr">
        <is>
          <t>Low</t>
        </is>
      </c>
      <c r="M19" s="4" t="n"/>
    </row>
    <row r="20" ht="75" customHeight="1" s="16">
      <c r="A20" s="4" t="inlineStr">
        <is>
          <t>TC286</t>
        </is>
      </c>
      <c r="B20" s="4" t="inlineStr">
        <is>
          <t>System</t>
        </is>
      </c>
      <c r="C20" s="4" t="inlineStr">
        <is>
          <t>Errors</t>
        </is>
      </c>
      <c r="D20" s="4" t="inlineStr">
        <is>
          <t>500 Handling</t>
        </is>
      </c>
      <c r="E20" s="4" t="inlineStr">
        <is>
          <t>Test 500 Error Page</t>
        </is>
      </c>
      <c r="F20" s="4" t="inlineStr">
        <is>
          <t>1. Trigger server error
2. Verify 500 page shown
3. Check error logged
4. Verify user-friendly message
5. No sensitive data leaked</t>
        </is>
      </c>
      <c r="G20" s="13" t="inlineStr">
        <is>
          <t>https://nutrio.me/</t>
        </is>
      </c>
      <c r="H20" s="4" t="inlineStr">
        <is>
          <t>Error handled gracefully</t>
        </is>
      </c>
      <c r="I20" s="4">
        <f>IF(J20="","",IF(J20=H20,"PASS","FAIL"))</f>
        <v/>
      </c>
      <c r="J20" s="4" t="n"/>
      <c r="K20" s="4" t="n"/>
      <c r="L20" s="5" t="inlineStr">
        <is>
          <t>High</t>
        </is>
      </c>
      <c r="M20" s="4" t="n"/>
    </row>
    <row r="21" ht="75" customHeight="1" s="16">
      <c r="A21" s="4" t="inlineStr">
        <is>
          <t>TC287</t>
        </is>
      </c>
      <c r="B21" s="4" t="inlineStr">
        <is>
          <t>System</t>
        </is>
      </c>
      <c r="C21" s="4" t="inlineStr">
        <is>
          <t>Errors</t>
        </is>
      </c>
      <c r="D21" s="4" t="inlineStr">
        <is>
          <t>Network Error</t>
        </is>
      </c>
      <c r="E21" s="4" t="inlineStr">
        <is>
          <t>Handle Network Disconnection</t>
        </is>
      </c>
      <c r="F21" s="4" t="inlineStr">
        <is>
          <t>1. Disconnect internet
2. Try action
3. Verify offline message
4. Reconnect
5. Verify sync resumes</t>
        </is>
      </c>
      <c r="G21" s="13" t="inlineStr">
        <is>
          <t>https://nutrio.me/</t>
        </is>
      </c>
      <c r="H21" s="4" t="inlineStr">
        <is>
          <t>Offline state handled, syncs on reconnect</t>
        </is>
      </c>
      <c r="I21" s="4">
        <f>IF(J21="","",IF(J21=H21,"PASS","FAIL"))</f>
        <v/>
      </c>
      <c r="J21" s="4" t="n"/>
      <c r="K21" s="4" t="n"/>
      <c r="L21" s="5" t="inlineStr">
        <is>
          <t>High</t>
        </is>
      </c>
      <c r="M21" s="4" t="n"/>
    </row>
    <row r="22" ht="75" customHeight="1" s="16">
      <c r="A22" s="4" t="inlineStr">
        <is>
          <t>TC288</t>
        </is>
      </c>
      <c r="B22" s="4" t="inlineStr">
        <is>
          <t>System</t>
        </is>
      </c>
      <c r="C22" s="4" t="inlineStr">
        <is>
          <t>Mobile</t>
        </is>
      </c>
      <c r="D22" s="4" t="inlineStr">
        <is>
          <t>Responsive Layout</t>
        </is>
      </c>
      <c r="E22" s="4" t="inlineStr">
        <is>
          <t>Test Responsive Layout</t>
        </is>
      </c>
      <c r="F22" s="4" t="inlineStr">
        <is>
          <t>1. Open on mobile
2. Check layout adapts
3. Test all features
4. Verify touch targets
5. Test portrait/landscape</t>
        </is>
      </c>
      <c r="G22" s="13" t="inlineStr">
        <is>
          <t>https://nutrio.me/</t>
        </is>
      </c>
      <c r="H22" s="4" t="inlineStr">
        <is>
          <t>Layout responsive on all devices</t>
        </is>
      </c>
      <c r="I22" s="4">
        <f>IF(J22="","",IF(J22=H22,"PASS","FAIL"))</f>
        <v/>
      </c>
      <c r="J22" s="4" t="n"/>
      <c r="K22" s="4" t="n"/>
      <c r="L22" s="5" t="inlineStr">
        <is>
          <t>High</t>
        </is>
      </c>
      <c r="M22" s="4" t="n"/>
    </row>
    <row r="23" ht="75" customHeight="1" s="16">
      <c r="A23" s="4" t="inlineStr">
        <is>
          <t>TC289</t>
        </is>
      </c>
      <c r="B23" s="4" t="inlineStr">
        <is>
          <t>System</t>
        </is>
      </c>
      <c r="C23" s="4" t="inlineStr">
        <is>
          <t>Mobile</t>
        </is>
      </c>
      <c r="D23" s="4" t="inlineStr">
        <is>
          <t>Touch Gestures</t>
        </is>
      </c>
      <c r="E23" s="4" t="inlineStr">
        <is>
          <t>Test Touch Gestures</t>
        </is>
      </c>
      <c r="F23" s="4" t="inlineStr">
        <is>
          <t>1. Swipe to navigate
2. Pinch to zoom images
3. Pull to refresh
4. Long press actions
5. Verify smooth animations</t>
        </is>
      </c>
      <c r="G23" s="13" t="inlineStr">
        <is>
          <t>https://nutrio.me/</t>
        </is>
      </c>
      <c r="H23" s="4" t="inlineStr">
        <is>
          <t>Touch gestures work correctly</t>
        </is>
      </c>
      <c r="I23" s="4">
        <f>IF(J23="","",IF(J23=H23,"PASS","FAIL"))</f>
        <v/>
      </c>
      <c r="J23" s="4" t="n"/>
      <c r="K23" s="4" t="n"/>
      <c r="L23" s="6" t="inlineStr">
        <is>
          <t>Medium</t>
        </is>
      </c>
      <c r="M23" s="4" t="n"/>
    </row>
    <row r="24" ht="75" customHeight="1" s="16">
      <c r="A24" s="4" t="inlineStr">
        <is>
          <t>TC290</t>
        </is>
      </c>
      <c r="B24" s="4" t="inlineStr">
        <is>
          <t>System</t>
        </is>
      </c>
      <c r="C24" s="4" t="inlineStr">
        <is>
          <t>Mobile</t>
        </is>
      </c>
      <c r="D24" s="4" t="inlineStr">
        <is>
          <t>PWA Install</t>
        </is>
      </c>
      <c r="E24" s="4" t="inlineStr">
        <is>
          <t>Test PWA Install</t>
        </is>
      </c>
      <c r="F24" s="4" t="inlineStr">
        <is>
          <t>1. Open in mobile browser
2. Click Add to Home Screen
3. Install app
4. Open from icon
5. Verify offline capability</t>
        </is>
      </c>
      <c r="G24" s="13" t="inlineStr">
        <is>
          <t>https://nutrio.me/</t>
        </is>
      </c>
      <c r="H24" s="4" t="inlineStr">
        <is>
          <t>PWA installs and works offline</t>
        </is>
      </c>
      <c r="I24" s="4">
        <f>IF(J24="","",IF(J24=H24,"PASS","FAIL"))</f>
        <v/>
      </c>
      <c r="J24" s="4" t="n"/>
      <c r="K24" s="4" t="n"/>
      <c r="L24" s="4" t="inlineStr">
        <is>
          <t>Low</t>
        </is>
      </c>
      <c r="M24" s="4" t="n"/>
    </row>
    <row r="25" ht="75" customHeight="1" s="16">
      <c r="A25" s="4" t="inlineStr">
        <is>
          <t>TC291</t>
        </is>
      </c>
      <c r="B25" s="4" t="inlineStr">
        <is>
          <t>System</t>
        </is>
      </c>
      <c r="C25" s="4" t="inlineStr">
        <is>
          <t>Integration</t>
        </is>
      </c>
      <c r="D25" s="4" t="inlineStr">
        <is>
          <t>Sadad Payment</t>
        </is>
      </c>
      <c r="E25" s="4" t="inlineStr">
        <is>
          <t>Test Sadad Payment Flow</t>
        </is>
      </c>
      <c r="F25" s="4" t="inlineStr">
        <is>
          <t>1. Checkout
2. Select Sadad
3. Complete payment
4. Verify webhook received
5. Confirm order status</t>
        </is>
      </c>
      <c r="G25" s="13" t="inlineStr">
        <is>
          <t>https://nutrio.me/</t>
        </is>
      </c>
      <c r="H25" s="4" t="inlineStr">
        <is>
          <t>Payment processed, order confirmed</t>
        </is>
      </c>
      <c r="I25" s="4">
        <f>IF(J25="","",IF(J25=H25,"PASS","FAIL"))</f>
        <v/>
      </c>
      <c r="J25" s="4" t="n"/>
      <c r="K25" s="4" t="n"/>
      <c r="L25" s="7" t="inlineStr">
        <is>
          <t>Critical</t>
        </is>
      </c>
      <c r="M25" s="4" t="n"/>
    </row>
    <row r="26" ht="75" customHeight="1" s="16">
      <c r="A26" s="4" t="inlineStr">
        <is>
          <t>TC292</t>
        </is>
      </c>
      <c r="B26" s="4" t="inlineStr">
        <is>
          <t>System</t>
        </is>
      </c>
      <c r="C26" s="4" t="inlineStr">
        <is>
          <t>Integration</t>
        </is>
      </c>
      <c r="D26" s="4" t="inlineStr">
        <is>
          <t>WhatsApp API</t>
        </is>
      </c>
      <c r="E26" s="4" t="inlineStr">
        <is>
          <t>Test WhatsApp Notification Delivery</t>
        </is>
      </c>
      <c r="F26" s="4" t="inlineStr">
        <is>
          <t>1. Trigger notification
2. Check WhatsApp API
3. Verify message sent
4. Check delivery status
5. Confirm received</t>
        </is>
      </c>
      <c r="G26" s="13" t="inlineStr">
        <is>
          <t>https://nutrio.me/</t>
        </is>
      </c>
      <c r="H26" s="4" t="inlineStr">
        <is>
          <t>WhatsApp message delivered</t>
        </is>
      </c>
      <c r="I26" s="4">
        <f>IF(J26="","",IF(J26=H26,"PASS","FAIL"))</f>
        <v/>
      </c>
      <c r="J26" s="4" t="n"/>
      <c r="K26" s="4" t="n"/>
      <c r="L26" s="5" t="inlineStr">
        <is>
          <t>High</t>
        </is>
      </c>
      <c r="M26" s="4" t="n"/>
    </row>
    <row r="27" ht="75" customHeight="1" s="16">
      <c r="A27" s="4" t="inlineStr">
        <is>
          <t>TC293</t>
        </is>
      </c>
      <c r="B27" s="4" t="inlineStr">
        <is>
          <t>System</t>
        </is>
      </c>
      <c r="C27" s="4" t="inlineStr">
        <is>
          <t>Integration</t>
        </is>
      </c>
      <c r="D27" s="4" t="inlineStr">
        <is>
          <t>Email Service</t>
        </is>
      </c>
      <c r="E27" s="4" t="inlineStr">
        <is>
          <t>Test Email Delivery</t>
        </is>
      </c>
      <c r="F27" s="4" t="inlineStr">
        <is>
          <t>1. Trigger email
2. Check email queue
3. Verify sent
4. Check inbox
5. Confirm formatting</t>
        </is>
      </c>
      <c r="G27" s="13" t="inlineStr">
        <is>
          <t>https://nutrio.me/</t>
        </is>
      </c>
      <c r="H27" s="4" t="inlineStr">
        <is>
          <t>Email delivered correctly</t>
        </is>
      </c>
      <c r="I27" s="4">
        <f>IF(J27="","",IF(J27=H27,"PASS","FAIL"))</f>
        <v/>
      </c>
      <c r="J27" s="4" t="n"/>
      <c r="K27" s="4" t="n"/>
      <c r="L27" s="6" t="inlineStr">
        <is>
          <t>Medium</t>
        </is>
      </c>
      <c r="M27" s="4" t="n"/>
    </row>
    <row r="28" ht="75" customHeight="1" s="16">
      <c r="A28" s="4" t="inlineStr">
        <is>
          <t>TC294</t>
        </is>
      </c>
      <c r="B28" s="4" t="inlineStr">
        <is>
          <t>System</t>
        </is>
      </c>
      <c r="C28" s="4" t="inlineStr">
        <is>
          <t>Integration</t>
        </is>
      </c>
      <c r="D28" s="4" t="inlineStr">
        <is>
          <t>Maps API</t>
        </is>
      </c>
      <c r="E28" s="4" t="inlineStr">
        <is>
          <t>Test Maps Integration</t>
        </is>
      </c>
      <c r="F28" s="4" t="inlineStr">
        <is>
          <t>1. Open delivery navigation
2. Load map
3. Show route
4. Get directions
5. Calculate ETA</t>
        </is>
      </c>
      <c r="G28" s="13" t="inlineStr">
        <is>
          <t>https://nutrio.me/</t>
        </is>
      </c>
      <c r="H28" s="4" t="inlineStr">
        <is>
          <t>Maps load and route displayed</t>
        </is>
      </c>
      <c r="I28" s="4">
        <f>IF(J28="","",IF(J28=H28,"PASS","FAIL"))</f>
        <v/>
      </c>
      <c r="J28" s="4" t="n"/>
      <c r="K28" s="4" t="n"/>
      <c r="L28" s="5" t="inlineStr">
        <is>
          <t>High</t>
        </is>
      </c>
      <c r="M28" s="4" t="n"/>
    </row>
    <row r="29" ht="75" customHeight="1" s="16">
      <c r="A29" s="4" t="inlineStr">
        <is>
          <t>TC295</t>
        </is>
      </c>
      <c r="B29" s="4" t="inlineStr">
        <is>
          <t>System</t>
        </is>
      </c>
      <c r="C29" s="4" t="inlineStr">
        <is>
          <t>Integration</t>
        </is>
      </c>
      <c r="D29" s="4" t="inlineStr">
        <is>
          <t>Image Upload</t>
        </is>
      </c>
      <c r="E29" s="4" t="inlineStr">
        <is>
          <t>Test Image Upload and Processing</t>
        </is>
      </c>
      <c r="F29" s="4" t="inlineStr">
        <is>
          <t>1. Upload image
2. Check compression
3. Verify thumbnail
4. Test CDN delivery
5. Check optimization</t>
        </is>
      </c>
      <c r="G29" s="13" t="inlineStr">
        <is>
          <t>https://nutrio.me/</t>
        </is>
      </c>
      <c r="H29" s="4" t="inlineStr">
        <is>
          <t>Image uploaded and optimized</t>
        </is>
      </c>
      <c r="I29" s="4">
        <f>IF(J29="","",IF(J29=H29,"PASS","FAIL"))</f>
        <v/>
      </c>
      <c r="J29" s="4" t="n"/>
      <c r="K29" s="4" t="n"/>
      <c r="L29" s="6" t="inlineStr">
        <is>
          <t>Medium</t>
        </is>
      </c>
      <c r="M29" s="4" t="n"/>
    </row>
    <row r="30">
      <c r="G30" s="13" t="inlineStr">
        <is>
          <t>https://nutrio.me/</t>
        </is>
      </c>
      <c r="I30">
        <f>IF(J30="","",IF(J30=H30,"PASS","FAIL"))</f>
        <v/>
      </c>
    </row>
    <row r="31" ht="15.75" customHeight="1" s="16">
      <c r="A31" s="12" t="inlineStr">
        <is>
          <t>SUMMARY</t>
        </is>
      </c>
      <c r="G31" s="13" t="inlineStr">
        <is>
          <t>https://nutrio.me/</t>
        </is>
      </c>
      <c r="I31">
        <f>IF(J31="","",IF(J31=H31,"PASS","FAIL"))</f>
        <v/>
      </c>
    </row>
    <row r="32">
      <c r="A32" t="inlineStr">
        <is>
          <t>Total Tests:</t>
        </is>
      </c>
      <c r="B32">
        <f>COUNTA(A2:A30)</f>
        <v/>
      </c>
      <c r="G32" s="13" t="inlineStr">
        <is>
          <t>https://nutrio.me/</t>
        </is>
      </c>
      <c r="I32">
        <f>IF(J32="","",IF(J32=H32,"PASS","FAIL"))</f>
        <v/>
      </c>
    </row>
    <row r="33">
      <c r="A33" t="inlineStr">
        <is>
          <t>Passed:</t>
        </is>
      </c>
      <c r="B33">
        <f>COUNTIF(I2:I30,"PASS")</f>
        <v/>
      </c>
      <c r="G33" s="13" t="inlineStr">
        <is>
          <t>https://nutrio.me/</t>
        </is>
      </c>
      <c r="I33">
        <f>IF(J33="","",IF(J33=H33,"PASS","FAIL"))</f>
        <v/>
      </c>
    </row>
    <row r="34">
      <c r="A34" t="inlineStr">
        <is>
          <t>Failed:</t>
        </is>
      </c>
      <c r="B34">
        <f>COUNTIF(I2:I30,"FAIL")</f>
        <v/>
      </c>
      <c r="G34" s="13" t="inlineStr">
        <is>
          <t>https://nutrio.me/</t>
        </is>
      </c>
      <c r="I34">
        <f>IF(J34="","",IF(J34=H34,"PASS","FAIL"))</f>
        <v/>
      </c>
    </row>
    <row r="35">
      <c r="A35" t="inlineStr">
        <is>
          <t>Pass Rate:</t>
        </is>
      </c>
      <c r="B35" s="2">
        <f>IF(COUNTA(I2:I30)&gt;0,COUNTIF(I2:I30,"PASS")/COUNTA(I2:I30),0)</f>
        <v/>
      </c>
      <c r="G35" s="13" t="inlineStr">
        <is>
          <t>https://nutrio.me/</t>
        </is>
      </c>
      <c r="I35">
        <f>IF(J35="","",IF(J35=H35,"PASS","FAIL"))</f>
        <v/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style="16" min="1" max="10"/>
  </cols>
  <sheetData>
    <row r="1">
      <c r="A1" s="8" t="inlineStr">
        <is>
          <t>Portal</t>
        </is>
      </c>
      <c r="B1" s="8" t="inlineStr">
        <is>
          <t>Total Tests</t>
        </is>
      </c>
      <c r="C1" s="8" t="inlineStr">
        <is>
          <t>Passed</t>
        </is>
      </c>
      <c r="D1" s="8" t="inlineStr">
        <is>
          <t>Failed</t>
        </is>
      </c>
      <c r="E1" s="8" t="inlineStr">
        <is>
          <t>Pending</t>
        </is>
      </c>
      <c r="F1" s="8" t="inlineStr">
        <is>
          <t>Pass Rate</t>
        </is>
      </c>
      <c r="G1" s="8" t="inlineStr">
        <is>
          <t>Critical</t>
        </is>
      </c>
      <c r="H1" s="8" t="inlineStr">
        <is>
          <t>High</t>
        </is>
      </c>
      <c r="I1" s="8" t="inlineStr">
        <is>
          <t>Medium</t>
        </is>
      </c>
      <c r="J1" s="8" t="inlineStr">
        <is>
          <t>Low</t>
        </is>
      </c>
    </row>
    <row r="2">
      <c r="A2" s="9" t="inlineStr">
        <is>
          <t>Customer</t>
        </is>
      </c>
      <c r="B2" s="9">
        <f>COUNTIF('Test Cases'!B:B,A2)</f>
        <v/>
      </c>
      <c r="C2" s="9">
        <f>COUNTIFS('Test Cases'!B:B,A2,'Test Cases'!H:H,"PASS")</f>
        <v/>
      </c>
      <c r="D2" s="9">
        <f>COUNTIFS('Test Cases'!B:B,A2,'Test Cases'!H:H,"FAIL")</f>
        <v/>
      </c>
      <c r="E2" s="9">
        <f>COUNTIFS('Test Cases'!B:B,A2,'Test Cases'!H:H,"")</f>
        <v/>
      </c>
      <c r="F2" s="10">
        <f>IF(B2&gt;0,C2/B2,0)</f>
        <v/>
      </c>
      <c r="G2" s="9">
        <f>COUNTIFS('Test Cases'!B:B,A2,'Test Cases'!K:K,"Critical")</f>
        <v/>
      </c>
      <c r="H2" s="9">
        <f>COUNTIFS('Test Cases'!B:B,A2,'Test Cases'!K:K,"High")</f>
        <v/>
      </c>
      <c r="I2" s="9">
        <f>COUNTIFS('Test Cases'!B:B,A2,'Test Cases'!K:K,"Medium")</f>
        <v/>
      </c>
      <c r="J2" s="9">
        <f>COUNTIFS('Test Cases'!B:B,A2,'Test Cases'!K:K,"Low")</f>
        <v/>
      </c>
    </row>
    <row r="3">
      <c r="A3" s="9" t="inlineStr">
        <is>
          <t>Partner</t>
        </is>
      </c>
      <c r="B3" s="9">
        <f>COUNTIF('Test Cases'!B:B,A3)</f>
        <v/>
      </c>
      <c r="C3" s="9">
        <f>COUNTIFS('Test Cases'!B:B,A3,'Test Cases'!H:H,"PASS")</f>
        <v/>
      </c>
      <c r="D3" s="9">
        <f>COUNTIFS('Test Cases'!B:B,A3,'Test Cases'!H:H,"FAIL")</f>
        <v/>
      </c>
      <c r="E3" s="9">
        <f>COUNTIFS('Test Cases'!B:B,A3,'Test Cases'!H:H,"")</f>
        <v/>
      </c>
      <c r="F3" s="10">
        <f>IF(B3&gt;0,C3/B3,0)</f>
        <v/>
      </c>
      <c r="G3" s="9">
        <f>COUNTIFS('Test Cases'!B:B,A3,'Test Cases'!K:K,"Critical")</f>
        <v/>
      </c>
      <c r="H3" s="9">
        <f>COUNTIFS('Test Cases'!B:B,A3,'Test Cases'!K:K,"High")</f>
        <v/>
      </c>
      <c r="I3" s="9">
        <f>COUNTIFS('Test Cases'!B:B,A3,'Test Cases'!K:K,"Medium")</f>
        <v/>
      </c>
      <c r="J3" s="9">
        <f>COUNTIFS('Test Cases'!B:B,A3,'Test Cases'!K:K,"Low")</f>
        <v/>
      </c>
    </row>
    <row r="4">
      <c r="A4" s="9" t="inlineStr">
        <is>
          <t>Admin</t>
        </is>
      </c>
      <c r="B4" s="9">
        <f>COUNTIF('Test Cases'!B:B,A4)</f>
        <v/>
      </c>
      <c r="C4" s="9">
        <f>COUNTIFS('Test Cases'!B:B,A4,'Test Cases'!H:H,"PASS")</f>
        <v/>
      </c>
      <c r="D4" s="9">
        <f>COUNTIFS('Test Cases'!B:B,A4,'Test Cases'!H:H,"FAIL")</f>
        <v/>
      </c>
      <c r="E4" s="9">
        <f>COUNTIFS('Test Cases'!B:B,A4,'Test Cases'!H:H,"")</f>
        <v/>
      </c>
      <c r="F4" s="10">
        <f>IF(B4&gt;0,C4/B4,0)</f>
        <v/>
      </c>
      <c r="G4" s="9">
        <f>COUNTIFS('Test Cases'!B:B,A4,'Test Cases'!K:K,"Critical")</f>
        <v/>
      </c>
      <c r="H4" s="9">
        <f>COUNTIFS('Test Cases'!B:B,A4,'Test Cases'!K:K,"High")</f>
        <v/>
      </c>
      <c r="I4" s="9">
        <f>COUNTIFS('Test Cases'!B:B,A4,'Test Cases'!K:K,"Medium")</f>
        <v/>
      </c>
      <c r="J4" s="9">
        <f>COUNTIFS('Test Cases'!B:B,A4,'Test Cases'!K:K,"Low")</f>
        <v/>
      </c>
    </row>
    <row r="5">
      <c r="A5" s="9" t="inlineStr">
        <is>
          <t>Driver</t>
        </is>
      </c>
      <c r="B5" s="9">
        <f>COUNTIF('Test Cases'!B:B,A5)</f>
        <v/>
      </c>
      <c r="C5" s="9">
        <f>COUNTIFS('Test Cases'!B:B,A5,'Test Cases'!H:H,"PASS")</f>
        <v/>
      </c>
      <c r="D5" s="9">
        <f>COUNTIFS('Test Cases'!B:B,A5,'Test Cases'!H:H,"FAIL")</f>
        <v/>
      </c>
      <c r="E5" s="9">
        <f>COUNTIFS('Test Cases'!B:B,A5,'Test Cases'!H:H,"")</f>
        <v/>
      </c>
      <c r="F5" s="10">
        <f>IF(B5&gt;0,C5/B5,0)</f>
        <v/>
      </c>
      <c r="G5" s="9">
        <f>COUNTIFS('Test Cases'!B:B,A5,'Test Cases'!K:K,"Critical")</f>
        <v/>
      </c>
      <c r="H5" s="9">
        <f>COUNTIFS('Test Cases'!B:B,A5,'Test Cases'!K:K,"High")</f>
        <v/>
      </c>
      <c r="I5" s="9">
        <f>COUNTIFS('Test Cases'!B:B,A5,'Test Cases'!K:K,"Medium")</f>
        <v/>
      </c>
      <c r="J5" s="9">
        <f>COUNTIFS('Test Cases'!B:B,A5,'Test Cases'!K:K,"Low")</f>
        <v/>
      </c>
    </row>
    <row r="6">
      <c r="A6" s="9" t="inlineStr">
        <is>
          <t>System</t>
        </is>
      </c>
      <c r="B6" s="9">
        <f>COUNTIF('Test Cases'!B:B,A6)</f>
        <v/>
      </c>
      <c r="C6" s="9">
        <f>COUNTIFS('Test Cases'!B:B,A6,'Test Cases'!H:H,"PASS")</f>
        <v/>
      </c>
      <c r="D6" s="9">
        <f>COUNTIFS('Test Cases'!B:B,A6,'Test Cases'!H:H,"FAIL")</f>
        <v/>
      </c>
      <c r="E6" s="9">
        <f>COUNTIFS('Test Cases'!B:B,A6,'Test Cases'!H:H,"")</f>
        <v/>
      </c>
      <c r="F6" s="10">
        <f>IF(B6&gt;0,C6/B6,0)</f>
        <v/>
      </c>
      <c r="G6" s="9">
        <f>COUNTIFS('Test Cases'!B:B,A6,'Test Cases'!K:K,"Critical")</f>
        <v/>
      </c>
      <c r="H6" s="9">
        <f>COUNTIFS('Test Cases'!B:B,A6,'Test Cases'!K:K,"High")</f>
        <v/>
      </c>
      <c r="I6" s="9">
        <f>COUNTIFS('Test Cases'!B:B,A6,'Test Cases'!K:K,"Medium")</f>
        <v/>
      </c>
      <c r="J6" s="9">
        <f>COUNTIFS('Test Cases'!B:B,A6,'Test Cases'!K:K,"Low")</f>
        <v/>
      </c>
    </row>
    <row r="8">
      <c r="A8" s="14" t="inlineStr">
        <is>
          <t>Note: Each test case now has a direct Link/URL column for easy access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53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2" customWidth="1" style="16" min="2" max="3"/>
    <col width="15" customWidth="1" style="16" min="4" max="4"/>
    <col width="30" customWidth="1" style="16" min="5" max="5"/>
    <col width="40" customWidth="1" style="16" min="6" max="6"/>
    <col width="35" customWidth="1" style="16" min="7" max="7"/>
    <col width="12" customWidth="1" style="16" min="8" max="8"/>
    <col width="30" customWidth="1" style="16" min="9" max="9"/>
    <col width="25" customWidth="1" style="16" min="10" max="10"/>
    <col width="10" customWidth="1" style="16" min="11" max="11"/>
    <col width="15" customWidth="1" style="16" min="12" max="12"/>
  </cols>
  <sheetData>
    <row r="1" ht="30" customHeight="1" s="16">
      <c r="A1" s="3" t="inlineStr">
        <is>
          <t>TC ID</t>
        </is>
      </c>
      <c r="B1" s="3" t="inlineStr">
        <is>
          <t>Portal</t>
        </is>
      </c>
      <c r="C1" s="3" t="inlineStr">
        <is>
          <t>Module</t>
        </is>
      </c>
      <c r="D1" s="3" t="inlineStr">
        <is>
          <t>Feature</t>
        </is>
      </c>
      <c r="E1" s="3" t="inlineStr">
        <is>
          <t>Test Case</t>
        </is>
      </c>
      <c r="F1" s="3" t="inlineStr">
        <is>
          <t>Steps</t>
        </is>
      </c>
      <c r="G1" s="3" t="inlineStr">
        <is>
          <t>Link / URL</t>
        </is>
      </c>
      <c r="H1" s="3" t="inlineStr">
        <is>
          <t>Expected Result</t>
        </is>
      </c>
      <c r="I1" s="3" t="inlineStr">
        <is>
          <t>Status</t>
        </is>
      </c>
      <c r="J1" s="3" t="inlineStr">
        <is>
          <t>Actual Result</t>
        </is>
      </c>
      <c r="K1" s="3" t="inlineStr">
        <is>
          <t>Notes</t>
        </is>
      </c>
      <c r="L1" s="3" t="inlineStr">
        <is>
          <t>Priority</t>
        </is>
      </c>
      <c r="M1" s="3" t="inlineStr">
        <is>
          <t>Tester</t>
        </is>
      </c>
    </row>
    <row r="2" ht="75" customHeight="1" s="16">
      <c r="A2" s="4" t="inlineStr">
        <is>
          <t>TC001</t>
        </is>
      </c>
      <c r="B2" s="4" t="inlineStr">
        <is>
          <t>Customer</t>
        </is>
      </c>
      <c r="C2" s="4" t="inlineStr">
        <is>
          <t>Auth</t>
        </is>
      </c>
      <c r="D2" s="4" t="inlineStr">
        <is>
          <t>Login</t>
        </is>
      </c>
      <c r="E2" s="4" t="inlineStr">
        <is>
          <t>Customer Login with Valid Credentials</t>
        </is>
      </c>
      <c r="F2" s="4" t="inlineStr">
        <is>
          <t>1. Navigate to /auth
2. Enter valid email
3. Enter valid password
4. Click Sign In</t>
        </is>
      </c>
      <c r="G2" s="13" t="inlineStr">
        <is>
          <t>https://nutrio.me/auth</t>
        </is>
      </c>
      <c r="H2" s="4" t="inlineStr">
        <is>
          <t>User logged in and redirected to dashboard</t>
        </is>
      </c>
      <c r="I2" s="4">
        <f>IF(I2="","",IF(I2=G2,"PASS","FAIL"))</f>
        <v/>
      </c>
      <c r="J2" s="4" t="n"/>
      <c r="K2" s="4" t="n"/>
      <c r="L2" s="5" t="inlineStr">
        <is>
          <t>High</t>
        </is>
      </c>
      <c r="M2" s="4" t="n"/>
    </row>
    <row r="3" ht="60" customHeight="1" s="16">
      <c r="A3" s="4" t="inlineStr">
        <is>
          <t>TC002</t>
        </is>
      </c>
      <c r="B3" s="4" t="inlineStr">
        <is>
          <t>Customer</t>
        </is>
      </c>
      <c r="C3" s="4" t="inlineStr">
        <is>
          <t>Auth</t>
        </is>
      </c>
      <c r="D3" s="4" t="inlineStr">
        <is>
          <t>Login</t>
        </is>
      </c>
      <c r="E3" s="4" t="inlineStr">
        <is>
          <t>Customer Login with Invalid Password</t>
        </is>
      </c>
      <c r="F3" s="4" t="inlineStr">
        <is>
          <t>1. Navigate to /auth
2. Enter valid email
3. Enter invalid password
4. Click Sign In</t>
        </is>
      </c>
      <c r="G3" s="13" t="inlineStr">
        <is>
          <t>https://nutrio.me/auth</t>
        </is>
      </c>
      <c r="H3" s="4" t="inlineStr">
        <is>
          <t>Error message: Invalid credentials</t>
        </is>
      </c>
      <c r="I3" s="4">
        <f>IF(I3="","",IF(I3=G3,"PASS","FAIL"))</f>
        <v/>
      </c>
      <c r="J3" s="4" t="n"/>
      <c r="K3" s="4" t="n"/>
      <c r="L3" s="5" t="inlineStr">
        <is>
          <t>High</t>
        </is>
      </c>
      <c r="M3" s="4" t="n"/>
    </row>
    <row r="4" ht="90" customHeight="1" s="16">
      <c r="A4" s="4" t="inlineStr">
        <is>
          <t>TC003</t>
        </is>
      </c>
      <c r="B4" s="4" t="inlineStr">
        <is>
          <t>Customer</t>
        </is>
      </c>
      <c r="C4" s="4" t="inlineStr">
        <is>
          <t>Auth</t>
        </is>
      </c>
      <c r="D4" s="4" t="inlineStr">
        <is>
          <t>Registration</t>
        </is>
      </c>
      <c r="E4" s="4" t="inlineStr">
        <is>
          <t>New Customer Registration</t>
        </is>
      </c>
      <c r="F4" s="4" t="inlineStr">
        <is>
          <t>1. Navigate to /auth
2. Click Create Account
3. Fill all required fields
4. Click Sign Up
5. Verify email</t>
        </is>
      </c>
      <c r="G4" s="13" t="inlineStr">
        <is>
          <t>https://nutrio.me/auth</t>
        </is>
      </c>
      <c r="H4" s="4" t="inlineStr">
        <is>
          <t>Account created successfully, verification email sent</t>
        </is>
      </c>
      <c r="I4" s="4">
        <f>IF(I4="","",IF(I4=G4,"PASS","FAIL"))</f>
        <v/>
      </c>
      <c r="J4" s="4" t="n"/>
      <c r="K4" s="4" t="n"/>
      <c r="L4" s="5" t="inlineStr">
        <is>
          <t>High</t>
        </is>
      </c>
      <c r="M4" s="4" t="n"/>
    </row>
    <row r="5" ht="90" customHeight="1" s="16">
      <c r="A5" s="4" t="inlineStr">
        <is>
          <t>TC004</t>
        </is>
      </c>
      <c r="B5" s="4" t="inlineStr">
        <is>
          <t>Customer</t>
        </is>
      </c>
      <c r="C5" s="4" t="inlineStr">
        <is>
          <t>Auth</t>
        </is>
      </c>
      <c r="D5" s="4" t="inlineStr">
        <is>
          <t>Password Reset</t>
        </is>
      </c>
      <c r="E5" s="4" t="inlineStr">
        <is>
          <t>Password Reset Flow</t>
        </is>
      </c>
      <c r="F5" s="4" t="inlineStr">
        <is>
          <t>1. Click Forgot Password
2. Enter email
3. Click Reset
4. Check email
5. Click reset link
6. Enter new password</t>
        </is>
      </c>
      <c r="G5" s="13" t="inlineStr">
        <is>
          <t>https://nutrio.me/auth</t>
        </is>
      </c>
      <c r="H5" s="4" t="inlineStr">
        <is>
          <t>Password reset successful, can login with new password</t>
        </is>
      </c>
      <c r="I5" s="4">
        <f>IF(I5="","",IF(I5=G5,"PASS","FAIL"))</f>
        <v/>
      </c>
      <c r="J5" s="4" t="n"/>
      <c r="K5" s="4" t="n"/>
      <c r="L5" s="6" t="inlineStr">
        <is>
          <t>Medium</t>
        </is>
      </c>
      <c r="M5" s="4" t="n"/>
    </row>
    <row r="6" ht="75" customHeight="1" s="16">
      <c r="A6" s="4" t="inlineStr">
        <is>
          <t>TC005</t>
        </is>
      </c>
      <c r="B6" s="4" t="inlineStr">
        <is>
          <t>Customer</t>
        </is>
      </c>
      <c r="C6" s="4" t="inlineStr">
        <is>
          <t>Auth</t>
        </is>
      </c>
      <c r="D6" s="4" t="inlineStr">
        <is>
          <t>Logout</t>
        </is>
      </c>
      <c r="E6" s="4" t="inlineStr">
        <is>
          <t>Customer Logout</t>
        </is>
      </c>
      <c r="F6" s="4" t="inlineStr">
        <is>
          <t>1. Click user menu
2. Click Logout</t>
        </is>
      </c>
      <c r="G6" s="13" t="inlineStr">
        <is>
          <t>https://nutrio.me/auth</t>
        </is>
      </c>
      <c r="H6" s="4" t="inlineStr">
        <is>
          <t>User logged out, redirected to login page</t>
        </is>
      </c>
      <c r="I6" s="4">
        <f>IF(I6="","",IF(I6=G6,"PASS","FAIL"))</f>
        <v/>
      </c>
      <c r="J6" s="4" t="n"/>
      <c r="K6" s="4" t="n"/>
      <c r="L6" s="5" t="inlineStr">
        <is>
          <t>High</t>
        </is>
      </c>
      <c r="M6" s="4" t="n"/>
    </row>
    <row r="7" ht="105" customHeight="1" s="16">
      <c r="A7" s="4" t="inlineStr">
        <is>
          <t>TC006</t>
        </is>
      </c>
      <c r="B7" s="4" t="inlineStr">
        <is>
          <t>Customer</t>
        </is>
      </c>
      <c r="C7" s="4" t="inlineStr">
        <is>
          <t>Dashboard</t>
        </is>
      </c>
      <c r="D7" s="4" t="inlineStr">
        <is>
          <t>View</t>
        </is>
      </c>
      <c r="E7" s="4" t="inlineStr">
        <is>
          <t>Dashboard Load and Display</t>
        </is>
      </c>
      <c r="F7" s="4" t="inlineStr">
        <is>
          <t>1. Login as customer
2. Navigate to dashboard</t>
        </is>
      </c>
      <c r="G7" s="13" t="inlineStr">
        <is>
          <t>https://nutrio.me/dashboard</t>
        </is>
      </c>
      <c r="H7" s="4" t="inlineStr">
        <is>
          <t>Dashboard loads with subscription info, meals remaining, recent orders</t>
        </is>
      </c>
      <c r="I7" s="4">
        <f>IF(I7="","",IF(I7=G7,"PASS","FAIL"))</f>
        <v/>
      </c>
      <c r="J7" s="4" t="n"/>
      <c r="K7" s="4" t="n"/>
      <c r="L7" s="5" t="inlineStr">
        <is>
          <t>High</t>
        </is>
      </c>
      <c r="M7" s="4" t="n"/>
    </row>
    <row r="8" ht="60" customHeight="1" s="16">
      <c r="A8" s="4" t="inlineStr">
        <is>
          <t>TC007</t>
        </is>
      </c>
      <c r="B8" s="4" t="inlineStr">
        <is>
          <t>Customer</t>
        </is>
      </c>
      <c r="C8" s="4" t="inlineStr">
        <is>
          <t>Dashboard</t>
        </is>
      </c>
      <c r="D8" s="4" t="inlineStr">
        <is>
          <t>Navigation</t>
        </is>
      </c>
      <c r="E8" s="4" t="inlineStr">
        <is>
          <t>Dashboard Navigation Links</t>
        </is>
      </c>
      <c r="F8" s="4" t="inlineStr">
        <is>
          <t>1. On dashboard
2. Click each navigation link (Meals, Orders, Profile, etc.)</t>
        </is>
      </c>
      <c r="G8" s="13" t="inlineStr">
        <is>
          <t>https://nutrio.me/dashboard</t>
        </is>
      </c>
      <c r="H8" s="4" t="inlineStr">
        <is>
          <t>All links navigate to correct pages</t>
        </is>
      </c>
      <c r="I8" s="4">
        <f>IF(I8="","",IF(I8=G8,"PASS","FAIL"))</f>
        <v/>
      </c>
      <c r="J8" s="4" t="n"/>
      <c r="K8" s="4" t="n"/>
      <c r="L8" s="5" t="inlineStr">
        <is>
          <t>High</t>
        </is>
      </c>
      <c r="M8" s="4" t="n"/>
    </row>
    <row r="9" ht="60" customHeight="1" s="16">
      <c r="A9" s="4" t="inlineStr">
        <is>
          <t>TC008</t>
        </is>
      </c>
      <c r="B9" s="4" t="inlineStr">
        <is>
          <t>Customer</t>
        </is>
      </c>
      <c r="C9" s="4" t="inlineStr">
        <is>
          <t>Dashboard</t>
        </is>
      </c>
      <c r="D9" s="4" t="inlineStr">
        <is>
          <t>Quick Actions</t>
        </is>
      </c>
      <c r="E9" s="4" t="inlineStr">
        <is>
          <t>Dashboard Quick Action Buttons</t>
        </is>
      </c>
      <c r="F9" s="4" t="inlineStr">
        <is>
          <t>1. On dashboard
2. Click 'Browse Meals'
3. Click 'View Orders'
4. Click 'Refer Friends'</t>
        </is>
      </c>
      <c r="G9" s="13" t="inlineStr">
        <is>
          <t>https://nutrio.me/dashboard</t>
        </is>
      </c>
      <c r="H9" s="4" t="inlineStr">
        <is>
          <t>Each button performs correct action</t>
        </is>
      </c>
      <c r="I9" s="4">
        <f>IF(I9="","",IF(I9=G9,"PASS","FAIL"))</f>
        <v/>
      </c>
      <c r="J9" s="4" t="n"/>
      <c r="K9" s="4" t="n"/>
      <c r="L9" s="6" t="inlineStr">
        <is>
          <t>Medium</t>
        </is>
      </c>
      <c r="M9" s="4" t="n"/>
    </row>
    <row r="10" ht="75" customHeight="1" s="16">
      <c r="A10" s="4" t="inlineStr">
        <is>
          <t>TC009</t>
        </is>
      </c>
      <c r="B10" s="4" t="inlineStr">
        <is>
          <t>Customer</t>
        </is>
      </c>
      <c r="C10" s="4" t="inlineStr">
        <is>
          <t>Subscription</t>
        </is>
      </c>
      <c r="D10" s="4" t="inlineStr">
        <is>
          <t>View Plans</t>
        </is>
      </c>
      <c r="E10" s="4" t="inlineStr">
        <is>
          <t>View Subscription Plans</t>
        </is>
      </c>
      <c r="F10" s="4" t="inlineStr">
        <is>
          <t>1. Navigate to /subscription
2. View all 4 tiers</t>
        </is>
      </c>
      <c r="G10" s="13" t="inlineStr">
        <is>
          <t>https://nutrio.me/subscription/[id]</t>
        </is>
      </c>
      <c r="H10" s="4" t="inlineStr">
        <is>
          <t>All plans displayed with correct pricing and features</t>
        </is>
      </c>
      <c r="I10" s="4">
        <f>IF(I10="","",IF(I10=G10,"PASS","FAIL"))</f>
        <v/>
      </c>
      <c r="J10" s="4" t="n"/>
      <c r="K10" s="4" t="n"/>
      <c r="L10" s="5" t="inlineStr">
        <is>
          <t>High</t>
        </is>
      </c>
      <c r="M10" s="4" t="n"/>
    </row>
    <row r="11" ht="60" customHeight="1" s="16">
      <c r="A11" s="4" t="inlineStr">
        <is>
          <t>TC010</t>
        </is>
      </c>
      <c r="B11" s="4" t="inlineStr">
        <is>
          <t>Customer</t>
        </is>
      </c>
      <c r="C11" s="4" t="inlineStr">
        <is>
          <t>Subscription</t>
        </is>
      </c>
      <c r="D11" s="4" t="inlineStr">
        <is>
          <t>Subscribe Basic</t>
        </is>
      </c>
      <c r="E11" s="4" t="inlineStr">
        <is>
          <t>Subscribe to Basic Plan</t>
        </is>
      </c>
      <c r="F11" s="4" t="inlineStr">
        <is>
          <t>1. Click Basic plan
2. Click Subscribe
3. Complete Sadad payment
4. Verify subscription active</t>
        </is>
      </c>
      <c r="G11" s="13" t="inlineStr">
        <is>
          <t>https://nutrio.me/subscription</t>
        </is>
      </c>
      <c r="H11" s="4" t="inlineStr">
        <is>
          <t>Subscription activated, meals allocated</t>
        </is>
      </c>
      <c r="I11" s="4">
        <f>IF(I11="","",IF(I11=G11,"PASS","FAIL"))</f>
        <v/>
      </c>
      <c r="J11" s="4" t="n"/>
      <c r="K11" s="4" t="n"/>
      <c r="L11" s="5" t="inlineStr">
        <is>
          <t>High</t>
        </is>
      </c>
      <c r="M11" s="4" t="n"/>
    </row>
    <row r="12" ht="60" customHeight="1" s="16">
      <c r="A12" s="4" t="inlineStr">
        <is>
          <t>TC011</t>
        </is>
      </c>
      <c r="B12" s="4" t="inlineStr">
        <is>
          <t>Customer</t>
        </is>
      </c>
      <c r="C12" s="4" t="inlineStr">
        <is>
          <t>Subscription</t>
        </is>
      </c>
      <c r="D12" s="4" t="inlineStr">
        <is>
          <t>Subscribe Standard</t>
        </is>
      </c>
      <c r="E12" s="4" t="inlineStr">
        <is>
          <t>Subscribe to Standard Plan</t>
        </is>
      </c>
      <c r="F12" s="4" t="inlineStr">
        <is>
          <t>1. Click Standard plan
2. Click Subscribe
3. Complete payment</t>
        </is>
      </c>
      <c r="G12" s="13" t="inlineStr">
        <is>
          <t>https://nutrio.me/subscription</t>
        </is>
      </c>
      <c r="H12" s="4" t="inlineStr">
        <is>
          <t>Subscription activated with 10 meals/week</t>
        </is>
      </c>
      <c r="I12" s="4">
        <f>IF(I12="","",IF(I12=G12,"PASS","FAIL"))</f>
        <v/>
      </c>
      <c r="J12" s="4" t="n"/>
      <c r="K12" s="4" t="n"/>
      <c r="L12" s="5" t="inlineStr">
        <is>
          <t>High</t>
        </is>
      </c>
      <c r="M12" s="4" t="n"/>
    </row>
    <row r="13" ht="60" customHeight="1" s="16">
      <c r="A13" s="4" t="inlineStr">
        <is>
          <t>TC012</t>
        </is>
      </c>
      <c r="B13" s="4" t="inlineStr">
        <is>
          <t>Customer</t>
        </is>
      </c>
      <c r="C13" s="4" t="inlineStr">
        <is>
          <t>Subscription</t>
        </is>
      </c>
      <c r="D13" s="4" t="inlineStr">
        <is>
          <t>Subscribe Premium</t>
        </is>
      </c>
      <c r="E13" s="4" t="inlineStr">
        <is>
          <t>Subscribe to Premium Plan</t>
        </is>
      </c>
      <c r="F13" s="4" t="inlineStr">
        <is>
          <t>1. Click Premium plan
2. Complete payment</t>
        </is>
      </c>
      <c r="G13" s="13" t="inlineStr">
        <is>
          <t>https://nutrio.me/subscription</t>
        </is>
      </c>
      <c r="H13" s="4" t="inlineStr">
        <is>
          <t>Subscription activated with 15 meals/week</t>
        </is>
      </c>
      <c r="I13" s="4">
        <f>IF(I13="","",IF(I13=G13,"PASS","FAIL"))</f>
        <v/>
      </c>
      <c r="J13" s="4" t="n"/>
      <c r="K13" s="4" t="n"/>
      <c r="L13" s="5" t="inlineStr">
        <is>
          <t>High</t>
        </is>
      </c>
      <c r="M13" s="4" t="n"/>
    </row>
    <row r="14" ht="75" customHeight="1" s="16">
      <c r="A14" s="4" t="inlineStr">
        <is>
          <t>TC013</t>
        </is>
      </c>
      <c r="B14" s="4" t="inlineStr">
        <is>
          <t>Customer</t>
        </is>
      </c>
      <c r="C14" s="4" t="inlineStr">
        <is>
          <t>Subscription</t>
        </is>
      </c>
      <c r="D14" s="4" t="inlineStr">
        <is>
          <t>Subscribe VIP</t>
        </is>
      </c>
      <c r="E14" s="4" t="inlineStr">
        <is>
          <t>Subscribe to VIP Plan</t>
        </is>
      </c>
      <c r="F14" s="4" t="inlineStr">
        <is>
          <t>1. Click VIP plan
2. Complete payment</t>
        </is>
      </c>
      <c r="G14" s="13" t="inlineStr">
        <is>
          <t>https://nutrio.me/subscription</t>
        </is>
      </c>
      <c r="H14" s="4" t="inlineStr">
        <is>
          <t>Subscription activated with unlimited meals</t>
        </is>
      </c>
      <c r="I14" s="4">
        <f>IF(I14="","",IF(I14=G14,"PASS","FAIL"))</f>
        <v/>
      </c>
      <c r="J14" s="4" t="n"/>
      <c r="K14" s="4" t="n"/>
      <c r="L14" s="5" t="inlineStr">
        <is>
          <t>High</t>
        </is>
      </c>
      <c r="M14" s="4" t="n"/>
    </row>
    <row r="15" ht="75" customHeight="1" s="16">
      <c r="A15" s="4" t="inlineStr">
        <is>
          <t>TC014</t>
        </is>
      </c>
      <c r="B15" s="4" t="inlineStr">
        <is>
          <t>Customer</t>
        </is>
      </c>
      <c r="C15" s="4" t="inlineStr">
        <is>
          <t>Subscription</t>
        </is>
      </c>
      <c r="D15" s="4" t="inlineStr">
        <is>
          <t>Upgrade</t>
        </is>
      </c>
      <c r="E15" s="4" t="inlineStr">
        <is>
          <t>Upgrade Subscription Plan</t>
        </is>
      </c>
      <c r="F15" s="4" t="inlineStr">
        <is>
          <t>1. Go to subscription page
2. Click Upgrade
3. Select higher tier
4. Pay difference</t>
        </is>
      </c>
      <c r="G15" s="13" t="inlineStr">
        <is>
          <t>https://nutrio.me/subscription</t>
        </is>
      </c>
      <c r="H15" s="4" t="inlineStr">
        <is>
          <t>Plan upgraded, new meal limit applied</t>
        </is>
      </c>
      <c r="I15" s="4">
        <f>IF(I15="","",IF(I15=G15,"PASS","FAIL"))</f>
        <v/>
      </c>
      <c r="J15" s="4" t="n"/>
      <c r="K15" s="4" t="n"/>
      <c r="L15" s="6" t="inlineStr">
        <is>
          <t>Medium</t>
        </is>
      </c>
      <c r="M15" s="4" t="n"/>
    </row>
    <row r="16" ht="75" customHeight="1" s="16">
      <c r="A16" s="4" t="inlineStr">
        <is>
          <t>TC015</t>
        </is>
      </c>
      <c r="B16" s="4" t="inlineStr">
        <is>
          <t>Customer</t>
        </is>
      </c>
      <c r="C16" s="4" t="inlineStr">
        <is>
          <t>Subscription</t>
        </is>
      </c>
      <c r="D16" s="4" t="inlineStr">
        <is>
          <t>Downgrade</t>
        </is>
      </c>
      <c r="E16" s="4" t="inlineStr">
        <is>
          <t>Downgrade Subscription Plan</t>
        </is>
      </c>
      <c r="F16" s="4" t="inlineStr">
        <is>
          <t>1. Go to subscription page
2. Click Downgrade
3. Select lower tier</t>
        </is>
      </c>
      <c r="G16" s="13" t="inlineStr">
        <is>
          <t>https://nutrio.me/subscription</t>
        </is>
      </c>
      <c r="H16" s="4" t="inlineStr">
        <is>
          <t>Plan downgraded effective next billing cycle</t>
        </is>
      </c>
      <c r="I16" s="4">
        <f>IF(I16="","",IF(I16=G16,"PASS","FAIL"))</f>
        <v/>
      </c>
      <c r="J16" s="4" t="n"/>
      <c r="K16" s="4" t="n"/>
      <c r="L16" s="6" t="inlineStr">
        <is>
          <t>Medium</t>
        </is>
      </c>
      <c r="M16" s="4" t="n"/>
    </row>
    <row r="17" ht="60" customHeight="1" s="16">
      <c r="A17" s="4" t="inlineStr">
        <is>
          <t>TC016</t>
        </is>
      </c>
      <c r="B17" s="4" t="inlineStr">
        <is>
          <t>Customer</t>
        </is>
      </c>
      <c r="C17" s="4" t="inlineStr">
        <is>
          <t>Subscription</t>
        </is>
      </c>
      <c r="D17" s="4" t="inlineStr">
        <is>
          <t>Pause</t>
        </is>
      </c>
      <c r="E17" s="4" t="inlineStr">
        <is>
          <t>Pause Subscription</t>
        </is>
      </c>
      <c r="F17" s="4" t="inlineStr">
        <is>
          <t>1. Go to subscription
2. Click Pause
3. Confirm</t>
        </is>
      </c>
      <c r="G17" s="13" t="inlineStr">
        <is>
          <t>https://nutrio.me/subscription</t>
        </is>
      </c>
      <c r="H17" s="4" t="inlineStr">
        <is>
          <t>Subscription paused, no new orders possible</t>
        </is>
      </c>
      <c r="I17" s="4">
        <f>IF(I17="","",IF(I17=G17,"PASS","FAIL"))</f>
        <v/>
      </c>
      <c r="J17" s="4" t="n"/>
      <c r="K17" s="4" t="n"/>
      <c r="L17" s="6" t="inlineStr">
        <is>
          <t>Medium</t>
        </is>
      </c>
      <c r="M17" s="4" t="n"/>
    </row>
    <row r="18" ht="60" customHeight="1" s="16">
      <c r="A18" s="4" t="inlineStr">
        <is>
          <t>TC017</t>
        </is>
      </c>
      <c r="B18" s="4" t="inlineStr">
        <is>
          <t>Customer</t>
        </is>
      </c>
      <c r="C18" s="4" t="inlineStr">
        <is>
          <t>Subscription</t>
        </is>
      </c>
      <c r="D18" s="4" t="inlineStr">
        <is>
          <t>Resume</t>
        </is>
      </c>
      <c r="E18" s="4" t="inlineStr">
        <is>
          <t>Resume Subscription</t>
        </is>
      </c>
      <c r="F18" s="4" t="inlineStr">
        <is>
          <t>1. Go to subscription
2. Click Resume
3. Confirm</t>
        </is>
      </c>
      <c r="G18" s="13" t="inlineStr">
        <is>
          <t>https://nutrio.me/subscription</t>
        </is>
      </c>
      <c r="H18" s="4" t="inlineStr">
        <is>
          <t>Subscription resumed, can order again</t>
        </is>
      </c>
      <c r="I18" s="4">
        <f>IF(I18="","",IF(I18=G18,"PASS","FAIL"))</f>
        <v/>
      </c>
      <c r="J18" s="4" t="n"/>
      <c r="K18" s="4" t="n"/>
      <c r="L18" s="6" t="inlineStr">
        <is>
          <t>Medium</t>
        </is>
      </c>
      <c r="M18" s="4" t="n"/>
    </row>
    <row r="19" ht="60" customHeight="1" s="16">
      <c r="A19" s="4" t="inlineStr">
        <is>
          <t>TC018</t>
        </is>
      </c>
      <c r="B19" s="4" t="inlineStr">
        <is>
          <t>Customer</t>
        </is>
      </c>
      <c r="C19" s="4" t="inlineStr">
        <is>
          <t>Subscription</t>
        </is>
      </c>
      <c r="D19" s="4" t="inlineStr">
        <is>
          <t>Cancel</t>
        </is>
      </c>
      <c r="E19" s="4" t="inlineStr">
        <is>
          <t>Cancel Subscription</t>
        </is>
      </c>
      <c r="F19" s="4" t="inlineStr">
        <is>
          <t>1. Go to subscription
2. Click Cancel
3. Confirm cancellation</t>
        </is>
      </c>
      <c r="G19" s="13" t="inlineStr">
        <is>
          <t>https://nutrio.me/subscription</t>
        </is>
      </c>
      <c r="H19" s="4" t="inlineStr">
        <is>
          <t>Subscription cancelled, access until end date</t>
        </is>
      </c>
      <c r="I19" s="4">
        <f>IF(I19="","",IF(I19=G19,"PASS","FAIL"))</f>
        <v/>
      </c>
      <c r="J19" s="4" t="n"/>
      <c r="K19" s="4" t="n"/>
      <c r="L19" s="6" t="inlineStr">
        <is>
          <t>Medium</t>
        </is>
      </c>
      <c r="M19" s="4" t="n"/>
    </row>
    <row r="20" ht="75" customHeight="1" s="16">
      <c r="A20" s="4" t="inlineStr">
        <is>
          <t>TC019</t>
        </is>
      </c>
      <c r="B20" s="4" t="inlineStr">
        <is>
          <t>Customer</t>
        </is>
      </c>
      <c r="C20" s="4" t="inlineStr">
        <is>
          <t>Subscription</t>
        </is>
      </c>
      <c r="D20" s="4" t="inlineStr">
        <is>
          <t>Usage Display</t>
        </is>
      </c>
      <c r="E20" s="4" t="inlineStr">
        <is>
          <t>Check Weekly Meal Usage</t>
        </is>
      </c>
      <c r="F20" s="4" t="inlineStr">
        <is>
          <t>1. Go to dashboard
2. View meals remaining indicator</t>
        </is>
      </c>
      <c r="G20" s="13" t="inlineStr">
        <is>
          <t>https://nutrio.me/subscription</t>
        </is>
      </c>
      <c r="H20" s="4" t="inlineStr">
        <is>
          <t>Correct number of meals remaining displayed</t>
        </is>
      </c>
      <c r="I20" s="4">
        <f>IF(I20="","",IF(I20=G20,"PASS","FAIL"))</f>
        <v/>
      </c>
      <c r="J20" s="4" t="n"/>
      <c r="K20" s="4" t="n"/>
      <c r="L20" s="5" t="inlineStr">
        <is>
          <t>High</t>
        </is>
      </c>
      <c r="M20" s="4" t="n"/>
    </row>
    <row r="21" ht="105" customHeight="1" s="16">
      <c r="A21" s="4" t="inlineStr">
        <is>
          <t>TC020</t>
        </is>
      </c>
      <c r="B21" s="4" t="inlineStr">
        <is>
          <t>Customer</t>
        </is>
      </c>
      <c r="C21" s="4" t="inlineStr">
        <is>
          <t>Meals</t>
        </is>
      </c>
      <c r="D21" s="4" t="inlineStr">
        <is>
          <t>Browse</t>
        </is>
      </c>
      <c r="E21" s="4" t="inlineStr">
        <is>
          <t>Browse All Meals</t>
        </is>
      </c>
      <c r="F21" s="4" t="inlineStr">
        <is>
          <t>1. Navigate to /meals
2. View meal listings</t>
        </is>
      </c>
      <c r="G21" s="13" t="inlineStr">
        <is>
          <t>https://nutrio.me/meals</t>
        </is>
      </c>
      <c r="H21" s="4" t="inlineStr">
        <is>
          <t>All available meals displayed with images, names, restaurants</t>
        </is>
      </c>
      <c r="I21" s="4">
        <f>IF(I21="","",IF(I21=G21,"PASS","FAIL"))</f>
        <v/>
      </c>
      <c r="J21" s="4" t="n"/>
      <c r="K21" s="4" t="n"/>
      <c r="L21" s="5" t="inlineStr">
        <is>
          <t>High</t>
        </is>
      </c>
      <c r="M21" s="4" t="n"/>
    </row>
    <row r="22" ht="75" customHeight="1" s="16">
      <c r="A22" s="4" t="inlineStr">
        <is>
          <t>TC021</t>
        </is>
      </c>
      <c r="B22" s="4" t="inlineStr">
        <is>
          <t>Customer</t>
        </is>
      </c>
      <c r="C22" s="4" t="inlineStr">
        <is>
          <t>Meals</t>
        </is>
      </c>
      <c r="D22" s="4" t="inlineStr">
        <is>
          <t>Filter Restaurant</t>
        </is>
      </c>
      <c r="E22" s="4" t="inlineStr">
        <is>
          <t>Filter by Restaurant</t>
        </is>
      </c>
      <c r="F22" s="4" t="inlineStr">
        <is>
          <t>1. On meals page
2. Click restaurant filter
3. Select specific restaurant</t>
        </is>
      </c>
      <c r="G22" s="13" t="inlineStr">
        <is>
          <t>https://nutrio.me/meals?filter=[value]</t>
        </is>
      </c>
      <c r="H22" s="4" t="inlineStr">
        <is>
          <t>Only meals from selected restaurant displayed</t>
        </is>
      </c>
      <c r="I22" s="4">
        <f>IF(I22="","",IF(I22=G22,"PASS","FAIL"))</f>
        <v/>
      </c>
      <c r="J22" s="4" t="n"/>
      <c r="K22" s="4" t="n"/>
      <c r="L22" s="5" t="inlineStr">
        <is>
          <t>High</t>
        </is>
      </c>
      <c r="M22" s="4" t="n"/>
    </row>
    <row r="23" ht="45" customHeight="1" s="16">
      <c r="A23" s="4" t="inlineStr">
        <is>
          <t>TC022</t>
        </is>
      </c>
      <c r="B23" s="4" t="inlineStr">
        <is>
          <t>Customer</t>
        </is>
      </c>
      <c r="C23" s="4" t="inlineStr">
        <is>
          <t>Meals</t>
        </is>
      </c>
      <c r="D23" s="4" t="inlineStr">
        <is>
          <t>Filter Diet</t>
        </is>
      </c>
      <c r="E23" s="4" t="inlineStr">
        <is>
          <t>Filter by Dietary Tags</t>
        </is>
      </c>
      <c r="F23" s="4" t="inlineStr">
        <is>
          <t>1. On meals page
2. Click diet filter
3. Select 'Keto'</t>
        </is>
      </c>
      <c r="G23" s="13" t="inlineStr">
        <is>
          <t>https://nutrio.me/meals?filter=[value]</t>
        </is>
      </c>
      <c r="H23" s="4" t="inlineStr">
        <is>
          <t>Only keto meals displayed</t>
        </is>
      </c>
      <c r="I23" s="4">
        <f>IF(I23="","",IF(I23=G23,"PASS","FAIL"))</f>
        <v/>
      </c>
      <c r="J23" s="4" t="n"/>
      <c r="K23" s="4" t="n"/>
      <c r="L23" s="5" t="inlineStr">
        <is>
          <t>High</t>
        </is>
      </c>
      <c r="M23" s="4" t="n"/>
    </row>
    <row r="24" ht="75" customHeight="1" s="16">
      <c r="A24" s="4" t="inlineStr">
        <is>
          <t>TC023</t>
        </is>
      </c>
      <c r="B24" s="4" t="inlineStr">
        <is>
          <t>Customer</t>
        </is>
      </c>
      <c r="C24" s="4" t="inlineStr">
        <is>
          <t>Meals</t>
        </is>
      </c>
      <c r="D24" s="4" t="inlineStr">
        <is>
          <t>Filter Calories</t>
        </is>
      </c>
      <c r="E24" s="4" t="inlineStr">
        <is>
          <t>Filter by Calories</t>
        </is>
      </c>
      <c r="F24" s="4" t="inlineStr">
        <is>
          <t>1. On meals page
2. Set calorie range
3. Apply filter</t>
        </is>
      </c>
      <c r="G24" s="13" t="inlineStr">
        <is>
          <t>https://nutrio.me/meals?filter=[value]</t>
        </is>
      </c>
      <c r="H24" s="4" t="inlineStr">
        <is>
          <t>Meals within calorie range displayed</t>
        </is>
      </c>
      <c r="I24" s="4">
        <f>IF(I24="","",IF(I24=G24,"PASS","FAIL"))</f>
        <v/>
      </c>
      <c r="J24" s="4" t="n"/>
      <c r="K24" s="4" t="n"/>
      <c r="L24" s="6" t="inlineStr">
        <is>
          <t>Medium</t>
        </is>
      </c>
      <c r="M24" s="4" t="n"/>
    </row>
    <row r="25" ht="75" customHeight="1" s="16">
      <c r="A25" s="4" t="inlineStr">
        <is>
          <t>TC024</t>
        </is>
      </c>
      <c r="B25" s="4" t="inlineStr">
        <is>
          <t>Customer</t>
        </is>
      </c>
      <c r="C25" s="4" t="inlineStr">
        <is>
          <t>Meals</t>
        </is>
      </c>
      <c r="D25" s="4" t="inlineStr">
        <is>
          <t>Search</t>
        </is>
      </c>
      <c r="E25" s="4" t="inlineStr">
        <is>
          <t>Search Meals</t>
        </is>
      </c>
      <c r="F25" s="4" t="inlineStr">
        <is>
          <t>1. Enter search term in search box
2. Press Enter</t>
        </is>
      </c>
      <c r="G25" s="13" t="inlineStr">
        <is>
          <t>https://nutrio.me/meals?q=[search-term]</t>
        </is>
      </c>
      <c r="H25" s="4" t="inlineStr">
        <is>
          <t>Search results displayed matching query</t>
        </is>
      </c>
      <c r="I25" s="4">
        <f>IF(I25="","",IF(I25=G25,"PASS","FAIL"))</f>
        <v/>
      </c>
      <c r="J25" s="4" t="n"/>
      <c r="K25" s="4" t="n"/>
      <c r="L25" s="5" t="inlineStr">
        <is>
          <t>High</t>
        </is>
      </c>
      <c r="M25" s="4" t="n"/>
    </row>
    <row r="26" ht="105" customHeight="1" s="16">
      <c r="A26" s="4" t="inlineStr">
        <is>
          <t>TC025</t>
        </is>
      </c>
      <c r="B26" s="4" t="inlineStr">
        <is>
          <t>Customer</t>
        </is>
      </c>
      <c r="C26" s="4" t="inlineStr">
        <is>
          <t>Meals</t>
        </is>
      </c>
      <c r="D26" s="4" t="inlineStr">
        <is>
          <t>Meal Details</t>
        </is>
      </c>
      <c r="E26" s="4" t="inlineStr">
        <is>
          <t>View Meal Details</t>
        </is>
      </c>
      <c r="F26" s="4" t="inlineStr">
        <is>
          <t>1. Click on any meal card
2. View details page</t>
        </is>
      </c>
      <c r="G26" s="13" t="inlineStr">
        <is>
          <t>https://nutrio.me/meals/[id]</t>
        </is>
      </c>
      <c r="H26" s="4" t="inlineStr">
        <is>
          <t>Full meal info displayed: ingredients, nutrition, prep time, restaurant</t>
        </is>
      </c>
      <c r="I26" s="4">
        <f>IF(I26="","",IF(I26=G26,"PASS","FAIL"))</f>
        <v/>
      </c>
      <c r="J26" s="4" t="n"/>
      <c r="K26" s="4" t="n"/>
      <c r="L26" s="5" t="inlineStr">
        <is>
          <t>High</t>
        </is>
      </c>
      <c r="M26" s="4" t="n"/>
    </row>
    <row r="27" ht="60" customHeight="1" s="16">
      <c r="A27" s="4" t="inlineStr">
        <is>
          <t>TC026</t>
        </is>
      </c>
      <c r="B27" s="4" t="inlineStr">
        <is>
          <t>Customer</t>
        </is>
      </c>
      <c r="C27" s="4" t="inlineStr">
        <is>
          <t>Meals</t>
        </is>
      </c>
      <c r="D27" s="4" t="inlineStr">
        <is>
          <t>Add to Order</t>
        </is>
      </c>
      <c r="E27" s="4" t="inlineStr">
        <is>
          <t>Add Meal to Order</t>
        </is>
      </c>
      <c r="F27" s="4" t="inlineStr">
        <is>
          <t>1. On meal details
2. Click 'Add to Order'
3. Select quantity</t>
        </is>
      </c>
      <c r="G27" s="13" t="inlineStr">
        <is>
          <t>https://nutrio.me/meals/new</t>
        </is>
      </c>
      <c r="H27" s="4" t="inlineStr">
        <is>
          <t>Meal added to cart, confirmation shown</t>
        </is>
      </c>
      <c r="I27" s="4">
        <f>IF(I27="","",IF(I27=G27,"PASS","FAIL"))</f>
        <v/>
      </c>
      <c r="J27" s="4" t="n"/>
      <c r="K27" s="4" t="n"/>
      <c r="L27" s="5" t="inlineStr">
        <is>
          <t>High</t>
        </is>
      </c>
      <c r="M27" s="4" t="n"/>
    </row>
    <row r="28" ht="90" customHeight="1" s="16">
      <c r="A28" s="4" t="inlineStr">
        <is>
          <t>TC027</t>
        </is>
      </c>
      <c r="B28" s="4" t="inlineStr">
        <is>
          <t>Customer</t>
        </is>
      </c>
      <c r="C28" s="4" t="inlineStr">
        <is>
          <t>Meals</t>
        </is>
      </c>
      <c r="D28" s="4" t="inlineStr">
        <is>
          <t>Limit Check</t>
        </is>
      </c>
      <c r="E28" s="4" t="inlineStr">
        <is>
          <t>Order with Meal Limit</t>
        </is>
      </c>
      <c r="F28" s="4" t="inlineStr">
        <is>
          <t>1. Use all weekly meals
2. Try to add another meal</t>
        </is>
      </c>
      <c r="G28" s="13" t="inlineStr">
        <is>
          <t>https://nutrio.me/meals</t>
        </is>
      </c>
      <c r="H28" s="4" t="inlineStr">
        <is>
          <t>'Add to Order' button disabled or warning shown</t>
        </is>
      </c>
      <c r="I28" s="4">
        <f>IF(I28="","",IF(I28=G28,"PASS","FAIL"))</f>
        <v/>
      </c>
      <c r="J28" s="4" t="n"/>
      <c r="K28" s="4" t="n"/>
      <c r="L28" s="5" t="inlineStr">
        <is>
          <t>High</t>
        </is>
      </c>
      <c r="M28" s="4" t="n"/>
    </row>
    <row r="29" ht="45" customHeight="1" s="16">
      <c r="A29" s="4" t="inlineStr">
        <is>
          <t>TC028</t>
        </is>
      </c>
      <c r="B29" s="4" t="inlineStr">
        <is>
          <t>Customer</t>
        </is>
      </c>
      <c r="C29" s="4" t="inlineStr">
        <is>
          <t>Meals</t>
        </is>
      </c>
      <c r="D29" s="4" t="inlineStr">
        <is>
          <t>Favorites</t>
        </is>
      </c>
      <c r="E29" s="4" t="inlineStr">
        <is>
          <t>Add to Favorites</t>
        </is>
      </c>
      <c r="F29" s="4" t="inlineStr">
        <is>
          <t>1. Click heart icon on meal
2. Go to favorites page</t>
        </is>
      </c>
      <c r="G29" s="13" t="inlineStr">
        <is>
          <t>https://nutrio.me/meals/new</t>
        </is>
      </c>
      <c r="H29" s="4" t="inlineStr">
        <is>
          <t>Meal appears in favorites list</t>
        </is>
      </c>
      <c r="I29" s="4">
        <f>IF(I29="","",IF(I29=G29,"PASS","FAIL"))</f>
        <v/>
      </c>
      <c r="J29" s="4" t="n"/>
      <c r="K29" s="4" t="n"/>
      <c r="L29" s="4" t="inlineStr">
        <is>
          <t>Low</t>
        </is>
      </c>
      <c r="M29" s="4" t="n"/>
    </row>
    <row r="30" ht="90" customHeight="1" s="16">
      <c r="A30" s="4" t="inlineStr">
        <is>
          <t>TC029</t>
        </is>
      </c>
      <c r="B30" s="4" t="inlineStr">
        <is>
          <t>Customer</t>
        </is>
      </c>
      <c r="C30" s="4" t="inlineStr">
        <is>
          <t>Orders</t>
        </is>
      </c>
      <c r="D30" s="4" t="inlineStr">
        <is>
          <t>Place Order</t>
        </is>
      </c>
      <c r="E30" s="4" t="inlineStr">
        <is>
          <t>Complete Order Placement</t>
        </is>
      </c>
      <c r="F30" s="4" t="inlineStr">
        <is>
          <t>1. Add meals to cart
2. Go to checkout
3. Select delivery time
4. Confirm order</t>
        </is>
      </c>
      <c r="G30" s="13" t="inlineStr">
        <is>
          <t>https://nutrio.me/orders</t>
        </is>
      </c>
      <c r="H30" s="4" t="inlineStr">
        <is>
          <t>Order placed successfully, confirmation shown</t>
        </is>
      </c>
      <c r="I30" s="4">
        <f>IF(I30="","",IF(I30=G30,"PASS","FAIL"))</f>
        <v/>
      </c>
      <c r="J30" s="4" t="n"/>
      <c r="K30" s="4" t="n"/>
      <c r="L30" s="7" t="inlineStr">
        <is>
          <t>Critical</t>
        </is>
      </c>
      <c r="M30" s="4" t="n"/>
    </row>
    <row r="31" ht="60" customHeight="1" s="16">
      <c r="A31" s="4" t="inlineStr">
        <is>
          <t>TC030</t>
        </is>
      </c>
      <c r="B31" s="4" t="inlineStr">
        <is>
          <t>Customer</t>
        </is>
      </c>
      <c r="C31" s="4" t="inlineStr">
        <is>
          <t>Orders</t>
        </is>
      </c>
      <c r="D31" s="4" t="inlineStr">
        <is>
          <t>View Orders</t>
        </is>
      </c>
      <c r="E31" s="4" t="inlineStr">
        <is>
          <t>View Order History</t>
        </is>
      </c>
      <c r="F31" s="4" t="inlineStr">
        <is>
          <t>1. Navigate to /orders
2. View order list</t>
        </is>
      </c>
      <c r="G31" s="13" t="inlineStr">
        <is>
          <t>https://nutrio.me/orders/[id]</t>
        </is>
      </c>
      <c r="H31" s="4" t="inlineStr">
        <is>
          <t>All past orders displayed with status</t>
        </is>
      </c>
      <c r="I31" s="4">
        <f>IF(I31="","",IF(I31=G31,"PASS","FAIL"))</f>
        <v/>
      </c>
      <c r="J31" s="4" t="n"/>
      <c r="K31" s="4" t="n"/>
      <c r="L31" s="5" t="inlineStr">
        <is>
          <t>High</t>
        </is>
      </c>
      <c r="M31" s="4" t="n"/>
    </row>
    <row r="32" ht="75" customHeight="1" s="16">
      <c r="A32" s="4" t="inlineStr">
        <is>
          <t>TC031</t>
        </is>
      </c>
      <c r="B32" s="4" t="inlineStr">
        <is>
          <t>Customer</t>
        </is>
      </c>
      <c r="C32" s="4" t="inlineStr">
        <is>
          <t>Orders</t>
        </is>
      </c>
      <c r="D32" s="4" t="inlineStr">
        <is>
          <t>Order Details</t>
        </is>
      </c>
      <c r="E32" s="4" t="inlineStr">
        <is>
          <t>View Order Details</t>
        </is>
      </c>
      <c r="F32" s="4" t="inlineStr">
        <is>
          <t>1. Click on any order
2. View details</t>
        </is>
      </c>
      <c r="G32" s="13" t="inlineStr">
        <is>
          <t>https://nutrio.me/orders/[id]</t>
        </is>
      </c>
      <c r="H32" s="4" t="inlineStr">
        <is>
          <t>Full order info: items, status, restaurant, total</t>
        </is>
      </c>
      <c r="I32" s="4">
        <f>IF(I32="","",IF(I32=G32,"PASS","FAIL"))</f>
        <v/>
      </c>
      <c r="J32" s="4" t="n"/>
      <c r="K32" s="4" t="n"/>
      <c r="L32" s="5" t="inlineStr">
        <is>
          <t>High</t>
        </is>
      </c>
      <c r="M32" s="4" t="n"/>
    </row>
    <row r="33" ht="60" customHeight="1" s="16">
      <c r="A33" s="4" t="inlineStr">
        <is>
          <t>TC032</t>
        </is>
      </c>
      <c r="B33" s="4" t="inlineStr">
        <is>
          <t>Customer</t>
        </is>
      </c>
      <c r="C33" s="4" t="inlineStr">
        <is>
          <t>Orders</t>
        </is>
      </c>
      <c r="D33" s="4" t="inlineStr">
        <is>
          <t>Track Order</t>
        </is>
      </c>
      <c r="E33" s="4" t="inlineStr">
        <is>
          <t>Track Order Status</t>
        </is>
      </c>
      <c r="F33" s="4" t="inlineStr">
        <is>
          <t>1. Go to active order
2. View status timeline</t>
        </is>
      </c>
      <c r="G33" s="13" t="inlineStr">
        <is>
          <t>https://nutrio.me/orders</t>
        </is>
      </c>
      <c r="H33" s="4" t="inlineStr">
        <is>
          <t>Current status and history displayed</t>
        </is>
      </c>
      <c r="I33" s="4">
        <f>IF(I33="","",IF(I33=G33,"PASS","FAIL"))</f>
        <v/>
      </c>
      <c r="J33" s="4" t="n"/>
      <c r="K33" s="4" t="n"/>
      <c r="L33" s="5" t="inlineStr">
        <is>
          <t>High</t>
        </is>
      </c>
      <c r="M33" s="4" t="n"/>
    </row>
    <row r="34" ht="75" customHeight="1" s="16">
      <c r="A34" s="4" t="inlineStr">
        <is>
          <t>TC033</t>
        </is>
      </c>
      <c r="B34" s="4" t="inlineStr">
        <is>
          <t>Customer</t>
        </is>
      </c>
      <c r="C34" s="4" t="inlineStr">
        <is>
          <t>Orders</t>
        </is>
      </c>
      <c r="D34" s="4" t="inlineStr">
        <is>
          <t>Cancel Order</t>
        </is>
      </c>
      <c r="E34" s="4" t="inlineStr">
        <is>
          <t>Cancel Pending Order</t>
        </is>
      </c>
      <c r="F34" s="4" t="inlineStr">
        <is>
          <t>1. Go to order details
2. Click Cancel
3. Confirm</t>
        </is>
      </c>
      <c r="G34" s="13" t="inlineStr">
        <is>
          <t>https://nutrio.me/orders</t>
        </is>
      </c>
      <c r="H34" s="4" t="inlineStr">
        <is>
          <t>Order cancelled, meals refunded to weekly limit</t>
        </is>
      </c>
      <c r="I34" s="4">
        <f>IF(I34="","",IF(I34=G34,"PASS","FAIL"))</f>
        <v/>
      </c>
      <c r="J34" s="4" t="n"/>
      <c r="K34" s="4" t="n"/>
      <c r="L34" s="6" t="inlineStr">
        <is>
          <t>Medium</t>
        </is>
      </c>
      <c r="M34" s="4" t="n"/>
    </row>
    <row r="35" ht="75" customHeight="1" s="16">
      <c r="A35" s="4" t="inlineStr">
        <is>
          <t>TC034</t>
        </is>
      </c>
      <c r="B35" s="4" t="inlineStr">
        <is>
          <t>Customer</t>
        </is>
      </c>
      <c r="C35" s="4" t="inlineStr">
        <is>
          <t>Orders</t>
        </is>
      </c>
      <c r="D35" s="4" t="inlineStr">
        <is>
          <t>Rate Order</t>
        </is>
      </c>
      <c r="E35" s="4" t="inlineStr">
        <is>
          <t>Rate Completed Order</t>
        </is>
      </c>
      <c r="F35" s="4" t="inlineStr">
        <is>
          <t>1. Go to completed order
2. Click Rate
3. Select stars
4. Add comment</t>
        </is>
      </c>
      <c r="G35" s="13" t="inlineStr">
        <is>
          <t>https://nutrio.me/orders</t>
        </is>
      </c>
      <c r="H35" s="4" t="inlineStr">
        <is>
          <t>Rating submitted, thank you message shown</t>
        </is>
      </c>
      <c r="I35" s="4">
        <f>IF(I35="","",IF(I35=G35,"PASS","FAIL"))</f>
        <v/>
      </c>
      <c r="J35" s="4" t="n"/>
      <c r="K35" s="4" t="n"/>
      <c r="L35" s="6" t="inlineStr">
        <is>
          <t>Medium</t>
        </is>
      </c>
      <c r="M35" s="4" t="n"/>
    </row>
    <row r="36" ht="75" customHeight="1" s="16">
      <c r="A36" s="4" t="inlineStr">
        <is>
          <t>TC035</t>
        </is>
      </c>
      <c r="B36" s="4" t="inlineStr">
        <is>
          <t>Customer</t>
        </is>
      </c>
      <c r="C36" s="4" t="inlineStr">
        <is>
          <t>Orders</t>
        </is>
      </c>
      <c r="D36" s="4" t="inlineStr">
        <is>
          <t>Reorder</t>
        </is>
      </c>
      <c r="E36" s="4" t="inlineStr">
        <is>
          <t>Reorder Previous Order</t>
        </is>
      </c>
      <c r="F36" s="4" t="inlineStr">
        <is>
          <t>1. Go to past order
2. Click Reorder
3. Confirm</t>
        </is>
      </c>
      <c r="G36" s="13" t="inlineStr">
        <is>
          <t>https://nutrio.me/orders</t>
        </is>
      </c>
      <c r="H36" s="4" t="inlineStr">
        <is>
          <t>Items added to cart, can modify before checkout</t>
        </is>
      </c>
      <c r="I36" s="4">
        <f>IF(I36="","",IF(I36=G36,"PASS","FAIL"))</f>
        <v/>
      </c>
      <c r="J36" s="4" t="n"/>
      <c r="K36" s="4" t="n"/>
      <c r="L36" s="6" t="inlineStr">
        <is>
          <t>Medium</t>
        </is>
      </c>
      <c r="M36" s="4" t="n"/>
    </row>
    <row r="37" ht="105" customHeight="1" s="16">
      <c r="A37" s="4" t="inlineStr">
        <is>
          <t>TC036</t>
        </is>
      </c>
      <c r="B37" s="4" t="inlineStr">
        <is>
          <t>Customer</t>
        </is>
      </c>
      <c r="C37" s="4" t="inlineStr">
        <is>
          <t>Profile</t>
        </is>
      </c>
      <c r="D37" s="4" t="inlineStr">
        <is>
          <t>View Profile</t>
        </is>
      </c>
      <c r="E37" s="4" t="inlineStr">
        <is>
          <t>View User Profile</t>
        </is>
      </c>
      <c r="F37" s="4" t="inlineStr">
        <is>
          <t>1. Click profile menu
2. View profile page</t>
        </is>
      </c>
      <c r="G37" s="13" t="inlineStr">
        <is>
          <t>https://nutrio.me/profile/[id]</t>
        </is>
      </c>
      <c r="H37" s="4" t="inlineStr">
        <is>
          <t>Profile info displayed: name, email, subscription, referral code</t>
        </is>
      </c>
      <c r="I37" s="4">
        <f>IF(I37="","",IF(I37=G37,"PASS","FAIL"))</f>
        <v/>
      </c>
      <c r="J37" s="4" t="n"/>
      <c r="K37" s="4" t="n"/>
      <c r="L37" s="5" t="inlineStr">
        <is>
          <t>High</t>
        </is>
      </c>
      <c r="M37" s="4" t="n"/>
    </row>
    <row r="38" ht="60" customHeight="1" s="16">
      <c r="A38" s="4" t="inlineStr">
        <is>
          <t>TC037</t>
        </is>
      </c>
      <c r="B38" s="4" t="inlineStr">
        <is>
          <t>Customer</t>
        </is>
      </c>
      <c r="C38" s="4" t="inlineStr">
        <is>
          <t>Profile</t>
        </is>
      </c>
      <c r="D38" s="4" t="inlineStr">
        <is>
          <t>Edit Profile</t>
        </is>
      </c>
      <c r="E38" s="4" t="inlineStr">
        <is>
          <t>Edit Profile Information</t>
        </is>
      </c>
      <c r="F38" s="4" t="inlineStr">
        <is>
          <t>1. Go to profile
2. Click Edit
3. Change name/phone
4. Save</t>
        </is>
      </c>
      <c r="G38" s="13" t="inlineStr">
        <is>
          <t>https://nutrio.me/profile/[id]/edit</t>
        </is>
      </c>
      <c r="H38" s="4" t="inlineStr">
        <is>
          <t>Profile updated successfully</t>
        </is>
      </c>
      <c r="I38" s="4">
        <f>IF(I38="","",IF(I38=G38,"PASS","FAIL"))</f>
        <v/>
      </c>
      <c r="J38" s="4" t="n"/>
      <c r="K38" s="4" t="n"/>
      <c r="L38" s="6" t="inlineStr">
        <is>
          <t>Medium</t>
        </is>
      </c>
      <c r="M38" s="4" t="n"/>
    </row>
    <row r="39" ht="60" customHeight="1" s="16">
      <c r="A39" s="4" t="inlineStr">
        <is>
          <t>TC038</t>
        </is>
      </c>
      <c r="B39" s="4" t="inlineStr">
        <is>
          <t>Customer</t>
        </is>
      </c>
      <c r="C39" s="4" t="inlineStr">
        <is>
          <t>Profile</t>
        </is>
      </c>
      <c r="D39" s="4" t="inlineStr">
        <is>
          <t>Change Password</t>
        </is>
      </c>
      <c r="E39" s="4" t="inlineStr">
        <is>
          <t>Change Password</t>
        </is>
      </c>
      <c r="F39" s="4" t="inlineStr">
        <is>
          <t>1. Go to profile
2. Click Change Password
3. Enter old and new password
4. Save</t>
        </is>
      </c>
      <c r="G39" s="13" t="inlineStr">
        <is>
          <t>https://nutrio.me/profile</t>
        </is>
      </c>
      <c r="H39" s="4" t="inlineStr">
        <is>
          <t>Password changed, confirmation shown</t>
        </is>
      </c>
      <c r="I39" s="4">
        <f>IF(I39="","",IF(I39=G39,"PASS","FAIL"))</f>
        <v/>
      </c>
      <c r="J39" s="4" t="n"/>
      <c r="K39" s="4" t="n"/>
      <c r="L39" s="6" t="inlineStr">
        <is>
          <t>Medium</t>
        </is>
      </c>
      <c r="M39" s="4" t="n"/>
    </row>
    <row r="40" ht="60" customHeight="1" s="16">
      <c r="A40" s="4" t="inlineStr">
        <is>
          <t>TC039</t>
        </is>
      </c>
      <c r="B40" s="4" t="inlineStr">
        <is>
          <t>Customer</t>
        </is>
      </c>
      <c r="C40" s="4" t="inlineStr">
        <is>
          <t>Profile</t>
        </is>
      </c>
      <c r="D40" s="4" t="inlineStr">
        <is>
          <t>Update Address</t>
        </is>
      </c>
      <c r="E40" s="4" t="inlineStr">
        <is>
          <t>Update Delivery Address</t>
        </is>
      </c>
      <c r="F40" s="4" t="inlineStr">
        <is>
          <t>1. Go to profile
2. Click Addresses
3. Add/Edit address
4. Save</t>
        </is>
      </c>
      <c r="G40" s="13" t="inlineStr">
        <is>
          <t>https://nutrio.me/profile/[id]/edit</t>
        </is>
      </c>
      <c r="H40" s="4" t="inlineStr">
        <is>
          <t>Address updated for future orders</t>
        </is>
      </c>
      <c r="I40" s="4">
        <f>IF(I40="","",IF(I40=G40,"PASS","FAIL"))</f>
        <v/>
      </c>
      <c r="J40" s="4" t="n"/>
      <c r="K40" s="4" t="n"/>
      <c r="L40" s="5" t="inlineStr">
        <is>
          <t>High</t>
        </is>
      </c>
      <c r="M40" s="4" t="n"/>
    </row>
    <row r="41" ht="75" customHeight="1" s="16">
      <c r="A41" s="4" t="inlineStr">
        <is>
          <t>TC040</t>
        </is>
      </c>
      <c r="B41" s="4" t="inlineStr">
        <is>
          <t>Customer</t>
        </is>
      </c>
      <c r="C41" s="4" t="inlineStr">
        <is>
          <t>Profile</t>
        </is>
      </c>
      <c r="D41" s="4" t="inlineStr">
        <is>
          <t>Dietary Preferences</t>
        </is>
      </c>
      <c r="E41" s="4" t="inlineStr">
        <is>
          <t>Set Dietary Preferences</t>
        </is>
      </c>
      <c r="F41" s="4" t="inlineStr">
        <is>
          <t>1. Go to profile
2. Click Preferences
3. Select dietary tags
4. Save</t>
        </is>
      </c>
      <c r="G41" s="13" t="inlineStr">
        <is>
          <t>https://nutrio.me/profile</t>
        </is>
      </c>
      <c r="H41" s="4" t="inlineStr">
        <is>
          <t>Preferences saved, used for meal recommendations</t>
        </is>
      </c>
      <c r="I41" s="4">
        <f>IF(I41="","",IF(I41=G41,"PASS","FAIL"))</f>
        <v/>
      </c>
      <c r="J41" s="4" t="n"/>
      <c r="K41" s="4" t="n"/>
      <c r="L41" s="4" t="inlineStr">
        <is>
          <t>Low</t>
        </is>
      </c>
      <c r="M41" s="4" t="n"/>
    </row>
    <row r="42" ht="60" customHeight="1" s="16">
      <c r="A42" s="4" t="inlineStr">
        <is>
          <t>TC041</t>
        </is>
      </c>
      <c r="B42" s="4" t="inlineStr">
        <is>
          <t>Customer</t>
        </is>
      </c>
      <c r="C42" s="4" t="inlineStr">
        <is>
          <t>Profile</t>
        </is>
      </c>
      <c r="D42" s="4" t="inlineStr">
        <is>
          <t>View Referral</t>
        </is>
      </c>
      <c r="E42" s="4" t="inlineStr">
        <is>
          <t>View Referral Code</t>
        </is>
      </c>
      <c r="F42" s="4" t="inlineStr">
        <is>
          <t>1. Go to profile
2. View referral section</t>
        </is>
      </c>
      <c r="G42" s="13" t="inlineStr">
        <is>
          <t>https://nutrio.me/profile/[id]</t>
        </is>
      </c>
      <c r="H42" s="4" t="inlineStr">
        <is>
          <t>Unique referral code displayed</t>
        </is>
      </c>
      <c r="I42" s="4">
        <f>IF(I42="","",IF(I42=G42,"PASS","FAIL"))</f>
        <v/>
      </c>
      <c r="J42" s="4" t="n"/>
      <c r="K42" s="4" t="n"/>
      <c r="L42" s="6" t="inlineStr">
        <is>
          <t>Medium</t>
        </is>
      </c>
      <c r="M42" s="4" t="n"/>
    </row>
    <row r="43" ht="45" customHeight="1" s="16">
      <c r="A43" s="4" t="inlineStr">
        <is>
          <t>TC042</t>
        </is>
      </c>
      <c r="B43" s="4" t="inlineStr">
        <is>
          <t>Customer</t>
        </is>
      </c>
      <c r="C43" s="4" t="inlineStr">
        <is>
          <t>Profile</t>
        </is>
      </c>
      <c r="D43" s="4" t="inlineStr">
        <is>
          <t>Share Referral</t>
        </is>
      </c>
      <c r="E43" s="4" t="inlineStr">
        <is>
          <t>Share Referral Code</t>
        </is>
      </c>
      <c r="F43" s="4" t="inlineStr">
        <is>
          <t>1. Click Share
2. Select WhatsApp
3. Send to contact</t>
        </is>
      </c>
      <c r="G43" s="13" t="inlineStr">
        <is>
          <t>https://nutrio.me/profile</t>
        </is>
      </c>
      <c r="H43" s="4" t="inlineStr">
        <is>
          <t>Referral link shared via WhatsApp</t>
        </is>
      </c>
      <c r="I43" s="4">
        <f>IF(I43="","",IF(I43=G43,"PASS","FAIL"))</f>
        <v/>
      </c>
      <c r="J43" s="4" t="n"/>
      <c r="K43" s="4" t="n"/>
      <c r="L43" s="6" t="inlineStr">
        <is>
          <t>Medium</t>
        </is>
      </c>
      <c r="M43" s="4" t="n"/>
    </row>
    <row r="44" ht="90" customHeight="1" s="16">
      <c r="A44" s="4" t="inlineStr">
        <is>
          <t>TC043</t>
        </is>
      </c>
      <c r="B44" s="4" t="inlineStr">
        <is>
          <t>Customer</t>
        </is>
      </c>
      <c r="C44" s="4" t="inlineStr">
        <is>
          <t>Wallet</t>
        </is>
      </c>
      <c r="D44" s="4" t="inlineStr">
        <is>
          <t>View Wallet</t>
        </is>
      </c>
      <c r="E44" s="4" t="inlineStr">
        <is>
          <t>View Wallet Balance</t>
        </is>
      </c>
      <c r="F44" s="4" t="inlineStr">
        <is>
          <t>1. Navigate to /wallet
2. View balance</t>
        </is>
      </c>
      <c r="G44" s="13" t="inlineStr">
        <is>
          <t>https://nutrio.me/wallet/[id]</t>
        </is>
      </c>
      <c r="H44" s="4" t="inlineStr">
        <is>
          <t>Current balance displayed with transaction history</t>
        </is>
      </c>
      <c r="I44" s="4">
        <f>IF(I44="","",IF(I44=G44,"PASS","FAIL"))</f>
        <v/>
      </c>
      <c r="J44" s="4" t="n"/>
      <c r="K44" s="4" t="n"/>
      <c r="L44" s="6" t="inlineStr">
        <is>
          <t>Medium</t>
        </is>
      </c>
      <c r="M44" s="4" t="n"/>
    </row>
    <row r="45" ht="60" customHeight="1" s="16">
      <c r="A45" s="4" t="inlineStr">
        <is>
          <t>TC044</t>
        </is>
      </c>
      <c r="B45" s="4" t="inlineStr">
        <is>
          <t>Customer</t>
        </is>
      </c>
      <c r="C45" s="4" t="inlineStr">
        <is>
          <t>Wallet</t>
        </is>
      </c>
      <c r="D45" s="4" t="inlineStr">
        <is>
          <t>Add Funds</t>
        </is>
      </c>
      <c r="E45" s="4" t="inlineStr">
        <is>
          <t>Add Funds to Wallet</t>
        </is>
      </c>
      <c r="F45" s="4" t="inlineStr">
        <is>
          <t>1. Go to wallet
2. Click Add Funds
3. Enter amount
4. Complete payment</t>
        </is>
      </c>
      <c r="G45" s="13" t="inlineStr">
        <is>
          <t>https://nutrio.me/wallet/new</t>
        </is>
      </c>
      <c r="H45" s="4" t="inlineStr">
        <is>
          <t>Funds added, balance updated</t>
        </is>
      </c>
      <c r="I45" s="4">
        <f>IF(I45="","",IF(I45=G45,"PASS","FAIL"))</f>
        <v/>
      </c>
      <c r="J45" s="4" t="n"/>
      <c r="K45" s="4" t="n"/>
      <c r="L45" s="6" t="inlineStr">
        <is>
          <t>Medium</t>
        </is>
      </c>
      <c r="M45" s="4" t="n"/>
    </row>
    <row r="46" ht="75" customHeight="1" s="16">
      <c r="A46" s="4" t="inlineStr">
        <is>
          <t>TC045</t>
        </is>
      </c>
      <c r="B46" s="4" t="inlineStr">
        <is>
          <t>Customer</t>
        </is>
      </c>
      <c r="C46" s="4" t="inlineStr">
        <is>
          <t>Wallet</t>
        </is>
      </c>
      <c r="D46" s="4" t="inlineStr">
        <is>
          <t>Transaction History</t>
        </is>
      </c>
      <c r="E46" s="4" t="inlineStr">
        <is>
          <t>View Transaction History</t>
        </is>
      </c>
      <c r="F46" s="4" t="inlineStr">
        <is>
          <t>1. Go to wallet
2. View transactions tab</t>
        </is>
      </c>
      <c r="G46" s="13" t="inlineStr">
        <is>
          <t>https://nutrio.me/wallet/[id]</t>
        </is>
      </c>
      <c r="H46" s="4" t="inlineStr">
        <is>
          <t>All transactions listed with dates and amounts</t>
        </is>
      </c>
      <c r="I46" s="4">
        <f>IF(I46="","",IF(I46=G46,"PASS","FAIL"))</f>
        <v/>
      </c>
      <c r="J46" s="4" t="n"/>
      <c r="K46" s="4" t="n"/>
      <c r="L46" s="4" t="inlineStr">
        <is>
          <t>Low</t>
        </is>
      </c>
      <c r="M46" s="4" t="n"/>
    </row>
    <row r="47" ht="75" customHeight="1" s="16">
      <c r="A47" s="4" t="inlineStr">
        <is>
          <t>TC046</t>
        </is>
      </c>
      <c r="B47" s="4" t="inlineStr">
        <is>
          <t>Partner</t>
        </is>
      </c>
      <c r="C47" s="4" t="inlineStr">
        <is>
          <t>Auth</t>
        </is>
      </c>
      <c r="D47" s="4" t="inlineStr">
        <is>
          <t>Login</t>
        </is>
      </c>
      <c r="E47" s="4" t="inlineStr">
        <is>
          <t>Partner Login</t>
        </is>
      </c>
      <c r="F47" s="4" t="inlineStr">
        <is>
          <t>1. Navigate to /partner/auth
2. Enter partner email
3. Enter password
4. Click Sign In</t>
        </is>
      </c>
      <c r="G47" s="13" t="inlineStr">
        <is>
          <t>https://nutrio.me/partner/auth</t>
        </is>
      </c>
      <c r="H47" s="4" t="inlineStr">
        <is>
          <t>Partner logged in, redirected to partner dashboard</t>
        </is>
      </c>
      <c r="I47" s="4">
        <f>IF(I47="","",IF(I47=G47,"PASS","FAIL"))</f>
        <v/>
      </c>
      <c r="J47" s="4" t="n"/>
      <c r="K47" s="4" t="n"/>
      <c r="L47" s="5" t="inlineStr">
        <is>
          <t>High</t>
        </is>
      </c>
      <c r="M47" s="4" t="n"/>
    </row>
    <row r="48" ht="45" customHeight="1" s="16">
      <c r="A48" s="4" t="inlineStr">
        <is>
          <t>TC047</t>
        </is>
      </c>
      <c r="B48" s="4" t="inlineStr">
        <is>
          <t>Partner</t>
        </is>
      </c>
      <c r="C48" s="4" t="inlineStr">
        <is>
          <t>Auth</t>
        </is>
      </c>
      <c r="D48" s="4" t="inlineStr">
        <is>
          <t>Invalid Login</t>
        </is>
      </c>
      <c r="E48" s="4" t="inlineStr">
        <is>
          <t>Partner Login - Invalid Credentials</t>
        </is>
      </c>
      <c r="F48" s="4" t="inlineStr">
        <is>
          <t>1. Enter wrong password
2. Click Sign In</t>
        </is>
      </c>
      <c r="G48" s="13" t="inlineStr">
        <is>
          <t>https://nutrio.me/partner/auth</t>
        </is>
      </c>
      <c r="H48" s="4" t="inlineStr">
        <is>
          <t>Error message displayed</t>
        </is>
      </c>
      <c r="I48" s="4">
        <f>IF(I48="","",IF(I48=G48,"PASS","FAIL"))</f>
        <v/>
      </c>
      <c r="J48" s="4" t="n"/>
      <c r="K48" s="4" t="n"/>
      <c r="L48" s="5" t="inlineStr">
        <is>
          <t>High</t>
        </is>
      </c>
      <c r="M48" s="4" t="n"/>
    </row>
    <row r="49" ht="60" customHeight="1" s="16">
      <c r="A49" s="4" t="inlineStr">
        <is>
          <t>TC048</t>
        </is>
      </c>
      <c r="B49" s="4" t="inlineStr">
        <is>
          <t>Partner</t>
        </is>
      </c>
      <c r="C49" s="4" t="inlineStr">
        <is>
          <t>Auth</t>
        </is>
      </c>
      <c r="D49" s="4" t="inlineStr">
        <is>
          <t>Logout</t>
        </is>
      </c>
      <c r="E49" s="4" t="inlineStr">
        <is>
          <t>Partner Logout</t>
        </is>
      </c>
      <c r="F49" s="4" t="inlineStr">
        <is>
          <t>1. Click user menu
2. Click Logout</t>
        </is>
      </c>
      <c r="G49" s="13" t="inlineStr">
        <is>
          <t>https://nutrio.me/partner/auth</t>
        </is>
      </c>
      <c r="H49" s="4" t="inlineStr">
        <is>
          <t>Logged out, redirected to login page</t>
        </is>
      </c>
      <c r="I49" s="4">
        <f>IF(I49="","",IF(I49=G49,"PASS","FAIL"))</f>
        <v/>
      </c>
      <c r="J49" s="4" t="n"/>
      <c r="K49" s="4" t="n"/>
      <c r="L49" s="5" t="inlineStr">
        <is>
          <t>High</t>
        </is>
      </c>
      <c r="M49" s="4" t="n"/>
    </row>
    <row r="50" ht="120" customHeight="1" s="16">
      <c r="A50" s="4" t="inlineStr">
        <is>
          <t>TC049</t>
        </is>
      </c>
      <c r="B50" s="4" t="inlineStr">
        <is>
          <t>Partner</t>
        </is>
      </c>
      <c r="C50" s="4" t="inlineStr">
        <is>
          <t>Dashboard</t>
        </is>
      </c>
      <c r="D50" s="4" t="inlineStr">
        <is>
          <t>View</t>
        </is>
      </c>
      <c r="E50" s="4" t="inlineStr">
        <is>
          <t>Partner Dashboard Load</t>
        </is>
      </c>
      <c r="F50" s="4" t="inlineStr">
        <is>
          <t>1. Login as partner
2. View dashboard</t>
        </is>
      </c>
      <c r="G50" s="13" t="inlineStr">
        <is>
          <t>https://nutrio.me/partner/dashboard</t>
        </is>
      </c>
      <c r="H50" s="4" t="inlineStr">
        <is>
          <t>Dashboard shows: today's orders, earnings, ratings, quick actions</t>
        </is>
      </c>
      <c r="I50" s="4">
        <f>IF(I50="","",IF(I50=G50,"PASS","FAIL"))</f>
        <v/>
      </c>
      <c r="J50" s="4" t="n"/>
      <c r="K50" s="4" t="n"/>
      <c r="L50" s="5" t="inlineStr">
        <is>
          <t>High</t>
        </is>
      </c>
      <c r="M50" s="4" t="n"/>
    </row>
    <row r="51" ht="105" customHeight="1" s="16">
      <c r="A51" s="4" t="inlineStr">
        <is>
          <t>TC050</t>
        </is>
      </c>
      <c r="B51" s="4" t="inlineStr">
        <is>
          <t>Partner</t>
        </is>
      </c>
      <c r="C51" s="4" t="inlineStr">
        <is>
          <t>Dashboard</t>
        </is>
      </c>
      <c r="D51" s="4" t="inlineStr">
        <is>
          <t>Stats</t>
        </is>
      </c>
      <c r="E51" s="4" t="inlineStr">
        <is>
          <t>Dashboard Statistics</t>
        </is>
      </c>
      <c r="F51" s="4" t="inlineStr">
        <is>
          <t>1. On dashboard
2. Verify stats accuracy</t>
        </is>
      </c>
      <c r="G51" s="13" t="inlineStr">
        <is>
          <t>https://nutrio.me/partner/dashboard</t>
        </is>
      </c>
      <c r="H51" s="4" t="inlineStr">
        <is>
          <t>Today's orders, weekly earnings, average rating correct</t>
        </is>
      </c>
      <c r="I51" s="4">
        <f>IF(I51="","",IF(I51=G51,"PASS","FAIL"))</f>
        <v/>
      </c>
      <c r="J51" s="4" t="n"/>
      <c r="K51" s="4" t="n"/>
      <c r="L51" s="5" t="inlineStr">
        <is>
          <t>High</t>
        </is>
      </c>
      <c r="M51" s="4" t="n"/>
    </row>
    <row r="52" ht="45" customHeight="1" s="16">
      <c r="A52" s="4" t="inlineStr">
        <is>
          <t>TC051</t>
        </is>
      </c>
      <c r="B52" s="4" t="inlineStr">
        <is>
          <t>Partner</t>
        </is>
      </c>
      <c r="C52" s="4" t="inlineStr">
        <is>
          <t>Dashboard</t>
        </is>
      </c>
      <c r="D52" s="4" t="inlineStr">
        <is>
          <t>Quick Actions</t>
        </is>
      </c>
      <c r="E52" s="4" t="inlineStr">
        <is>
          <t>Dashboard Quick Actions</t>
        </is>
      </c>
      <c r="F52" s="4" t="inlineStr">
        <is>
          <t>1. Click 'View Orders'
2. Click 'Update Menu'
3. Click 'View Earnings'</t>
        </is>
      </c>
      <c r="G52" s="13" t="inlineStr">
        <is>
          <t>https://nutrio.me/partner/dashboard</t>
        </is>
      </c>
      <c r="H52" s="4" t="inlineStr">
        <is>
          <t>Each button navigates to correct page</t>
        </is>
      </c>
      <c r="I52" s="4">
        <f>IF(I52="","",IF(I52=G52,"PASS","FAIL"))</f>
        <v/>
      </c>
      <c r="J52" s="4" t="n"/>
      <c r="K52" s="4" t="n"/>
      <c r="L52" s="6" t="inlineStr">
        <is>
          <t>Medium</t>
        </is>
      </c>
      <c r="M52" s="4" t="n"/>
    </row>
    <row r="53" ht="90" customHeight="1" s="16">
      <c r="A53" s="4" t="inlineStr">
        <is>
          <t>TC052</t>
        </is>
      </c>
      <c r="B53" s="4" t="inlineStr">
        <is>
          <t>Partner</t>
        </is>
      </c>
      <c r="C53" s="4" t="inlineStr">
        <is>
          <t>Orders</t>
        </is>
      </c>
      <c r="D53" s="4" t="inlineStr">
        <is>
          <t>View Active</t>
        </is>
      </c>
      <c r="E53" s="4" t="inlineStr">
        <is>
          <t>View Active Orders</t>
        </is>
      </c>
      <c r="F53" s="4" t="inlineStr">
        <is>
          <t>1. Go to Orders page
2. View active orders list</t>
        </is>
      </c>
      <c r="G53" s="13" t="inlineStr">
        <is>
          <t>https://nutrio.me/partner/orders/[id]</t>
        </is>
      </c>
      <c r="H53" s="4" t="inlineStr">
        <is>
          <t>All pending/preparing orders displayed with details</t>
        </is>
      </c>
      <c r="I53" s="4">
        <f>IF(I53="","",IF(I53=G53,"PASS","FAIL"))</f>
        <v/>
      </c>
      <c r="J53" s="4" t="n"/>
      <c r="K53" s="4" t="n"/>
      <c r="L53" s="7" t="inlineStr">
        <is>
          <t>Critical</t>
        </is>
      </c>
      <c r="M53" s="4" t="n"/>
    </row>
    <row r="54" ht="90" customHeight="1" s="16">
      <c r="A54" s="4" t="inlineStr">
        <is>
          <t>TC053</t>
        </is>
      </c>
      <c r="B54" s="4" t="inlineStr">
        <is>
          <t>Partner</t>
        </is>
      </c>
      <c r="C54" s="4" t="inlineStr">
        <is>
          <t>Orders</t>
        </is>
      </c>
      <c r="D54" s="4" t="inlineStr">
        <is>
          <t>View History</t>
        </is>
      </c>
      <c r="E54" s="4" t="inlineStr">
        <is>
          <t>View Order History</t>
        </is>
      </c>
      <c r="F54" s="4" t="inlineStr">
        <is>
          <t>1. Click History tab
2. View past orders</t>
        </is>
      </c>
      <c r="G54" s="13" t="inlineStr">
        <is>
          <t>https://nutrio.me/partner/orders/[id]</t>
        </is>
      </c>
      <c r="H54" s="4" t="inlineStr">
        <is>
          <t>Completed orders displayed with dates and amounts</t>
        </is>
      </c>
      <c r="I54" s="4">
        <f>IF(I54="","",IF(I54=G54,"PASS","FAIL"))</f>
        <v/>
      </c>
      <c r="J54" s="4" t="n"/>
      <c r="K54" s="4" t="n"/>
      <c r="L54" s="5" t="inlineStr">
        <is>
          <t>High</t>
        </is>
      </c>
      <c r="M54" s="4" t="n"/>
    </row>
    <row r="55" ht="45" customHeight="1" s="16">
      <c r="A55" s="4" t="inlineStr">
        <is>
          <t>TC054</t>
        </is>
      </c>
      <c r="B55" s="4" t="inlineStr">
        <is>
          <t>Partner</t>
        </is>
      </c>
      <c r="C55" s="4" t="inlineStr">
        <is>
          <t>Orders</t>
        </is>
      </c>
      <c r="D55" s="4" t="inlineStr">
        <is>
          <t>Accept Order</t>
        </is>
      </c>
      <c r="E55" s="4" t="inlineStr">
        <is>
          <t>Accept New Order</t>
        </is>
      </c>
      <c r="F55" s="4" t="inlineStr">
        <is>
          <t>1. New order notification received
2. Click Accept
3. Or wait for auto-accept</t>
        </is>
      </c>
      <c r="G55" s="13" t="inlineStr">
        <is>
          <t>https://nutrio.me/partner/orders</t>
        </is>
      </c>
      <c r="H55" s="4" t="inlineStr">
        <is>
          <t>Order status changes to Confirmed</t>
        </is>
      </c>
      <c r="I55" s="4">
        <f>IF(I55="","",IF(I55=G55,"PASS","FAIL"))</f>
        <v/>
      </c>
      <c r="J55" s="4" t="n"/>
      <c r="K55" s="4" t="n"/>
      <c r="L55" s="7" t="inlineStr">
        <is>
          <t>Critical</t>
        </is>
      </c>
      <c r="M55" s="4" t="n"/>
    </row>
    <row r="56" ht="75" customHeight="1" s="16">
      <c r="A56" s="4" t="inlineStr">
        <is>
          <t>TC055</t>
        </is>
      </c>
      <c r="B56" s="4" t="inlineStr">
        <is>
          <t>Partner</t>
        </is>
      </c>
      <c r="C56" s="4" t="inlineStr">
        <is>
          <t>Orders</t>
        </is>
      </c>
      <c r="D56" s="4" t="inlineStr">
        <is>
          <t>Update Status</t>
        </is>
      </c>
      <c r="E56" s="4" t="inlineStr">
        <is>
          <t>Update Order Status</t>
        </is>
      </c>
      <c r="F56" s="4" t="inlineStr">
        <is>
          <t>1. Click on active order
2. Click 'Mark as Preparing'
3. Later click 'Mark as Ready'</t>
        </is>
      </c>
      <c r="G56" s="13" t="inlineStr">
        <is>
          <t>https://nutrio.me/partner/orders/[id]/edit</t>
        </is>
      </c>
      <c r="H56" s="4" t="inlineStr">
        <is>
          <t>Status updates, customer receives notification</t>
        </is>
      </c>
      <c r="I56" s="4">
        <f>IF(I56="","",IF(I56=G56,"PASS","FAIL"))</f>
        <v/>
      </c>
      <c r="J56" s="4" t="n"/>
      <c r="K56" s="4" t="n"/>
      <c r="L56" s="7" t="inlineStr">
        <is>
          <t>Critical</t>
        </is>
      </c>
      <c r="M56" s="4" t="n"/>
    </row>
    <row r="57" ht="135" customHeight="1" s="16">
      <c r="A57" s="4" t="inlineStr">
        <is>
          <t>TC056</t>
        </is>
      </c>
      <c r="B57" s="4" t="inlineStr">
        <is>
          <t>Partner</t>
        </is>
      </c>
      <c r="C57" s="4" t="inlineStr">
        <is>
          <t>Orders</t>
        </is>
      </c>
      <c r="D57" s="4" t="inlineStr">
        <is>
          <t>Order Details</t>
        </is>
      </c>
      <c r="E57" s="4" t="inlineStr">
        <is>
          <t>View Order Details</t>
        </is>
      </c>
      <c r="F57" s="4" t="inlineStr">
        <is>
          <t>1. Click on any order
2. View full details</t>
        </is>
      </c>
      <c r="G57" s="13" t="inlineStr">
        <is>
          <t>https://nutrio.me/partner/orders/[id]</t>
        </is>
      </c>
      <c r="H57" s="4" t="inlineStr">
        <is>
          <t>Order items, customer info, delivery address, special instructions displayed</t>
        </is>
      </c>
      <c r="I57" s="4">
        <f>IF(I57="","",IF(I57=G57,"PASS","FAIL"))</f>
        <v/>
      </c>
      <c r="J57" s="4" t="n"/>
      <c r="K57" s="4" t="n"/>
      <c r="L57" s="5" t="inlineStr">
        <is>
          <t>High</t>
        </is>
      </c>
      <c r="M57" s="4" t="n"/>
    </row>
    <row r="58" ht="60" customHeight="1" s="16">
      <c r="A58" s="4" t="inlineStr">
        <is>
          <t>TC057</t>
        </is>
      </c>
      <c r="B58" s="4" t="inlineStr">
        <is>
          <t>Partner</t>
        </is>
      </c>
      <c r="C58" s="4" t="inlineStr">
        <is>
          <t>Orders</t>
        </is>
      </c>
      <c r="D58" s="4" t="inlineStr">
        <is>
          <t>Print Order</t>
        </is>
      </c>
      <c r="E58" s="4" t="inlineStr">
        <is>
          <t>Print Order Ticket</t>
        </is>
      </c>
      <c r="F58" s="4" t="inlineStr">
        <is>
          <t>1. Open order details
2. Click Print</t>
        </is>
      </c>
      <c r="G58" s="13" t="inlineStr">
        <is>
          <t>https://nutrio.me/partner/orders</t>
        </is>
      </c>
      <c r="H58" s="4" t="inlineStr">
        <is>
          <t>Order prints with kitchen ticket format</t>
        </is>
      </c>
      <c r="I58" s="4">
        <f>IF(I58="","",IF(I58=G58,"PASS","FAIL"))</f>
        <v/>
      </c>
      <c r="J58" s="4" t="n"/>
      <c r="K58" s="4" t="n"/>
      <c r="L58" s="4" t="inlineStr">
        <is>
          <t>Low</t>
        </is>
      </c>
      <c r="M58" s="4" t="n"/>
    </row>
    <row r="59" ht="75" customHeight="1" s="16">
      <c r="A59" s="4" t="inlineStr">
        <is>
          <t>TC058</t>
        </is>
      </c>
      <c r="B59" s="4" t="inlineStr">
        <is>
          <t>Partner</t>
        </is>
      </c>
      <c r="C59" s="4" t="inlineStr">
        <is>
          <t>Menu</t>
        </is>
      </c>
      <c r="D59" s="4" t="inlineStr">
        <is>
          <t>View Menu</t>
        </is>
      </c>
      <c r="E59" s="4" t="inlineStr">
        <is>
          <t>View Current Menu</t>
        </is>
      </c>
      <c r="F59" s="4" t="inlineStr">
        <is>
          <t>1. Navigate to Menu page
2. View all items</t>
        </is>
      </c>
      <c r="G59" s="13" t="inlineStr">
        <is>
          <t>https://nutrio.me/partner/menu/[id]</t>
        </is>
      </c>
      <c r="H59" s="4" t="inlineStr">
        <is>
          <t>All menu items displayed with photos and status</t>
        </is>
      </c>
      <c r="I59" s="4">
        <f>IF(I59="","",IF(I59=G59,"PASS","FAIL"))</f>
        <v/>
      </c>
      <c r="J59" s="4" t="n"/>
      <c r="K59" s="4" t="n"/>
      <c r="L59" s="5" t="inlineStr">
        <is>
          <t>High</t>
        </is>
      </c>
      <c r="M59" s="4" t="n"/>
    </row>
    <row r="60" ht="60" customHeight="1" s="16">
      <c r="A60" s="4" t="inlineStr">
        <is>
          <t>TC059</t>
        </is>
      </c>
      <c r="B60" s="4" t="inlineStr">
        <is>
          <t>Partner</t>
        </is>
      </c>
      <c r="C60" s="4" t="inlineStr">
        <is>
          <t>Menu</t>
        </is>
      </c>
      <c r="D60" s="4" t="inlineStr">
        <is>
          <t>Add Item</t>
        </is>
      </c>
      <c r="E60" s="4" t="inlineStr">
        <is>
          <t>Add New Menu Item</t>
        </is>
      </c>
      <c r="F60" s="4" t="inlineStr">
        <is>
          <t>1. Click 'Add New Meal'
2. Fill all fields (name, desc, nutrition, photo)
3. Click Save</t>
        </is>
      </c>
      <c r="G60" s="13" t="inlineStr">
        <is>
          <t>https://nutrio.me/partner/menu/new</t>
        </is>
      </c>
      <c r="H60" s="4" t="inlineStr">
        <is>
          <t>Item added to menu, visible to customers</t>
        </is>
      </c>
      <c r="I60" s="4">
        <f>IF(I60="","",IF(I60=G60,"PASS","FAIL"))</f>
        <v/>
      </c>
      <c r="J60" s="4" t="n"/>
      <c r="K60" s="4" t="n"/>
      <c r="L60" s="5" t="inlineStr">
        <is>
          <t>High</t>
        </is>
      </c>
      <c r="M60" s="4" t="n"/>
    </row>
    <row r="61" ht="60" customHeight="1" s="16">
      <c r="A61" s="4" t="inlineStr">
        <is>
          <t>TC060</t>
        </is>
      </c>
      <c r="B61" s="4" t="inlineStr">
        <is>
          <t>Partner</t>
        </is>
      </c>
      <c r="C61" s="4" t="inlineStr">
        <is>
          <t>Menu</t>
        </is>
      </c>
      <c r="D61" s="4" t="inlineStr">
        <is>
          <t>Edit Item</t>
        </is>
      </c>
      <c r="E61" s="4" t="inlineStr">
        <is>
          <t>Edit Menu Item</t>
        </is>
      </c>
      <c r="F61" s="4" t="inlineStr">
        <is>
          <t>1. Click on menu item
2. Click Edit
3. Change details
4. Save</t>
        </is>
      </c>
      <c r="G61" s="13" t="inlineStr">
        <is>
          <t>https://nutrio.me/partner/menu/[id]/edit</t>
        </is>
      </c>
      <c r="H61" s="4" t="inlineStr">
        <is>
          <t>Item updated with new information</t>
        </is>
      </c>
      <c r="I61" s="4">
        <f>IF(I61="","",IF(I61=G61,"PASS","FAIL"))</f>
        <v/>
      </c>
      <c r="J61" s="4" t="n"/>
      <c r="K61" s="4" t="n"/>
      <c r="L61" s="5" t="inlineStr">
        <is>
          <t>High</t>
        </is>
      </c>
      <c r="M61" s="4" t="n"/>
    </row>
    <row r="62" ht="45" customHeight="1" s="16">
      <c r="A62" s="4" t="inlineStr">
        <is>
          <t>TC061</t>
        </is>
      </c>
      <c r="B62" s="4" t="inlineStr">
        <is>
          <t>Partner</t>
        </is>
      </c>
      <c r="C62" s="4" t="inlineStr">
        <is>
          <t>Menu</t>
        </is>
      </c>
      <c r="D62" s="4" t="inlineStr">
        <is>
          <t>Delete Item</t>
        </is>
      </c>
      <c r="E62" s="4" t="inlineStr">
        <is>
          <t>Delete Menu Item</t>
        </is>
      </c>
      <c r="F62" s="4" t="inlineStr">
        <is>
          <t>1. Click on menu item
2. Click Delete
3. Confirm</t>
        </is>
      </c>
      <c r="G62" s="13" t="inlineStr">
        <is>
          <t>https://nutrio.me/partner/menu</t>
        </is>
      </c>
      <c r="H62" s="4" t="inlineStr">
        <is>
          <t>Item removed from menu</t>
        </is>
      </c>
      <c r="I62" s="4">
        <f>IF(I62="","",IF(I62=G62,"PASS","FAIL"))</f>
        <v/>
      </c>
      <c r="J62" s="4" t="n"/>
      <c r="K62" s="4" t="n"/>
      <c r="L62" s="6" t="inlineStr">
        <is>
          <t>Medium</t>
        </is>
      </c>
      <c r="M62" s="4" t="n"/>
    </row>
    <row r="63" ht="90" customHeight="1" s="16">
      <c r="A63" s="4" t="inlineStr">
        <is>
          <t>TC062</t>
        </is>
      </c>
      <c r="B63" s="4" t="inlineStr">
        <is>
          <t>Partner</t>
        </is>
      </c>
      <c r="C63" s="4" t="inlineStr">
        <is>
          <t>Menu</t>
        </is>
      </c>
      <c r="D63" s="4" t="inlineStr">
        <is>
          <t>Toggle Availability</t>
        </is>
      </c>
      <c r="E63" s="4" t="inlineStr">
        <is>
          <t>Toggle Item Availability</t>
        </is>
      </c>
      <c r="F63" s="4" t="inlineStr">
        <is>
          <t>1. Find menu item
2. Toggle 'Available' switch
3. Verify status change</t>
        </is>
      </c>
      <c r="G63" s="13" t="inlineStr">
        <is>
          <t>https://nutrio.me/partner/menu</t>
        </is>
      </c>
      <c r="H63" s="4" t="inlineStr">
        <is>
          <t>Item availability changes, customers see/hide item</t>
        </is>
      </c>
      <c r="I63" s="4">
        <f>IF(I63="","",IF(I63=G63,"PASS","FAIL"))</f>
        <v/>
      </c>
      <c r="J63" s="4" t="n"/>
      <c r="K63" s="4" t="n"/>
      <c r="L63" s="5" t="inlineStr">
        <is>
          <t>High</t>
        </is>
      </c>
      <c r="M63" s="4" t="n"/>
    </row>
    <row r="64" ht="90" customHeight="1" s="16">
      <c r="A64" s="4" t="inlineStr">
        <is>
          <t>TC063</t>
        </is>
      </c>
      <c r="B64" s="4" t="inlineStr">
        <is>
          <t>Partner</t>
        </is>
      </c>
      <c r="C64" s="4" t="inlineStr">
        <is>
          <t>Menu</t>
        </is>
      </c>
      <c r="D64" s="4" t="inlineStr">
        <is>
          <t>Upload Photo</t>
        </is>
      </c>
      <c r="E64" s="4" t="inlineStr">
        <is>
          <t>Upload Meal Photo</t>
        </is>
      </c>
      <c r="F64" s="4" t="inlineStr">
        <is>
          <t>1. Add/Edit meal
2. Click Upload Photo
3. Select image
4. Save</t>
        </is>
      </c>
      <c r="G64" s="13" t="inlineStr">
        <is>
          <t>https://nutrio.me/partner/menu</t>
        </is>
      </c>
      <c r="H64" s="4" t="inlineStr">
        <is>
          <t>Photo uploaded and displayed on meal card</t>
        </is>
      </c>
      <c r="I64" s="4">
        <f>IF(I64="","",IF(I64=G64,"PASS","FAIL"))</f>
        <v/>
      </c>
      <c r="J64" s="4" t="n"/>
      <c r="K64" s="4" t="n"/>
      <c r="L64" s="6" t="inlineStr">
        <is>
          <t>Medium</t>
        </is>
      </c>
      <c r="M64" s="4" t="n"/>
    </row>
    <row r="65" ht="75" customHeight="1" s="16">
      <c r="A65" s="4" t="inlineStr">
        <is>
          <t>TC064</t>
        </is>
      </c>
      <c r="B65" s="4" t="inlineStr">
        <is>
          <t>Partner</t>
        </is>
      </c>
      <c r="C65" s="4" t="inlineStr">
        <is>
          <t>Menu</t>
        </is>
      </c>
      <c r="D65" s="4" t="inlineStr">
        <is>
          <t>Nutrition Info</t>
        </is>
      </c>
      <c r="E65" s="4" t="inlineStr">
        <is>
          <t>Add Nutrition Information</t>
        </is>
      </c>
      <c r="F65" s="4" t="inlineStr">
        <is>
          <t>1. Edit meal
2. Add calories, protein, carbs, fat
3. Save</t>
        </is>
      </c>
      <c r="G65" s="13" t="inlineStr">
        <is>
          <t>https://nutrio.me/partner/menu/new</t>
        </is>
      </c>
      <c r="H65" s="4" t="inlineStr">
        <is>
          <t>Nutrition info saved and displayed to customers</t>
        </is>
      </c>
      <c r="I65" s="4">
        <f>IF(I65="","",IF(I65=G65,"PASS","FAIL"))</f>
        <v/>
      </c>
      <c r="J65" s="4" t="n"/>
      <c r="K65" s="4" t="n"/>
      <c r="L65" s="6" t="inlineStr">
        <is>
          <t>Medium</t>
        </is>
      </c>
      <c r="M65" s="4" t="n"/>
    </row>
    <row r="66" ht="90" customHeight="1" s="16">
      <c r="A66" s="4" t="inlineStr">
        <is>
          <t>TC065</t>
        </is>
      </c>
      <c r="B66" s="4" t="inlineStr">
        <is>
          <t>Partner</t>
        </is>
      </c>
      <c r="C66" s="4" t="inlineStr">
        <is>
          <t>Earnings</t>
        </is>
      </c>
      <c r="D66" s="4" t="inlineStr">
        <is>
          <t>View Earnings</t>
        </is>
      </c>
      <c r="E66" s="4" t="inlineStr">
        <is>
          <t>View Earnings Dashboard</t>
        </is>
      </c>
      <c r="F66" s="4" t="inlineStr">
        <is>
          <t>1. Go to Earnings page
2. View summary</t>
        </is>
      </c>
      <c r="G66" s="13" t="inlineStr">
        <is>
          <t>https://nutrio.me/partner/payouts/[id]</t>
        </is>
      </c>
      <c r="H66" s="4" t="inlineStr">
        <is>
          <t>Today's earnings, weekly, monthly totals displayed</t>
        </is>
      </c>
      <c r="I66" s="4">
        <f>IF(I66="","",IF(I66=G66,"PASS","FAIL"))</f>
        <v/>
      </c>
      <c r="J66" s="4" t="n"/>
      <c r="K66" s="4" t="n"/>
      <c r="L66" s="5" t="inlineStr">
        <is>
          <t>High</t>
        </is>
      </c>
      <c r="M66" s="4" t="n"/>
    </row>
    <row r="67" ht="75" customHeight="1" s="16">
      <c r="A67" s="4" t="inlineStr">
        <is>
          <t>TC066</t>
        </is>
      </c>
      <c r="B67" s="4" t="inlineStr">
        <is>
          <t>Partner</t>
        </is>
      </c>
      <c r="C67" s="4" t="inlineStr">
        <is>
          <t>Earnings</t>
        </is>
      </c>
      <c r="D67" s="4" t="inlineStr">
        <is>
          <t>View Payout History</t>
        </is>
      </c>
      <c r="E67" s="4" t="inlineStr">
        <is>
          <t>View Payout History</t>
        </is>
      </c>
      <c r="F67" s="4" t="inlineStr">
        <is>
          <t>1. Click Payout History
2. View past payouts</t>
        </is>
      </c>
      <c r="G67" s="13" t="inlineStr">
        <is>
          <t>https://nutrio.me/partner/payouts/[id]</t>
        </is>
      </c>
      <c r="H67" s="4" t="inlineStr">
        <is>
          <t>All weekly payouts listed with dates and amounts</t>
        </is>
      </c>
      <c r="I67" s="4">
        <f>IF(I67="","",IF(I67=G67,"PASS","FAIL"))</f>
        <v/>
      </c>
      <c r="J67" s="4" t="n"/>
      <c r="K67" s="4" t="n"/>
      <c r="L67" s="5" t="inlineStr">
        <is>
          <t>High</t>
        </is>
      </c>
      <c r="M67" s="4" t="n"/>
    </row>
    <row r="68" ht="90" customHeight="1" s="16">
      <c r="A68" s="4" t="inlineStr">
        <is>
          <t>TC067</t>
        </is>
      </c>
      <c r="B68" s="4" t="inlineStr">
        <is>
          <t>Partner</t>
        </is>
      </c>
      <c r="C68" s="4" t="inlineStr">
        <is>
          <t>Earnings</t>
        </is>
      </c>
      <c r="D68" s="4" t="inlineStr">
        <is>
          <t>Payout Details</t>
        </is>
      </c>
      <c r="E68" s="4" t="inlineStr">
        <is>
          <t>View Payout Details</t>
        </is>
      </c>
      <c r="F68" s="4" t="inlineStr">
        <is>
          <t>1. Click on payout
2. View breakdown</t>
        </is>
      </c>
      <c r="G68" s="13" t="inlineStr">
        <is>
          <t>https://nutrio.me/partner/payouts/[id]</t>
        </is>
      </c>
      <c r="H68" s="4" t="inlineStr">
        <is>
          <t>Daily breakdown of orders and earnings shown</t>
        </is>
      </c>
      <c r="I68" s="4">
        <f>IF(I68="","",IF(I68=G68,"PASS","FAIL"))</f>
        <v/>
      </c>
      <c r="J68" s="4" t="n"/>
      <c r="K68" s="4" t="n"/>
      <c r="L68" s="6" t="inlineStr">
        <is>
          <t>Medium</t>
        </is>
      </c>
      <c r="M68" s="4" t="n"/>
    </row>
    <row r="69" ht="45" customHeight="1" s="16">
      <c r="A69" s="4" t="inlineStr">
        <is>
          <t>TC068</t>
        </is>
      </c>
      <c r="B69" s="4" t="inlineStr">
        <is>
          <t>Partner</t>
        </is>
      </c>
      <c r="C69" s="4" t="inlineStr">
        <is>
          <t>Earnings</t>
        </is>
      </c>
      <c r="D69" s="4" t="inlineStr">
        <is>
          <t>Stats</t>
        </is>
      </c>
      <c r="E69" s="4" t="inlineStr">
        <is>
          <t>View Performance Stats</t>
        </is>
      </c>
      <c r="F69" s="4" t="inlineStr">
        <is>
          <t>1. View statistics section
2. Check meals served and ratings</t>
        </is>
      </c>
      <c r="G69" s="13" t="inlineStr">
        <is>
          <t>https://nutrio.me/partner/payouts/[id]</t>
        </is>
      </c>
      <c r="H69" s="4" t="inlineStr">
        <is>
          <t>Accurate statistics displayed</t>
        </is>
      </c>
      <c r="I69" s="4">
        <f>IF(I69="","",IF(I69=G69,"PASS","FAIL"))</f>
        <v/>
      </c>
      <c r="J69" s="4" t="n"/>
      <c r="K69" s="4" t="n"/>
      <c r="L69" s="6" t="inlineStr">
        <is>
          <t>Medium</t>
        </is>
      </c>
      <c r="M69" s="4" t="n"/>
    </row>
    <row r="70" ht="75" customHeight="1" s="16">
      <c r="A70" s="4" t="inlineStr">
        <is>
          <t>TC069</t>
        </is>
      </c>
      <c r="B70" s="4" t="inlineStr">
        <is>
          <t>Partner</t>
        </is>
      </c>
      <c r="C70" s="4" t="inlineStr">
        <is>
          <t>Profile</t>
        </is>
      </c>
      <c r="D70" s="4" t="inlineStr">
        <is>
          <t>View Profile</t>
        </is>
      </c>
      <c r="E70" s="4" t="inlineStr">
        <is>
          <t>View Restaurant Profile</t>
        </is>
      </c>
      <c r="F70" s="4" t="inlineStr">
        <is>
          <t>1. Go to Profile page
2. View info</t>
        </is>
      </c>
      <c r="G70" s="13" t="inlineStr">
        <is>
          <t>https://nutrio.me/partner/profile/[id]</t>
        </is>
      </c>
      <c r="H70" s="4" t="inlineStr">
        <is>
          <t>Restaurant details, hours, capacity displayed</t>
        </is>
      </c>
      <c r="I70" s="4">
        <f>IF(I70="","",IF(I70=G70,"PASS","FAIL"))</f>
        <v/>
      </c>
      <c r="J70" s="4" t="n"/>
      <c r="K70" s="4" t="n"/>
      <c r="L70" s="5" t="inlineStr">
        <is>
          <t>High</t>
        </is>
      </c>
      <c r="M70" s="4" t="n"/>
    </row>
    <row r="71" ht="45" customHeight="1" s="16">
      <c r="A71" s="4" t="inlineStr">
        <is>
          <t>TC070</t>
        </is>
      </c>
      <c r="B71" s="4" t="inlineStr">
        <is>
          <t>Partner</t>
        </is>
      </c>
      <c r="C71" s="4" t="inlineStr">
        <is>
          <t>Profile</t>
        </is>
      </c>
      <c r="D71" s="4" t="inlineStr">
        <is>
          <t>Edit Profile</t>
        </is>
      </c>
      <c r="E71" s="4" t="inlineStr">
        <is>
          <t>Edit Restaurant Info</t>
        </is>
      </c>
      <c r="F71" s="4" t="inlineStr">
        <is>
          <t>1. Click Edit
2. Change description, hours
3. Save</t>
        </is>
      </c>
      <c r="G71" s="13" t="inlineStr">
        <is>
          <t>https://nutrio.me/partner/profile/[id]/edit</t>
        </is>
      </c>
      <c r="H71" s="4" t="inlineStr">
        <is>
          <t>Profile updated successfully</t>
        </is>
      </c>
      <c r="I71" s="4">
        <f>IF(I71="","",IF(I71=G71,"PASS","FAIL"))</f>
        <v/>
      </c>
      <c r="J71" s="4" t="n"/>
      <c r="K71" s="4" t="n"/>
      <c r="L71" s="6" t="inlineStr">
        <is>
          <t>Medium</t>
        </is>
      </c>
      <c r="M71" s="4" t="n"/>
    </row>
    <row r="72" ht="60" customHeight="1" s="16">
      <c r="A72" s="4" t="inlineStr">
        <is>
          <t>TC071</t>
        </is>
      </c>
      <c r="B72" s="4" t="inlineStr">
        <is>
          <t>Partner</t>
        </is>
      </c>
      <c r="C72" s="4" t="inlineStr">
        <is>
          <t>Profile</t>
        </is>
      </c>
      <c r="D72" s="4" t="inlineStr">
        <is>
          <t>Update Bank</t>
        </is>
      </c>
      <c r="E72" s="4" t="inlineStr">
        <is>
          <t>Update Bank Details</t>
        </is>
      </c>
      <c r="F72" s="4" t="inlineStr">
        <is>
          <t>1. Go to Profile
2. Edit bank account info
3. Save</t>
        </is>
      </c>
      <c r="G72" s="13" t="inlineStr">
        <is>
          <t>https://nutrio.me/partner/profile/[id]</t>
        </is>
      </c>
      <c r="H72" s="4" t="inlineStr">
        <is>
          <t>Bank details updated for future payouts</t>
        </is>
      </c>
      <c r="I72" s="4">
        <f>IF(I72="","",IF(I72=G72,"PASS","FAIL"))</f>
        <v/>
      </c>
      <c r="J72" s="4" t="n"/>
      <c r="K72" s="4" t="n"/>
      <c r="L72" s="5" t="inlineStr">
        <is>
          <t>High</t>
        </is>
      </c>
      <c r="M72" s="4" t="n"/>
    </row>
    <row r="73" ht="75" customHeight="1" s="16">
      <c r="A73" s="4" t="inlineStr">
        <is>
          <t>TC072</t>
        </is>
      </c>
      <c r="B73" s="4" t="inlineStr">
        <is>
          <t>Partner</t>
        </is>
      </c>
      <c r="C73" s="4" t="inlineStr">
        <is>
          <t>Profile</t>
        </is>
      </c>
      <c r="D73" s="4" t="inlineStr">
        <is>
          <t>Set Capacity</t>
        </is>
      </c>
      <c r="E73" s="4" t="inlineStr">
        <is>
          <t>Set Daily Capacity</t>
        </is>
      </c>
      <c r="F73" s="4" t="inlineStr">
        <is>
          <t>1. Go to Profile
2. Change daily capacity
3. Save</t>
        </is>
      </c>
      <c r="G73" s="13" t="inlineStr">
        <is>
          <t>https://nutrio.me/partner/profile</t>
        </is>
      </c>
      <c r="H73" s="4" t="inlineStr">
        <is>
          <t>Capacity updated, affects order acceptance</t>
        </is>
      </c>
      <c r="I73" s="4">
        <f>IF(I73="","",IF(I73=G73,"PASS","FAIL"))</f>
        <v/>
      </c>
      <c r="J73" s="4" t="n"/>
      <c r="K73" s="4" t="n"/>
      <c r="L73" s="5" t="inlineStr">
        <is>
          <t>High</t>
        </is>
      </c>
      <c r="M73" s="4" t="n"/>
    </row>
    <row r="74" ht="75" customHeight="1" s="16">
      <c r="A74" s="4" t="inlineStr">
        <is>
          <t>TC073</t>
        </is>
      </c>
      <c r="B74" s="4" t="inlineStr">
        <is>
          <t>Partner</t>
        </is>
      </c>
      <c r="C74" s="4" t="inlineStr">
        <is>
          <t>Profile</t>
        </is>
      </c>
      <c r="D74" s="4" t="inlineStr">
        <is>
          <t>Toggle Orders</t>
        </is>
      </c>
      <c r="E74" s="4" t="inlineStr">
        <is>
          <t>Toggle Accepting Orders</t>
        </is>
      </c>
      <c r="F74" s="4" t="inlineStr">
        <is>
          <t>1. Go to Profile
2. Toggle 'Accepting Orders'
3. Save</t>
        </is>
      </c>
      <c r="G74" s="13" t="inlineStr">
        <is>
          <t>https://nutrio.me/partner/profile</t>
        </is>
      </c>
      <c r="H74" s="4" t="inlineStr">
        <is>
          <t>Status changes, customers can/cannot place orders</t>
        </is>
      </c>
      <c r="I74" s="4">
        <f>IF(I74="","",IF(I74=G74,"PASS","FAIL"))</f>
        <v/>
      </c>
      <c r="J74" s="4" t="n"/>
      <c r="K74" s="4" t="n"/>
      <c r="L74" s="5" t="inlineStr">
        <is>
          <t>High</t>
        </is>
      </c>
      <c r="M74" s="4" t="n"/>
    </row>
    <row r="75" ht="60" customHeight="1" s="16">
      <c r="A75" s="4" t="inlineStr">
        <is>
          <t>TC074</t>
        </is>
      </c>
      <c r="B75" s="4" t="inlineStr">
        <is>
          <t>Partner</t>
        </is>
      </c>
      <c r="C75" s="4" t="inlineStr">
        <is>
          <t>Profile</t>
        </is>
      </c>
      <c r="D75" s="4" t="inlineStr">
        <is>
          <t>Update Logo</t>
        </is>
      </c>
      <c r="E75" s="4" t="inlineStr">
        <is>
          <t>Update Restaurant Logo</t>
        </is>
      </c>
      <c r="F75" s="4" t="inlineStr">
        <is>
          <t>1. Go to Profile
2. Click Update Logo
3. Upload new image
4. Save</t>
        </is>
      </c>
      <c r="G75" s="13" t="inlineStr">
        <is>
          <t>https://nutrio.me/partner/profile/[id]/edit</t>
        </is>
      </c>
      <c r="H75" s="4" t="inlineStr">
        <is>
          <t>Logo updated across platform</t>
        </is>
      </c>
      <c r="I75" s="4">
        <f>IF(I75="","",IF(I75=G75,"PASS","FAIL"))</f>
        <v/>
      </c>
      <c r="J75" s="4" t="n"/>
      <c r="K75" s="4" t="n"/>
      <c r="L75" s="4" t="inlineStr">
        <is>
          <t>Low</t>
        </is>
      </c>
      <c r="M75" s="4" t="n"/>
    </row>
    <row r="76" ht="45" customHeight="1" s="16">
      <c r="A76" s="4" t="inlineStr">
        <is>
          <t>TC075</t>
        </is>
      </c>
      <c r="B76" s="4" t="inlineStr">
        <is>
          <t>Partner</t>
        </is>
      </c>
      <c r="C76" s="4" t="inlineStr">
        <is>
          <t>Profile</t>
        </is>
      </c>
      <c r="D76" s="4" t="inlineStr">
        <is>
          <t>Update Photos</t>
        </is>
      </c>
      <c r="E76" s="4" t="inlineStr">
        <is>
          <t>Update Restaurant Photos</t>
        </is>
      </c>
      <c r="F76" s="4" t="inlineStr">
        <is>
          <t>1. Go to Profile
2. Add/Remove photos
3. Save</t>
        </is>
      </c>
      <c r="G76" s="13" t="inlineStr">
        <is>
          <t>https://nutrio.me/partner/profile/[id]/edit</t>
        </is>
      </c>
      <c r="H76" s="4" t="inlineStr">
        <is>
          <t>Photo gallery updated</t>
        </is>
      </c>
      <c r="I76" s="4">
        <f>IF(I76="","",IF(I76=G76,"PASS","FAIL"))</f>
        <v/>
      </c>
      <c r="J76" s="4" t="n"/>
      <c r="K76" s="4" t="n"/>
      <c r="L76" s="4" t="inlineStr">
        <is>
          <t>Low</t>
        </is>
      </c>
      <c r="M76" s="4" t="n"/>
    </row>
    <row r="77" ht="60" customHeight="1" s="16">
      <c r="A77" s="4" t="inlineStr">
        <is>
          <t>TC076</t>
        </is>
      </c>
      <c r="B77" s="4" t="inlineStr">
        <is>
          <t>Admin</t>
        </is>
      </c>
      <c r="C77" s="4" t="inlineStr">
        <is>
          <t>Auth</t>
        </is>
      </c>
      <c r="D77" s="4" t="inlineStr">
        <is>
          <t>Login</t>
        </is>
      </c>
      <c r="E77" s="4" t="inlineStr">
        <is>
          <t>Admin Login</t>
        </is>
      </c>
      <c r="F77" s="4" t="inlineStr">
        <is>
          <t>1. Navigate to /admin
2. Enter admin credentials
3. Login</t>
        </is>
      </c>
      <c r="G77" s="13" t="inlineStr">
        <is>
          <t>https://nutrio.me/admin/auth</t>
        </is>
      </c>
      <c r="H77" s="4" t="inlineStr">
        <is>
          <t>Admin logged in, dashboard displayed</t>
        </is>
      </c>
      <c r="I77" s="4">
        <f>IF(I77="","",IF(I77=G77,"PASS","FAIL"))</f>
        <v/>
      </c>
      <c r="J77" s="4" t="n"/>
      <c r="K77" s="4" t="n"/>
      <c r="L77" s="5" t="inlineStr">
        <is>
          <t>High</t>
        </is>
      </c>
      <c r="M77" s="4" t="n"/>
    </row>
    <row r="78" ht="45" customHeight="1" s="16">
      <c r="A78" s="4" t="inlineStr">
        <is>
          <t>TC077</t>
        </is>
      </c>
      <c r="B78" s="4" t="inlineStr">
        <is>
          <t>Admin</t>
        </is>
      </c>
      <c r="C78" s="4" t="inlineStr">
        <is>
          <t>Auth</t>
        </is>
      </c>
      <c r="D78" s="4" t="inlineStr">
        <is>
          <t>Invalid Login</t>
        </is>
      </c>
      <c r="E78" s="4" t="inlineStr">
        <is>
          <t>Admin Login - Invalid</t>
        </is>
      </c>
      <c r="F78" s="4" t="inlineStr">
        <is>
          <t>1. Enter wrong password
2. Try to login</t>
        </is>
      </c>
      <c r="G78" s="13" t="inlineStr">
        <is>
          <t>https://nutrio.me/admin/auth</t>
        </is>
      </c>
      <c r="H78" s="4" t="inlineStr">
        <is>
          <t>Access denied, error shown</t>
        </is>
      </c>
      <c r="I78" s="4">
        <f>IF(I78="","",IF(I78=G78,"PASS","FAIL"))</f>
        <v/>
      </c>
      <c r="J78" s="4" t="n"/>
      <c r="K78" s="4" t="n"/>
      <c r="L78" s="5" t="inlineStr">
        <is>
          <t>High</t>
        </is>
      </c>
      <c r="M78" s="4" t="n"/>
    </row>
    <row r="79" ht="45" customHeight="1" s="16">
      <c r="A79" s="4" t="inlineStr">
        <is>
          <t>TC078</t>
        </is>
      </c>
      <c r="B79" s="4" t="inlineStr">
        <is>
          <t>Admin</t>
        </is>
      </c>
      <c r="C79" s="4" t="inlineStr">
        <is>
          <t>Auth</t>
        </is>
      </c>
      <c r="D79" s="4" t="inlineStr">
        <is>
          <t>Logout</t>
        </is>
      </c>
      <c r="E79" s="4" t="inlineStr">
        <is>
          <t>Admin Logout</t>
        </is>
      </c>
      <c r="F79" s="4" t="inlineStr">
        <is>
          <t>1. Click Logout</t>
        </is>
      </c>
      <c r="G79" s="13" t="inlineStr">
        <is>
          <t>https://nutrio.me/admin/auth</t>
        </is>
      </c>
      <c r="H79" s="4" t="inlineStr">
        <is>
          <t>Logged out, redirected to login</t>
        </is>
      </c>
      <c r="I79" s="4">
        <f>IF(I79="","",IF(I79=G79,"PASS","FAIL"))</f>
        <v/>
      </c>
      <c r="J79" s="4" t="n"/>
      <c r="K79" s="4" t="n"/>
      <c r="L79" s="5" t="inlineStr">
        <is>
          <t>High</t>
        </is>
      </c>
      <c r="M79" s="4" t="n"/>
    </row>
    <row r="80" ht="75" customHeight="1" s="16">
      <c r="A80" s="4" t="inlineStr">
        <is>
          <t>TC079</t>
        </is>
      </c>
      <c r="B80" s="4" t="inlineStr">
        <is>
          <t>Admin</t>
        </is>
      </c>
      <c r="C80" s="4" t="inlineStr">
        <is>
          <t>Auth</t>
        </is>
      </c>
      <c r="D80" s="4" t="inlineStr">
        <is>
          <t>Role Check</t>
        </is>
      </c>
      <c r="E80" s="4" t="inlineStr">
        <is>
          <t>Non-Admin Access Denied</t>
        </is>
      </c>
      <c r="F80" s="4" t="inlineStr">
        <is>
          <t>1. Login as customer
2. Try to access /admin</t>
        </is>
      </c>
      <c r="G80" s="13" t="inlineStr">
        <is>
          <t>https://nutrio.me/admin/auth</t>
        </is>
      </c>
      <c r="H80" s="4" t="inlineStr">
        <is>
          <t>Access denied, redirected to dashboard</t>
        </is>
      </c>
      <c r="I80" s="4">
        <f>IF(I80="","",IF(I80=G80,"PASS","FAIL"))</f>
        <v/>
      </c>
      <c r="J80" s="4" t="n"/>
      <c r="K80" s="4" t="n"/>
      <c r="L80" s="7" t="inlineStr">
        <is>
          <t>Critical</t>
        </is>
      </c>
      <c r="M80" s="4" t="n"/>
    </row>
    <row r="81" ht="90" customHeight="1" s="16">
      <c r="A81" s="4" t="inlineStr">
        <is>
          <t>TC080</t>
        </is>
      </c>
      <c r="B81" s="4" t="inlineStr">
        <is>
          <t>Admin</t>
        </is>
      </c>
      <c r="C81" s="4" t="inlineStr">
        <is>
          <t>Dashboard</t>
        </is>
      </c>
      <c r="D81" s="4" t="inlineStr">
        <is>
          <t>View</t>
        </is>
      </c>
      <c r="E81" s="4" t="inlineStr">
        <is>
          <t>Admin Dashboard Load</t>
        </is>
      </c>
      <c r="F81" s="4" t="inlineStr">
        <is>
          <t>1. Login as admin
2. View dashboard</t>
        </is>
      </c>
      <c r="G81" s="13" t="inlineStr">
        <is>
          <t>https://nutrio.me/admin/dashboard</t>
        </is>
      </c>
      <c r="H81" s="4" t="inlineStr">
        <is>
          <t>Dashboard shows: total users, orders, revenue, restaurants</t>
        </is>
      </c>
      <c r="I81" s="4">
        <f>IF(I81="","",IF(I81=G81,"PASS","FAIL"))</f>
        <v/>
      </c>
      <c r="J81" s="4" t="n"/>
      <c r="K81" s="4" t="n"/>
      <c r="L81" s="5" t="inlineStr">
        <is>
          <t>High</t>
        </is>
      </c>
      <c r="M81" s="4" t="n"/>
    </row>
    <row r="82" ht="60" customHeight="1" s="16">
      <c r="A82" s="4" t="inlineStr">
        <is>
          <t>TC081</t>
        </is>
      </c>
      <c r="B82" s="4" t="inlineStr">
        <is>
          <t>Admin</t>
        </is>
      </c>
      <c r="C82" s="4" t="inlineStr">
        <is>
          <t>Dashboard</t>
        </is>
      </c>
      <c r="D82" s="4" t="inlineStr">
        <is>
          <t>Stats</t>
        </is>
      </c>
      <c r="E82" s="4" t="inlineStr">
        <is>
          <t>Dashboard Statistics</t>
        </is>
      </c>
      <c r="F82" s="4" t="inlineStr">
        <is>
          <t>1. Verify all stats
2. Check graphs/charts</t>
        </is>
      </c>
      <c r="G82" s="13" t="inlineStr">
        <is>
          <t>https://nutrio.me/admin/dashboard</t>
        </is>
      </c>
      <c r="H82" s="4" t="inlineStr">
        <is>
          <t>All metrics accurate and up-to-date</t>
        </is>
      </c>
      <c r="I82" s="4">
        <f>IF(I82="","",IF(I82=G82,"PASS","FAIL"))</f>
        <v/>
      </c>
      <c r="J82" s="4" t="n"/>
      <c r="K82" s="4" t="n"/>
      <c r="L82" s="5" t="inlineStr">
        <is>
          <t>High</t>
        </is>
      </c>
      <c r="M82" s="4" t="n"/>
    </row>
    <row r="83" ht="45" customHeight="1" s="16">
      <c r="A83" s="4" t="inlineStr">
        <is>
          <t>TC082</t>
        </is>
      </c>
      <c r="B83" s="4" t="inlineStr">
        <is>
          <t>Admin</t>
        </is>
      </c>
      <c r="C83" s="4" t="inlineStr">
        <is>
          <t>Dashboard</t>
        </is>
      </c>
      <c r="D83" s="4" t="inlineStr">
        <is>
          <t>Quick Actions</t>
        </is>
      </c>
      <c r="E83" s="4" t="inlineStr">
        <is>
          <t>Admin Quick Actions</t>
        </is>
      </c>
      <c r="F83" s="4" t="inlineStr">
        <is>
          <t>1. Click on each quick action button</t>
        </is>
      </c>
      <c r="G83" s="13" t="inlineStr">
        <is>
          <t>https://nutrio.me/admin/dashboard</t>
        </is>
      </c>
      <c r="H83" s="4" t="inlineStr">
        <is>
          <t>Navigates to correct section</t>
        </is>
      </c>
      <c r="I83" s="4">
        <f>IF(I83="","",IF(I83=G83,"PASS","FAIL"))</f>
        <v/>
      </c>
      <c r="J83" s="4" t="n"/>
      <c r="K83" s="4" t="n"/>
      <c r="L83" s="6" t="inlineStr">
        <is>
          <t>Medium</t>
        </is>
      </c>
      <c r="M83" s="4" t="n"/>
    </row>
    <row r="84" ht="90" customHeight="1" s="16">
      <c r="A84" s="4" t="inlineStr">
        <is>
          <t>TC083</t>
        </is>
      </c>
      <c r="B84" s="4" t="inlineStr">
        <is>
          <t>Admin</t>
        </is>
      </c>
      <c r="C84" s="4" t="inlineStr">
        <is>
          <t>Dashboard</t>
        </is>
      </c>
      <c r="D84" s="4" t="inlineStr">
        <is>
          <t>Recent Activity</t>
        </is>
      </c>
      <c r="E84" s="4" t="inlineStr">
        <is>
          <t>View Recent Activity</t>
        </is>
      </c>
      <c r="F84" s="4" t="inlineStr">
        <is>
          <t>1. Scroll to recent activity
2. View latest actions</t>
        </is>
      </c>
      <c r="G84" s="13" t="inlineStr">
        <is>
          <t>https://nutrio.me/admin/dashboard/[id]</t>
        </is>
      </c>
      <c r="H84" s="4" t="inlineStr">
        <is>
          <t>Recent orders, signups, restaurant applications shown</t>
        </is>
      </c>
      <c r="I84" s="4">
        <f>IF(I84="","",IF(I84=G84,"PASS","FAIL"))</f>
        <v/>
      </c>
      <c r="J84" s="4" t="n"/>
      <c r="K84" s="4" t="n"/>
      <c r="L84" s="6" t="inlineStr">
        <is>
          <t>Medium</t>
        </is>
      </c>
      <c r="M84" s="4" t="n"/>
    </row>
    <row r="85" ht="75" customHeight="1" s="16">
      <c r="A85" s="4" t="inlineStr">
        <is>
          <t>TC084</t>
        </is>
      </c>
      <c r="B85" s="4" t="inlineStr">
        <is>
          <t>Admin</t>
        </is>
      </c>
      <c r="C85" s="4" t="inlineStr">
        <is>
          <t>Users</t>
        </is>
      </c>
      <c r="D85" s="4" t="inlineStr">
        <is>
          <t>View Users</t>
        </is>
      </c>
      <c r="E85" s="4" t="inlineStr">
        <is>
          <t>View All Users</t>
        </is>
      </c>
      <c r="F85" s="4" t="inlineStr">
        <is>
          <t>1. Go to Users page
2. View user list</t>
        </is>
      </c>
      <c r="G85" s="13" t="inlineStr">
        <is>
          <t>https://nutrio.me/admin/users/[id]</t>
        </is>
      </c>
      <c r="H85" s="4" t="inlineStr">
        <is>
          <t>All users displayed with roles, status, subscription</t>
        </is>
      </c>
      <c r="I85" s="4">
        <f>IF(I85="","",IF(I85=G85,"PASS","FAIL"))</f>
        <v/>
      </c>
      <c r="J85" s="4" t="n"/>
      <c r="K85" s="4" t="n"/>
      <c r="L85" s="5" t="inlineStr">
        <is>
          <t>High</t>
        </is>
      </c>
      <c r="M85" s="4" t="n"/>
    </row>
    <row r="86" ht="45" customHeight="1" s="16">
      <c r="A86" s="4" t="inlineStr">
        <is>
          <t>TC085</t>
        </is>
      </c>
      <c r="B86" s="4" t="inlineStr">
        <is>
          <t>Admin</t>
        </is>
      </c>
      <c r="C86" s="4" t="inlineStr">
        <is>
          <t>Users</t>
        </is>
      </c>
      <c r="D86" s="4" t="inlineStr">
        <is>
          <t>Search User</t>
        </is>
      </c>
      <c r="E86" s="4" t="inlineStr">
        <is>
          <t>Search for User</t>
        </is>
      </c>
      <c r="F86" s="4" t="inlineStr">
        <is>
          <t>1. Enter name/email in search
2. Press Enter</t>
        </is>
      </c>
      <c r="G86" s="13" t="inlineStr">
        <is>
          <t>https://nutrio.me/admin/users?q=[search-term]</t>
        </is>
      </c>
      <c r="H86" s="4" t="inlineStr">
        <is>
          <t>Matching users displayed</t>
        </is>
      </c>
      <c r="I86" s="4">
        <f>IF(I86="","",IF(I86=G86,"PASS","FAIL"))</f>
        <v/>
      </c>
      <c r="J86" s="4" t="n"/>
      <c r="K86" s="4" t="n"/>
      <c r="L86" s="5" t="inlineStr">
        <is>
          <t>High</t>
        </is>
      </c>
      <c r="M86" s="4" t="n"/>
    </row>
    <row r="87" ht="45" customHeight="1" s="16">
      <c r="A87" s="4" t="inlineStr">
        <is>
          <t>TC086</t>
        </is>
      </c>
      <c r="B87" s="4" t="inlineStr">
        <is>
          <t>Admin</t>
        </is>
      </c>
      <c r="C87" s="4" t="inlineStr">
        <is>
          <t>Users</t>
        </is>
      </c>
      <c r="D87" s="4" t="inlineStr">
        <is>
          <t>Filter Users</t>
        </is>
      </c>
      <c r="E87" s="4" t="inlineStr">
        <is>
          <t>Filter Users by Status</t>
        </is>
      </c>
      <c r="F87" s="4" t="inlineStr">
        <is>
          <t>1. Select filter (Active/Inactive/Subscribed)
2. Apply</t>
        </is>
      </c>
      <c r="G87" s="13" t="inlineStr">
        <is>
          <t>https://nutrio.me/admin/users?filter=[value]</t>
        </is>
      </c>
      <c r="H87" s="4" t="inlineStr">
        <is>
          <t>Filtered user list displayed</t>
        </is>
      </c>
      <c r="I87" s="4">
        <f>IF(I87="","",IF(I87=G87,"PASS","FAIL"))</f>
        <v/>
      </c>
      <c r="J87" s="4" t="n"/>
      <c r="K87" s="4" t="n"/>
      <c r="L87" s="6" t="inlineStr">
        <is>
          <t>Medium</t>
        </is>
      </c>
      <c r="M87" s="4" t="n"/>
    </row>
    <row r="88" ht="90" customHeight="1" s="16">
      <c r="A88" s="4" t="inlineStr">
        <is>
          <t>TC087</t>
        </is>
      </c>
      <c r="B88" s="4" t="inlineStr">
        <is>
          <t>Admin</t>
        </is>
      </c>
      <c r="C88" s="4" t="inlineStr">
        <is>
          <t>Users</t>
        </is>
      </c>
      <c r="D88" s="4" t="inlineStr">
        <is>
          <t>View User Details</t>
        </is>
      </c>
      <c r="E88" s="4" t="inlineStr">
        <is>
          <t>View User Details</t>
        </is>
      </c>
      <c r="F88" s="4" t="inlineStr">
        <is>
          <t>1. Click on user
2. View details page</t>
        </is>
      </c>
      <c r="G88" s="13" t="inlineStr">
        <is>
          <t>https://nutrio.me/admin/users/[id]</t>
        </is>
      </c>
      <c r="H88" s="4" t="inlineStr">
        <is>
          <t>Full user info: profile, orders, subscription, referrals</t>
        </is>
      </c>
      <c r="I88" s="4">
        <f>IF(I88="","",IF(I88=G88,"PASS","FAIL"))</f>
        <v/>
      </c>
      <c r="J88" s="4" t="n"/>
      <c r="K88" s="4" t="n"/>
      <c r="L88" s="5" t="inlineStr">
        <is>
          <t>High</t>
        </is>
      </c>
      <c r="M88" s="4" t="n"/>
    </row>
    <row r="89" ht="60" customHeight="1" s="16">
      <c r="A89" s="4" t="inlineStr">
        <is>
          <t>TC088</t>
        </is>
      </c>
      <c r="B89" s="4" t="inlineStr">
        <is>
          <t>Admin</t>
        </is>
      </c>
      <c r="C89" s="4" t="inlineStr">
        <is>
          <t>Users</t>
        </is>
      </c>
      <c r="D89" s="4" t="inlineStr">
        <is>
          <t>Edit User</t>
        </is>
      </c>
      <c r="E89" s="4" t="inlineStr">
        <is>
          <t>Edit User Information</t>
        </is>
      </c>
      <c r="F89" s="4" t="inlineStr">
        <is>
          <t>1. Open user details
2. Click Edit
3. Change info
4. Save</t>
        </is>
      </c>
      <c r="G89" s="13" t="inlineStr">
        <is>
          <t>https://nutrio.me/admin/users/[id]/edit</t>
        </is>
      </c>
      <c r="H89" s="4" t="inlineStr">
        <is>
          <t>User information updated</t>
        </is>
      </c>
      <c r="I89" s="4">
        <f>IF(I89="","",IF(I89=G89,"PASS","FAIL"))</f>
        <v/>
      </c>
      <c r="J89" s="4" t="n"/>
      <c r="K89" s="4" t="n"/>
      <c r="L89" s="6" t="inlineStr">
        <is>
          <t>Medium</t>
        </is>
      </c>
      <c r="M89" s="4" t="n"/>
    </row>
    <row r="90" ht="45" customHeight="1" s="16">
      <c r="A90" s="4" t="inlineStr">
        <is>
          <t>TC089</t>
        </is>
      </c>
      <c r="B90" s="4" t="inlineStr">
        <is>
          <t>Admin</t>
        </is>
      </c>
      <c r="C90" s="4" t="inlineStr">
        <is>
          <t>Users</t>
        </is>
      </c>
      <c r="D90" s="4" t="inlineStr">
        <is>
          <t>Deactivate User</t>
        </is>
      </c>
      <c r="E90" s="4" t="inlineStr">
        <is>
          <t>Deactivate User Account</t>
        </is>
      </c>
      <c r="F90" s="4" t="inlineStr">
        <is>
          <t>1. Find user
2. Click Deactivate
3. Confirm</t>
        </is>
      </c>
      <c r="G90" s="13" t="inlineStr">
        <is>
          <t>https://nutrio.me/admin/users</t>
        </is>
      </c>
      <c r="H90" s="4" t="inlineStr">
        <is>
          <t>User account deactivated</t>
        </is>
      </c>
      <c r="I90" s="4">
        <f>IF(I90="","",IF(I90=G90,"PASS","FAIL"))</f>
        <v/>
      </c>
      <c r="J90" s="4" t="n"/>
      <c r="K90" s="4" t="n"/>
      <c r="L90" s="6" t="inlineStr">
        <is>
          <t>Medium</t>
        </is>
      </c>
      <c r="M90" s="4" t="n"/>
    </row>
    <row r="91" ht="45" customHeight="1" s="16">
      <c r="A91" s="4" t="inlineStr">
        <is>
          <t>TC090</t>
        </is>
      </c>
      <c r="B91" s="4" t="inlineStr">
        <is>
          <t>Admin</t>
        </is>
      </c>
      <c r="C91" s="4" t="inlineStr">
        <is>
          <t>Users</t>
        </is>
      </c>
      <c r="D91" s="4" t="inlineStr">
        <is>
          <t>Delete User</t>
        </is>
      </c>
      <c r="E91" s="4" t="inlineStr">
        <is>
          <t>Delete User Account</t>
        </is>
      </c>
      <c r="F91" s="4" t="inlineStr">
        <is>
          <t>1. Find user
2. Click Delete
3. Confirm deletion</t>
        </is>
      </c>
      <c r="G91" s="13" t="inlineStr">
        <is>
          <t>https://nutrio.me/admin/users</t>
        </is>
      </c>
      <c r="H91" s="4" t="inlineStr">
        <is>
          <t>User permanently deleted</t>
        </is>
      </c>
      <c r="I91" s="4">
        <f>IF(I91="","",IF(I91=G91,"PASS","FAIL"))</f>
        <v/>
      </c>
      <c r="J91" s="4" t="n"/>
      <c r="K91" s="4" t="n"/>
      <c r="L91" s="6" t="inlineStr">
        <is>
          <t>Medium</t>
        </is>
      </c>
      <c r="M91" s="4" t="n"/>
    </row>
    <row r="92" ht="90" customHeight="1" s="16">
      <c r="A92" s="4" t="inlineStr">
        <is>
          <t>TC091</t>
        </is>
      </c>
      <c r="B92" s="4" t="inlineStr">
        <is>
          <t>Admin</t>
        </is>
      </c>
      <c r="C92" s="4" t="inlineStr">
        <is>
          <t>Restaurants</t>
        </is>
      </c>
      <c r="D92" s="4" t="inlineStr">
        <is>
          <t>View All</t>
        </is>
      </c>
      <c r="E92" s="4" t="inlineStr">
        <is>
          <t>View All Restaurants</t>
        </is>
      </c>
      <c r="F92" s="4" t="inlineStr">
        <is>
          <t>1. Go to Restaurants page
2. View list</t>
        </is>
      </c>
      <c r="G92" s="13" t="inlineStr">
        <is>
          <t>https://nutrio.me/admin/restaurants/[id]</t>
        </is>
      </c>
      <c r="H92" s="4" t="inlineStr">
        <is>
          <t>All restaurants displayed with status, ratings, earnings</t>
        </is>
      </c>
      <c r="I92" s="4">
        <f>IF(I92="","",IF(I92=G92,"PASS","FAIL"))</f>
        <v/>
      </c>
      <c r="J92" s="4" t="n"/>
      <c r="K92" s="4" t="n"/>
      <c r="L92" s="5" t="inlineStr">
        <is>
          <t>High</t>
        </is>
      </c>
      <c r="M92" s="4" t="n"/>
    </row>
    <row r="93" ht="45" customHeight="1" s="16">
      <c r="A93" s="4" t="inlineStr">
        <is>
          <t>TC092</t>
        </is>
      </c>
      <c r="B93" s="4" t="inlineStr">
        <is>
          <t>Admin</t>
        </is>
      </c>
      <c r="C93" s="4" t="inlineStr">
        <is>
          <t>Restaurants</t>
        </is>
      </c>
      <c r="D93" s="4" t="inlineStr">
        <is>
          <t>View Pending</t>
        </is>
      </c>
      <c r="E93" s="4" t="inlineStr">
        <is>
          <t>View Pending Applications</t>
        </is>
      </c>
      <c r="F93" s="4" t="inlineStr">
        <is>
          <t>1. Click Pending tab
2. View pending restaurants</t>
        </is>
      </c>
      <c r="G93" s="13" t="inlineStr">
        <is>
          <t>https://nutrio.me/admin/restaurants/[id]</t>
        </is>
      </c>
      <c r="H93" s="4" t="inlineStr">
        <is>
          <t>All pending applications displayed</t>
        </is>
      </c>
      <c r="I93" s="4">
        <f>IF(I93="","",IF(I93=G93,"PASS","FAIL"))</f>
        <v/>
      </c>
      <c r="J93" s="4" t="n"/>
      <c r="K93" s="4" t="n"/>
      <c r="L93" s="5" t="inlineStr">
        <is>
          <t>High</t>
        </is>
      </c>
      <c r="M93" s="4" t="n"/>
    </row>
    <row r="94" ht="75" customHeight="1" s="16">
      <c r="A94" s="4" t="inlineStr">
        <is>
          <t>TC093</t>
        </is>
      </c>
      <c r="B94" s="4" t="inlineStr">
        <is>
          <t>Admin</t>
        </is>
      </c>
      <c r="C94" s="4" t="inlineStr">
        <is>
          <t>Restaurants</t>
        </is>
      </c>
      <c r="D94" s="4" t="inlineStr">
        <is>
          <t>Approve</t>
        </is>
      </c>
      <c r="E94" s="4" t="inlineStr">
        <is>
          <t>Approve Restaurant</t>
        </is>
      </c>
      <c r="F94" s="4" t="inlineStr">
        <is>
          <t>1. Open pending restaurant
2. Review details
3. Set payout rate
4. Click Approve</t>
        </is>
      </c>
      <c r="G94" s="13" t="inlineStr">
        <is>
          <t>https://nutrio.me/admin/restaurants</t>
        </is>
      </c>
      <c r="H94" s="4" t="inlineStr">
        <is>
          <t>Restaurant approved, status changes to active</t>
        </is>
      </c>
      <c r="I94" s="4">
        <f>IF(I94="","",IF(I94=G94,"PASS","FAIL"))</f>
        <v/>
      </c>
      <c r="J94" s="4" t="n"/>
      <c r="K94" s="4" t="n"/>
      <c r="L94" s="7" t="inlineStr">
        <is>
          <t>Critical</t>
        </is>
      </c>
      <c r="M94" s="4" t="n"/>
    </row>
    <row r="95" ht="60" customHeight="1" s="16">
      <c r="A95" s="4" t="inlineStr">
        <is>
          <t>TC094</t>
        </is>
      </c>
      <c r="B95" s="4" t="inlineStr">
        <is>
          <t>Admin</t>
        </is>
      </c>
      <c r="C95" s="4" t="inlineStr">
        <is>
          <t>Restaurants</t>
        </is>
      </c>
      <c r="D95" s="4" t="inlineStr">
        <is>
          <t>Reject</t>
        </is>
      </c>
      <c r="E95" s="4" t="inlineStr">
        <is>
          <t>Reject Restaurant Application</t>
        </is>
      </c>
      <c r="F95" s="4" t="inlineStr">
        <is>
          <t>1. Open pending restaurant
2. Click Reject
3. Add reason
4. Confirm</t>
        </is>
      </c>
      <c r="G95" s="13" t="inlineStr">
        <is>
          <t>https://nutrio.me/admin/restaurants</t>
        </is>
      </c>
      <c r="H95" s="4" t="inlineStr">
        <is>
          <t>Application rejected, restaurant notified</t>
        </is>
      </c>
      <c r="I95" s="4">
        <f>IF(I95="","",IF(I95=G95,"PASS","FAIL"))</f>
        <v/>
      </c>
      <c r="J95" s="4" t="n"/>
      <c r="K95" s="4" t="n"/>
      <c r="L95" s="5" t="inlineStr">
        <is>
          <t>High</t>
        </is>
      </c>
      <c r="M95" s="4" t="n"/>
    </row>
    <row r="96" ht="90" customHeight="1" s="16">
      <c r="A96" s="4" t="inlineStr">
        <is>
          <t>TC095</t>
        </is>
      </c>
      <c r="B96" s="4" t="inlineStr">
        <is>
          <t>Admin</t>
        </is>
      </c>
      <c r="C96" s="4" t="inlineStr">
        <is>
          <t>Restaurants</t>
        </is>
      </c>
      <c r="D96" s="4" t="inlineStr">
        <is>
          <t>View Details</t>
        </is>
      </c>
      <c r="E96" s="4" t="inlineStr">
        <is>
          <t>View Restaurant Details</t>
        </is>
      </c>
      <c r="F96" s="4" t="inlineStr">
        <is>
          <t>1. Click on restaurant
2. View full profile</t>
        </is>
      </c>
      <c r="G96" s="13" t="inlineStr">
        <is>
          <t>https://nutrio.me/admin/restaurants/[id]</t>
        </is>
      </c>
      <c r="H96" s="4" t="inlineStr">
        <is>
          <t>All restaurant info: orders, earnings, ratings, menu</t>
        </is>
      </c>
      <c r="I96" s="4">
        <f>IF(I96="","",IF(I96=G96,"PASS","FAIL"))</f>
        <v/>
      </c>
      <c r="J96" s="4" t="n"/>
      <c r="K96" s="4" t="n"/>
      <c r="L96" s="5" t="inlineStr">
        <is>
          <t>High</t>
        </is>
      </c>
      <c r="M96" s="4" t="n"/>
    </row>
    <row r="97" ht="60" customHeight="1" s="16">
      <c r="A97" s="4" t="inlineStr">
        <is>
          <t>TC096</t>
        </is>
      </c>
      <c r="B97" s="4" t="inlineStr">
        <is>
          <t>Admin</t>
        </is>
      </c>
      <c r="C97" s="4" t="inlineStr">
        <is>
          <t>Restaurants</t>
        </is>
      </c>
      <c r="D97" s="4" t="inlineStr">
        <is>
          <t>Edit Restaurant</t>
        </is>
      </c>
      <c r="E97" s="4" t="inlineStr">
        <is>
          <t>Edit Restaurant Information</t>
        </is>
      </c>
      <c r="F97" s="4" t="inlineStr">
        <is>
          <t>1. Open restaurant
2. Click Edit
3. Modify details
4. Save</t>
        </is>
      </c>
      <c r="G97" s="13" t="inlineStr">
        <is>
          <t>https://nutrio.me/admin/restaurants/[id]/edit</t>
        </is>
      </c>
      <c r="H97" s="4" t="inlineStr">
        <is>
          <t>Restaurant information updated</t>
        </is>
      </c>
      <c r="I97" s="4">
        <f>IF(I97="","",IF(I97=G97,"PASS","FAIL"))</f>
        <v/>
      </c>
      <c r="J97" s="4" t="n"/>
      <c r="K97" s="4" t="n"/>
      <c r="L97" s="6" t="inlineStr">
        <is>
          <t>Medium</t>
        </is>
      </c>
      <c r="M97" s="4" t="n"/>
    </row>
    <row r="98" ht="45" customHeight="1" s="16">
      <c r="A98" s="4" t="inlineStr">
        <is>
          <t>TC097</t>
        </is>
      </c>
      <c r="B98" s="4" t="inlineStr">
        <is>
          <t>Admin</t>
        </is>
      </c>
      <c r="C98" s="4" t="inlineStr">
        <is>
          <t>Restaurants</t>
        </is>
      </c>
      <c r="D98" s="4" t="inlineStr">
        <is>
          <t>Set Payout</t>
        </is>
      </c>
      <c r="E98" s="4" t="inlineStr">
        <is>
          <t>Set Restaurant Payout Rate</t>
        </is>
      </c>
      <c r="F98" s="4" t="inlineStr">
        <is>
          <t>1. Open restaurant
2. Edit payout rate
3. Save</t>
        </is>
      </c>
      <c r="G98" s="13" t="inlineStr">
        <is>
          <t>https://nutrio.me/admin/restaurants</t>
        </is>
      </c>
      <c r="H98" s="4" t="inlineStr">
        <is>
          <t>New payout rate applied</t>
        </is>
      </c>
      <c r="I98" s="4">
        <f>IF(I98="","",IF(I98=G98,"PASS","FAIL"))</f>
        <v/>
      </c>
      <c r="J98" s="4" t="n"/>
      <c r="K98" s="4" t="n"/>
      <c r="L98" s="5" t="inlineStr">
        <is>
          <t>High</t>
        </is>
      </c>
      <c r="M98" s="4" t="n"/>
    </row>
    <row r="99" ht="75" customHeight="1" s="16">
      <c r="A99" s="4" t="inlineStr">
        <is>
          <t>TC098</t>
        </is>
      </c>
      <c r="B99" s="4" t="inlineStr">
        <is>
          <t>Admin</t>
        </is>
      </c>
      <c r="C99" s="4" t="inlineStr">
        <is>
          <t>Restaurants</t>
        </is>
      </c>
      <c r="D99" s="4" t="inlineStr">
        <is>
          <t>Suspend</t>
        </is>
      </c>
      <c r="E99" s="4" t="inlineStr">
        <is>
          <t>Suspend Restaurant</t>
        </is>
      </c>
      <c r="F99" s="4" t="inlineStr">
        <is>
          <t>1. Find restaurant
2. Click Suspend
3. Add reason
4. Confirm</t>
        </is>
      </c>
      <c r="G99" s="13" t="inlineStr">
        <is>
          <t>https://nutrio.me/admin/restaurants</t>
        </is>
      </c>
      <c r="H99" s="4" t="inlineStr">
        <is>
          <t>Restaurant suspended, cannot receive orders</t>
        </is>
      </c>
      <c r="I99" s="4">
        <f>IF(I99="","",IF(I99=G99,"PASS","FAIL"))</f>
        <v/>
      </c>
      <c r="J99" s="4" t="n"/>
      <c r="K99" s="4" t="n"/>
      <c r="L99" s="5" t="inlineStr">
        <is>
          <t>High</t>
        </is>
      </c>
      <c r="M99" s="4" t="n"/>
    </row>
    <row r="100" ht="60" customHeight="1" s="16">
      <c r="A100" s="4" t="inlineStr">
        <is>
          <t>TC099</t>
        </is>
      </c>
      <c r="B100" s="4" t="inlineStr">
        <is>
          <t>Admin</t>
        </is>
      </c>
      <c r="C100" s="4" t="inlineStr">
        <is>
          <t>Restaurants</t>
        </is>
      </c>
      <c r="D100" s="4" t="inlineStr">
        <is>
          <t>Reactivate</t>
        </is>
      </c>
      <c r="E100" s="4" t="inlineStr">
        <is>
          <t>Reactivate Restaurant</t>
        </is>
      </c>
      <c r="F100" s="4" t="inlineStr">
        <is>
          <t>1. Find suspended restaurant
2. Click Reactivate
3. Confirm</t>
        </is>
      </c>
      <c r="G100" s="13" t="inlineStr">
        <is>
          <t>https://nutrio.me/admin/restaurants</t>
        </is>
      </c>
      <c r="H100" s="4" t="inlineStr">
        <is>
          <t>Restaurant reactivated, can receive orders</t>
        </is>
      </c>
      <c r="I100" s="4">
        <f>IF(I100="","",IF(I100=G100,"PASS","FAIL"))</f>
        <v/>
      </c>
      <c r="J100" s="4" t="n"/>
      <c r="K100" s="4" t="n"/>
      <c r="L100" s="5" t="inlineStr">
        <is>
          <t>High</t>
        </is>
      </c>
      <c r="M100" s="4" t="n"/>
    </row>
    <row r="101" ht="60" customHeight="1" s="16">
      <c r="A101" s="4" t="inlineStr">
        <is>
          <t>TC100</t>
        </is>
      </c>
      <c r="B101" s="4" t="inlineStr">
        <is>
          <t>Admin</t>
        </is>
      </c>
      <c r="C101" s="4" t="inlineStr">
        <is>
          <t>Restaurants</t>
        </is>
      </c>
      <c r="D101" s="4" t="inlineStr">
        <is>
          <t>Delete</t>
        </is>
      </c>
      <c r="E101" s="4" t="inlineStr">
        <is>
          <t>Delete Restaurant</t>
        </is>
      </c>
      <c r="F101" s="4" t="inlineStr">
        <is>
          <t>1. Find restaurant
2. Click Delete
3. Confirm</t>
        </is>
      </c>
      <c r="G101" s="13" t="inlineStr">
        <is>
          <t>https://nutrio.me/admin/restaurants</t>
        </is>
      </c>
      <c r="H101" s="4" t="inlineStr">
        <is>
          <t>Restaurant removed from platform</t>
        </is>
      </c>
      <c r="I101" s="4">
        <f>IF(I101="","",IF(I101=G101,"PASS","FAIL"))</f>
        <v/>
      </c>
      <c r="J101" s="4" t="n"/>
      <c r="K101" s="4" t="n"/>
      <c r="L101" s="6" t="inlineStr">
        <is>
          <t>Medium</t>
        </is>
      </c>
      <c r="M101" s="4" t="n"/>
    </row>
    <row r="102" ht="60" customHeight="1" s="16">
      <c r="A102" s="4" t="inlineStr">
        <is>
          <t>TC101</t>
        </is>
      </c>
      <c r="B102" s="4" t="inlineStr">
        <is>
          <t>Admin</t>
        </is>
      </c>
      <c r="C102" s="4" t="inlineStr">
        <is>
          <t>Orders</t>
        </is>
      </c>
      <c r="D102" s="4" t="inlineStr">
        <is>
          <t>View All</t>
        </is>
      </c>
      <c r="E102" s="4" t="inlineStr">
        <is>
          <t>View All Orders</t>
        </is>
      </c>
      <c r="F102" s="4" t="inlineStr">
        <is>
          <t>1. Go to Orders page
2. View all orders</t>
        </is>
      </c>
      <c r="G102" s="13" t="inlineStr">
        <is>
          <t>https://nutrio.me/admin/orders/[id]</t>
        </is>
      </c>
      <c r="H102" s="4" t="inlineStr">
        <is>
          <t>All orders displayed with filters and search</t>
        </is>
      </c>
      <c r="I102" s="4">
        <f>IF(I102="","",IF(I102=G102,"PASS","FAIL"))</f>
        <v/>
      </c>
      <c r="J102" s="4" t="n"/>
      <c r="K102" s="4" t="n"/>
      <c r="L102" s="5" t="inlineStr">
        <is>
          <t>High</t>
        </is>
      </c>
      <c r="M102" s="4" t="n"/>
    </row>
    <row r="103" ht="45" customHeight="1" s="16">
      <c r="A103" s="4" t="inlineStr">
        <is>
          <t>TC102</t>
        </is>
      </c>
      <c r="B103" s="4" t="inlineStr">
        <is>
          <t>Admin</t>
        </is>
      </c>
      <c r="C103" s="4" t="inlineStr">
        <is>
          <t>Orders</t>
        </is>
      </c>
      <c r="D103" s="4" t="inlineStr">
        <is>
          <t>Filter Status</t>
        </is>
      </c>
      <c r="E103" s="4" t="inlineStr">
        <is>
          <t>Filter by Order Status</t>
        </is>
      </c>
      <c r="F103" s="4" t="inlineStr">
        <is>
          <t>1. Select status filter
2. Apply</t>
        </is>
      </c>
      <c r="G103" s="13" t="inlineStr">
        <is>
          <t>https://nutrio.me/admin/orders?filter=[value]</t>
        </is>
      </c>
      <c r="H103" s="4" t="inlineStr">
        <is>
          <t>Orders filtered by status</t>
        </is>
      </c>
      <c r="I103" s="4">
        <f>IF(I103="","",IF(I103=G103,"PASS","FAIL"))</f>
        <v/>
      </c>
      <c r="J103" s="4" t="n"/>
      <c r="K103" s="4" t="n"/>
      <c r="L103" s="5" t="inlineStr">
        <is>
          <t>High</t>
        </is>
      </c>
      <c r="M103" s="4" t="n"/>
    </row>
    <row r="104" ht="45" customHeight="1" s="16">
      <c r="A104" s="4" t="inlineStr">
        <is>
          <t>TC103</t>
        </is>
      </c>
      <c r="B104" s="4" t="inlineStr">
        <is>
          <t>Admin</t>
        </is>
      </c>
      <c r="C104" s="4" t="inlineStr">
        <is>
          <t>Orders</t>
        </is>
      </c>
      <c r="D104" s="4" t="inlineStr">
        <is>
          <t>Search Order</t>
        </is>
      </c>
      <c r="E104" s="4" t="inlineStr">
        <is>
          <t>Search for Order</t>
        </is>
      </c>
      <c r="F104" s="4" t="inlineStr">
        <is>
          <t>1. Enter order ID or customer
2. Search</t>
        </is>
      </c>
      <c r="G104" s="13" t="inlineStr">
        <is>
          <t>https://nutrio.me/admin/orders?q=[search-term]</t>
        </is>
      </c>
      <c r="H104" s="4" t="inlineStr">
        <is>
          <t>Matching orders displayed</t>
        </is>
      </c>
      <c r="I104" s="4">
        <f>IF(I104="","",IF(I104=G104,"PASS","FAIL"))</f>
        <v/>
      </c>
      <c r="J104" s="4" t="n"/>
      <c r="K104" s="4" t="n"/>
      <c r="L104" s="5" t="inlineStr">
        <is>
          <t>High</t>
        </is>
      </c>
      <c r="M104" s="4" t="n"/>
    </row>
    <row r="105" ht="90" customHeight="1" s="16">
      <c r="A105" s="4" t="inlineStr">
        <is>
          <t>TC104</t>
        </is>
      </c>
      <c r="B105" s="4" t="inlineStr">
        <is>
          <t>Admin</t>
        </is>
      </c>
      <c r="C105" s="4" t="inlineStr">
        <is>
          <t>Orders</t>
        </is>
      </c>
      <c r="D105" s="4" t="inlineStr">
        <is>
          <t>View Details</t>
        </is>
      </c>
      <c r="E105" s="4" t="inlineStr">
        <is>
          <t>View Order Details</t>
        </is>
      </c>
      <c r="F105" s="4" t="inlineStr">
        <is>
          <t>1. Click on order
2. View details</t>
        </is>
      </c>
      <c r="G105" s="13" t="inlineStr">
        <is>
          <t>https://nutrio.me/admin/orders/[id]</t>
        </is>
      </c>
      <c r="H105" s="4" t="inlineStr">
        <is>
          <t>Full order info: items, customer, restaurant, status, payment</t>
        </is>
      </c>
      <c r="I105" s="4">
        <f>IF(I105="","",IF(I105=G105,"PASS","FAIL"))</f>
        <v/>
      </c>
      <c r="J105" s="4" t="n"/>
      <c r="K105" s="4" t="n"/>
      <c r="L105" s="5" t="inlineStr">
        <is>
          <t>High</t>
        </is>
      </c>
      <c r="M105" s="4" t="n"/>
    </row>
    <row r="106" ht="45" customHeight="1" s="16">
      <c r="A106" s="4" t="inlineStr">
        <is>
          <t>TC105</t>
        </is>
      </c>
      <c r="B106" s="4" t="inlineStr">
        <is>
          <t>Admin</t>
        </is>
      </c>
      <c r="C106" s="4" t="inlineStr">
        <is>
          <t>Orders</t>
        </is>
      </c>
      <c r="D106" s="4" t="inlineStr">
        <is>
          <t>Update Status</t>
        </is>
      </c>
      <c r="E106" s="4" t="inlineStr">
        <is>
          <t>Update Order Status</t>
        </is>
      </c>
      <c r="F106" s="4" t="inlineStr">
        <is>
          <t>1. Open order
2. Change status
3. Save</t>
        </is>
      </c>
      <c r="G106" s="13" t="inlineStr">
        <is>
          <t>https://nutrio.me/admin/orders/[id]/edit</t>
        </is>
      </c>
      <c r="H106" s="4" t="inlineStr">
        <is>
          <t>Order status updated</t>
        </is>
      </c>
      <c r="I106" s="4">
        <f>IF(I106="","",IF(I106=G106,"PASS","FAIL"))</f>
        <v/>
      </c>
      <c r="J106" s="4" t="n"/>
      <c r="K106" s="4" t="n"/>
      <c r="L106" s="6" t="inlineStr">
        <is>
          <t>Medium</t>
        </is>
      </c>
      <c r="M106" s="4" t="n"/>
    </row>
    <row r="107" ht="60" customHeight="1" s="16">
      <c r="A107" s="4" t="inlineStr">
        <is>
          <t>TC106</t>
        </is>
      </c>
      <c r="B107" s="4" t="inlineStr">
        <is>
          <t>Admin</t>
        </is>
      </c>
      <c r="C107" s="4" t="inlineStr">
        <is>
          <t>Orders</t>
        </is>
      </c>
      <c r="D107" s="4" t="inlineStr">
        <is>
          <t>Cancel Order</t>
        </is>
      </c>
      <c r="E107" s="4" t="inlineStr">
        <is>
          <t>Cancel Order</t>
        </is>
      </c>
      <c r="F107" s="4" t="inlineStr">
        <is>
          <t>1. Open order
2. Click Cancel
3. Add reason
4. Confirm</t>
        </is>
      </c>
      <c r="G107" s="13" t="inlineStr">
        <is>
          <t>https://nutrio.me/admin/orders</t>
        </is>
      </c>
      <c r="H107" s="4" t="inlineStr">
        <is>
          <t>Order cancelled, refund processed</t>
        </is>
      </c>
      <c r="I107" s="4">
        <f>IF(I107="","",IF(I107=G107,"PASS","FAIL"))</f>
        <v/>
      </c>
      <c r="J107" s="4" t="n"/>
      <c r="K107" s="4" t="n"/>
      <c r="L107" s="6" t="inlineStr">
        <is>
          <t>Medium</t>
        </is>
      </c>
      <c r="M107" s="4" t="n"/>
    </row>
    <row r="108" ht="60" customHeight="1" s="16">
      <c r="A108" s="4" t="inlineStr">
        <is>
          <t>TC107</t>
        </is>
      </c>
      <c r="B108" s="4" t="inlineStr">
        <is>
          <t>Admin</t>
        </is>
      </c>
      <c r="C108" s="4" t="inlineStr">
        <is>
          <t>Orders</t>
        </is>
      </c>
      <c r="D108" s="4" t="inlineStr">
        <is>
          <t>Refund</t>
        </is>
      </c>
      <c r="E108" s="4" t="inlineStr">
        <is>
          <t>Process Refund</t>
        </is>
      </c>
      <c r="F108" s="4" t="inlineStr">
        <is>
          <t>1. Open order
2. Click Refund
3. Enter amount
4. Confirm</t>
        </is>
      </c>
      <c r="G108" s="13" t="inlineStr">
        <is>
          <t>https://nutrio.me/admin/orders</t>
        </is>
      </c>
      <c r="H108" s="4" t="inlineStr">
        <is>
          <t>Refund processed, customer notified</t>
        </is>
      </c>
      <c r="I108" s="4">
        <f>IF(I108="","",IF(I108=G108,"PASS","FAIL"))</f>
        <v/>
      </c>
      <c r="J108" s="4" t="n"/>
      <c r="K108" s="4" t="n"/>
      <c r="L108" s="5" t="inlineStr">
        <is>
          <t>High</t>
        </is>
      </c>
      <c r="M108" s="4" t="n"/>
    </row>
    <row r="109" ht="60" customHeight="1" s="16">
      <c r="A109" s="4" t="inlineStr">
        <is>
          <t>TC108</t>
        </is>
      </c>
      <c r="B109" s="4" t="inlineStr">
        <is>
          <t>Admin</t>
        </is>
      </c>
      <c r="C109" s="4" t="inlineStr">
        <is>
          <t>Orders</t>
        </is>
      </c>
      <c r="D109" s="4" t="inlineStr">
        <is>
          <t>Assign Driver</t>
        </is>
      </c>
      <c r="E109" s="4" t="inlineStr">
        <is>
          <t>Assign Driver to Order</t>
        </is>
      </c>
      <c r="F109" s="4" t="inlineStr">
        <is>
          <t>1. Open order
2. Click Assign Driver
3. Select driver
4. Save</t>
        </is>
      </c>
      <c r="G109" s="13" t="inlineStr">
        <is>
          <t>https://nutrio.me/admin/orders</t>
        </is>
      </c>
      <c r="H109" s="4" t="inlineStr">
        <is>
          <t>Driver assigned, notified</t>
        </is>
      </c>
      <c r="I109" s="4">
        <f>IF(I109="","",IF(I109=G109,"PASS","FAIL"))</f>
        <v/>
      </c>
      <c r="J109" s="4" t="n"/>
      <c r="K109" s="4" t="n"/>
      <c r="L109" s="6" t="inlineStr">
        <is>
          <t>Medium</t>
        </is>
      </c>
      <c r="M109" s="4" t="n"/>
    </row>
    <row r="110" ht="45" customHeight="1" s="16">
      <c r="A110" s="4" t="inlineStr">
        <is>
          <t>TC109</t>
        </is>
      </c>
      <c r="B110" s="4" t="inlineStr">
        <is>
          <t>Admin</t>
        </is>
      </c>
      <c r="C110" s="4" t="inlineStr">
        <is>
          <t>Subscriptions</t>
        </is>
      </c>
      <c r="D110" s="4" t="inlineStr">
        <is>
          <t>View All</t>
        </is>
      </c>
      <c r="E110" s="4" t="inlineStr">
        <is>
          <t>View All Subscriptions</t>
        </is>
      </c>
      <c r="F110" s="4" t="inlineStr">
        <is>
          <t>1. Go to Subscriptions page
2. View list</t>
        </is>
      </c>
      <c r="G110" s="13" t="inlineStr">
        <is>
          <t>https://nutrio.me/admin/subscriptions/[id]</t>
        </is>
      </c>
      <c r="H110" s="4" t="inlineStr">
        <is>
          <t>All active subscriptions displayed</t>
        </is>
      </c>
      <c r="I110" s="4">
        <f>IF(I110="","",IF(I110=G110,"PASS","FAIL"))</f>
        <v/>
      </c>
      <c r="J110" s="4" t="n"/>
      <c r="K110" s="4" t="n"/>
      <c r="L110" s="5" t="inlineStr">
        <is>
          <t>High</t>
        </is>
      </c>
      <c r="M110" s="4" t="n"/>
    </row>
    <row r="111" ht="45" customHeight="1" s="16">
      <c r="A111" s="4" t="inlineStr">
        <is>
          <t>TC110</t>
        </is>
      </c>
      <c r="B111" s="4" t="inlineStr">
        <is>
          <t>Admin</t>
        </is>
      </c>
      <c r="C111" s="4" t="inlineStr">
        <is>
          <t>Subscriptions</t>
        </is>
      </c>
      <c r="D111" s="4" t="inlineStr">
        <is>
          <t>View Plans</t>
        </is>
      </c>
      <c r="E111" s="4" t="inlineStr">
        <is>
          <t>View Subscription Plans</t>
        </is>
      </c>
      <c r="F111" s="4" t="inlineStr">
        <is>
          <t>1. Click Plans tab
2. View all tiers</t>
        </is>
      </c>
      <c r="G111" s="13" t="inlineStr">
        <is>
          <t>https://nutrio.me/admin/subscriptions/[id]</t>
        </is>
      </c>
      <c r="H111" s="4" t="inlineStr">
        <is>
          <t>All plans with pricing displayed</t>
        </is>
      </c>
      <c r="I111" s="4">
        <f>IF(I111="","",IF(I111=G111,"PASS","FAIL"))</f>
        <v/>
      </c>
      <c r="J111" s="4" t="n"/>
      <c r="K111" s="4" t="n"/>
      <c r="L111" s="5" t="inlineStr">
        <is>
          <t>High</t>
        </is>
      </c>
      <c r="M111" s="4" t="n"/>
    </row>
    <row r="112" ht="45" customHeight="1" s="16">
      <c r="A112" s="4" t="inlineStr">
        <is>
          <t>TC111</t>
        </is>
      </c>
      <c r="B112" s="4" t="inlineStr">
        <is>
          <t>Admin</t>
        </is>
      </c>
      <c r="C112" s="4" t="inlineStr">
        <is>
          <t>Subscriptions</t>
        </is>
      </c>
      <c r="D112" s="4" t="inlineStr">
        <is>
          <t>Edit Plan</t>
        </is>
      </c>
      <c r="E112" s="4" t="inlineStr">
        <is>
          <t>Edit Subscription Plan</t>
        </is>
      </c>
      <c r="F112" s="4" t="inlineStr">
        <is>
          <t>1. Click on plan
2. Edit price/features
3. Save</t>
        </is>
      </c>
      <c r="G112" s="13" t="inlineStr">
        <is>
          <t>https://nutrio.me/admin/subscriptions/[id]/edit</t>
        </is>
      </c>
      <c r="H112" s="4" t="inlineStr">
        <is>
          <t>Plan updated</t>
        </is>
      </c>
      <c r="I112" s="4">
        <f>IF(I112="","",IF(I112=G112,"PASS","FAIL"))</f>
        <v/>
      </c>
      <c r="J112" s="4" t="n"/>
      <c r="K112" s="4" t="n"/>
      <c r="L112" s="6" t="inlineStr">
        <is>
          <t>Medium</t>
        </is>
      </c>
      <c r="M112" s="4" t="n"/>
    </row>
    <row r="113" ht="45" customHeight="1" s="16">
      <c r="A113" s="4" t="inlineStr">
        <is>
          <t>TC112</t>
        </is>
      </c>
      <c r="B113" s="4" t="inlineStr">
        <is>
          <t>Admin</t>
        </is>
      </c>
      <c r="C113" s="4" t="inlineStr">
        <is>
          <t>Subscriptions</t>
        </is>
      </c>
      <c r="D113" s="4" t="inlineStr">
        <is>
          <t>Add Plan</t>
        </is>
      </c>
      <c r="E113" s="4" t="inlineStr">
        <is>
          <t>Add New Subscription Plan</t>
        </is>
      </c>
      <c r="F113" s="4" t="inlineStr">
        <is>
          <t>1. Click Add Plan
2. Fill details
3. Save</t>
        </is>
      </c>
      <c r="G113" s="13" t="inlineStr">
        <is>
          <t>https://nutrio.me/admin/subscriptions/new</t>
        </is>
      </c>
      <c r="H113" s="4" t="inlineStr">
        <is>
          <t>New plan created</t>
        </is>
      </c>
      <c r="I113" s="4">
        <f>IF(I113="","",IF(I113=G113,"PASS","FAIL"))</f>
        <v/>
      </c>
      <c r="J113" s="4" t="n"/>
      <c r="K113" s="4" t="n"/>
      <c r="L113" s="4" t="inlineStr">
        <is>
          <t>Low</t>
        </is>
      </c>
      <c r="M113" s="4" t="n"/>
    </row>
    <row r="114" ht="45" customHeight="1" s="16">
      <c r="A114" s="4" t="inlineStr">
        <is>
          <t>TC113</t>
        </is>
      </c>
      <c r="B114" s="4" t="inlineStr">
        <is>
          <t>Admin</t>
        </is>
      </c>
      <c r="C114" s="4" t="inlineStr">
        <is>
          <t>Subscriptions</t>
        </is>
      </c>
      <c r="D114" s="4" t="inlineStr">
        <is>
          <t>Cancel Sub</t>
        </is>
      </c>
      <c r="E114" s="4" t="inlineStr">
        <is>
          <t>Cancel Customer Subscription</t>
        </is>
      </c>
      <c r="F114" s="4" t="inlineStr">
        <is>
          <t>1. Find subscription
2. Click Cancel
3. Confirm</t>
        </is>
      </c>
      <c r="G114" s="13" t="inlineStr">
        <is>
          <t>https://nutrio.me/admin/subscriptions</t>
        </is>
      </c>
      <c r="H114" s="4" t="inlineStr">
        <is>
          <t>Subscription cancelled</t>
        </is>
      </c>
      <c r="I114" s="4">
        <f>IF(I114="","",IF(I114=G114,"PASS","FAIL"))</f>
        <v/>
      </c>
      <c r="J114" s="4" t="n"/>
      <c r="K114" s="4" t="n"/>
      <c r="L114" s="6" t="inlineStr">
        <is>
          <t>Medium</t>
        </is>
      </c>
      <c r="M114" s="4" t="n"/>
    </row>
    <row r="115" ht="45" customHeight="1" s="16">
      <c r="A115" s="4" t="inlineStr">
        <is>
          <t>TC114</t>
        </is>
      </c>
      <c r="B115" s="4" t="inlineStr">
        <is>
          <t>Admin</t>
        </is>
      </c>
      <c r="C115" s="4" t="inlineStr">
        <is>
          <t>Subscriptions</t>
        </is>
      </c>
      <c r="D115" s="4" t="inlineStr">
        <is>
          <t>Extend</t>
        </is>
      </c>
      <c r="E115" s="4" t="inlineStr">
        <is>
          <t>Extend Subscription</t>
        </is>
      </c>
      <c r="F115" s="4" t="inlineStr">
        <is>
          <t>1. Open subscription
2. Add extension days
3. Save</t>
        </is>
      </c>
      <c r="G115" s="13" t="inlineStr">
        <is>
          <t>https://nutrio.me/admin/subscriptions</t>
        </is>
      </c>
      <c r="H115" s="4" t="inlineStr">
        <is>
          <t>Subscription extended</t>
        </is>
      </c>
      <c r="I115" s="4">
        <f>IF(I115="","",IF(I115=G115,"PASS","FAIL"))</f>
        <v/>
      </c>
      <c r="J115" s="4" t="n"/>
      <c r="K115" s="4" t="n"/>
      <c r="L115" s="4" t="inlineStr">
        <is>
          <t>Low</t>
        </is>
      </c>
      <c r="M115" s="4" t="n"/>
    </row>
    <row r="116" ht="60" customHeight="1" s="16">
      <c r="A116" s="4" t="inlineStr">
        <is>
          <t>TC115</t>
        </is>
      </c>
      <c r="B116" s="4" t="inlineStr">
        <is>
          <t>Admin</t>
        </is>
      </c>
      <c r="C116" s="4" t="inlineStr">
        <is>
          <t>Content</t>
        </is>
      </c>
      <c r="D116" s="4" t="inlineStr">
        <is>
          <t>View Meals</t>
        </is>
      </c>
      <c r="E116" s="4" t="inlineStr">
        <is>
          <t>View All Meals</t>
        </is>
      </c>
      <c r="F116" s="4" t="inlineStr">
        <is>
          <t>1. Go to Content &gt; Meals
2. View all meals</t>
        </is>
      </c>
      <c r="G116" s="13" t="inlineStr">
        <is>
          <t>https://nutrio.me/admin/content/[id]</t>
        </is>
      </c>
      <c r="H116" s="4" t="inlineStr">
        <is>
          <t>All meals from all restaurants displayed</t>
        </is>
      </c>
      <c r="I116" s="4">
        <f>IF(I116="","",IF(I116=G116,"PASS","FAIL"))</f>
        <v/>
      </c>
      <c r="J116" s="4" t="n"/>
      <c r="K116" s="4" t="n"/>
      <c r="L116" s="6" t="inlineStr">
        <is>
          <t>Medium</t>
        </is>
      </c>
      <c r="M116" s="4" t="n"/>
    </row>
    <row r="117" ht="60" customHeight="1" s="16">
      <c r="A117" s="4" t="inlineStr">
        <is>
          <t>TC116</t>
        </is>
      </c>
      <c r="B117" s="4" t="inlineStr">
        <is>
          <t>Admin</t>
        </is>
      </c>
      <c r="C117" s="4" t="inlineStr">
        <is>
          <t>Content</t>
        </is>
      </c>
      <c r="D117" s="4" t="inlineStr">
        <is>
          <t>Edit Meal</t>
        </is>
      </c>
      <c r="E117" s="4" t="inlineStr">
        <is>
          <t>Edit Any Meal</t>
        </is>
      </c>
      <c r="F117" s="4" t="inlineStr">
        <is>
          <t>1. Find meal
2. Click Edit
3. Modify
4. Save</t>
        </is>
      </c>
      <c r="G117" s="13" t="inlineStr">
        <is>
          <t>https://nutrio.me/admin/content/[id]/edit</t>
        </is>
      </c>
      <c r="H117" s="4" t="inlineStr">
        <is>
          <t>Meal updated</t>
        </is>
      </c>
      <c r="I117" s="4">
        <f>IF(I117="","",IF(I117=G117,"PASS","FAIL"))</f>
        <v/>
      </c>
      <c r="J117" s="4" t="n"/>
      <c r="K117" s="4" t="n"/>
      <c r="L117" s="6" t="inlineStr">
        <is>
          <t>Medium</t>
        </is>
      </c>
      <c r="M117" s="4" t="n"/>
    </row>
    <row r="118" ht="45" customHeight="1" s="16">
      <c r="A118" s="4" t="inlineStr">
        <is>
          <t>TC117</t>
        </is>
      </c>
      <c r="B118" s="4" t="inlineStr">
        <is>
          <t>Admin</t>
        </is>
      </c>
      <c r="C118" s="4" t="inlineStr">
        <is>
          <t>Content</t>
        </is>
      </c>
      <c r="D118" s="4" t="inlineStr">
        <is>
          <t>Delete Meal</t>
        </is>
      </c>
      <c r="E118" s="4" t="inlineStr">
        <is>
          <t>Delete Meal</t>
        </is>
      </c>
      <c r="F118" s="4" t="inlineStr">
        <is>
          <t>1. Find meal
2. Click Delete
3. Confirm</t>
        </is>
      </c>
      <c r="G118" s="13" t="inlineStr">
        <is>
          <t>https://nutrio.me/admin/content</t>
        </is>
      </c>
      <c r="H118" s="4" t="inlineStr">
        <is>
          <t>Meal deleted</t>
        </is>
      </c>
      <c r="I118" s="4">
        <f>IF(I118="","",IF(I118=G118,"PASS","FAIL"))</f>
        <v/>
      </c>
      <c r="J118" s="4" t="n"/>
      <c r="K118" s="4" t="n"/>
      <c r="L118" s="6" t="inlineStr">
        <is>
          <t>Medium</t>
        </is>
      </c>
      <c r="M118" s="4" t="n"/>
    </row>
    <row r="119" ht="60" customHeight="1" s="16">
      <c r="A119" s="4" t="inlineStr">
        <is>
          <t>TC118</t>
        </is>
      </c>
      <c r="B119" s="4" t="inlineStr">
        <is>
          <t>Admin</t>
        </is>
      </c>
      <c r="C119" s="4" t="inlineStr">
        <is>
          <t>Content</t>
        </is>
      </c>
      <c r="D119" s="4" t="inlineStr">
        <is>
          <t>Diet Tags</t>
        </is>
      </c>
      <c r="E119" s="4" t="inlineStr">
        <is>
          <t>Manage Diet Tags</t>
        </is>
      </c>
      <c r="F119" s="4" t="inlineStr">
        <is>
          <t>1. Go to Diet Tags
2. Add/Edit/Delete tags</t>
        </is>
      </c>
      <c r="G119" s="13" t="inlineStr">
        <is>
          <t>https://nutrio.me/admin/content</t>
        </is>
      </c>
      <c r="H119" s="4" t="inlineStr">
        <is>
          <t>Tags updated across platform</t>
        </is>
      </c>
      <c r="I119" s="4">
        <f>IF(I119="","",IF(I119=G119,"PASS","FAIL"))</f>
        <v/>
      </c>
      <c r="J119" s="4" t="n"/>
      <c r="K119" s="4" t="n"/>
      <c r="L119" s="4" t="inlineStr">
        <is>
          <t>Low</t>
        </is>
      </c>
      <c r="M119" s="4" t="n"/>
    </row>
    <row r="120" ht="45" customHeight="1" s="16">
      <c r="A120" s="4" t="inlineStr">
        <is>
          <t>TC119</t>
        </is>
      </c>
      <c r="B120" s="4" t="inlineStr">
        <is>
          <t>Admin</t>
        </is>
      </c>
      <c r="C120" s="4" t="inlineStr">
        <is>
          <t>Content</t>
        </is>
      </c>
      <c r="D120" s="4" t="inlineStr">
        <is>
          <t>Announcements</t>
        </is>
      </c>
      <c r="E120" s="4" t="inlineStr">
        <is>
          <t>Create Announcement</t>
        </is>
      </c>
      <c r="F120" s="4" t="inlineStr">
        <is>
          <t>1. Go to Announcements
2. Create new
3. Publish</t>
        </is>
      </c>
      <c r="G120" s="13" t="inlineStr">
        <is>
          <t>https://nutrio.me/admin/content/new</t>
        </is>
      </c>
      <c r="H120" s="4" t="inlineStr">
        <is>
          <t>Announcement visible to users</t>
        </is>
      </c>
      <c r="I120" s="4">
        <f>IF(I120="","",IF(I120=G120,"PASS","FAIL"))</f>
        <v/>
      </c>
      <c r="J120" s="4" t="n"/>
      <c r="K120" s="4" t="n"/>
      <c r="L120" s="4" t="inlineStr">
        <is>
          <t>Low</t>
        </is>
      </c>
      <c r="M120" s="4" t="n"/>
    </row>
    <row r="121" ht="90" customHeight="1" s="16">
      <c r="A121" s="4" t="inlineStr">
        <is>
          <t>TC120</t>
        </is>
      </c>
      <c r="B121" s="4" t="inlineStr">
        <is>
          <t>Admin</t>
        </is>
      </c>
      <c r="C121" s="4" t="inlineStr">
        <is>
          <t>Reports</t>
        </is>
      </c>
      <c r="D121" s="4" t="inlineStr">
        <is>
          <t>View Reports</t>
        </is>
      </c>
      <c r="E121" s="4" t="inlineStr">
        <is>
          <t>View Analytics Reports</t>
        </is>
      </c>
      <c r="F121" s="4" t="inlineStr">
        <is>
          <t>1. Go to Reports page
2. View charts and data</t>
        </is>
      </c>
      <c r="G121" s="13" t="inlineStr">
        <is>
          <t>https://nutrio.me/</t>
        </is>
      </c>
      <c r="H121" s="4" t="inlineStr">
        <is>
          <t>Analytics displayed: revenue, orders, users, growth</t>
        </is>
      </c>
      <c r="I121" s="4">
        <f>IF(I121="","",IF(I121=G121,"PASS","FAIL"))</f>
        <v/>
      </c>
      <c r="J121" s="4" t="n"/>
      <c r="K121" s="4" t="n"/>
      <c r="L121" s="6" t="inlineStr">
        <is>
          <t>Medium</t>
        </is>
      </c>
      <c r="M121" s="4" t="n"/>
    </row>
    <row r="122" ht="45" customHeight="1" s="16">
      <c r="A122" s="4" t="inlineStr">
        <is>
          <t>TC121</t>
        </is>
      </c>
      <c r="B122" s="4" t="inlineStr">
        <is>
          <t>Admin</t>
        </is>
      </c>
      <c r="C122" s="4" t="inlineStr">
        <is>
          <t>Reports</t>
        </is>
      </c>
      <c r="D122" s="4" t="inlineStr">
        <is>
          <t>Revenue Report</t>
        </is>
      </c>
      <c r="E122" s="4" t="inlineStr">
        <is>
          <t>Generate Revenue Report</t>
        </is>
      </c>
      <c r="F122" s="4" t="inlineStr">
        <is>
          <t>1. Select date range
2. Click Generate
3. View report</t>
        </is>
      </c>
      <c r="G122" s="13" t="inlineStr">
        <is>
          <t>https://nutrio.me/</t>
        </is>
      </c>
      <c r="H122" s="4" t="inlineStr">
        <is>
          <t>Revenue report generated</t>
        </is>
      </c>
      <c r="I122" s="4">
        <f>IF(I122="","",IF(I122=G122,"PASS","FAIL"))</f>
        <v/>
      </c>
      <c r="J122" s="4" t="n"/>
      <c r="K122" s="4" t="n"/>
      <c r="L122" s="6" t="inlineStr">
        <is>
          <t>Medium</t>
        </is>
      </c>
      <c r="M122" s="4" t="n"/>
    </row>
    <row r="123" ht="60" customHeight="1" s="16">
      <c r="A123" s="4" t="inlineStr">
        <is>
          <t>TC122</t>
        </is>
      </c>
      <c r="B123" s="4" t="inlineStr">
        <is>
          <t>Admin</t>
        </is>
      </c>
      <c r="C123" s="4" t="inlineStr">
        <is>
          <t>Reports</t>
        </is>
      </c>
      <c r="D123" s="4" t="inlineStr">
        <is>
          <t>Export</t>
        </is>
      </c>
      <c r="E123" s="4" t="inlineStr">
        <is>
          <t>Export Report to CSV/Excel</t>
        </is>
      </c>
      <c r="F123" s="4" t="inlineStr">
        <is>
          <t>1. Generate report
2. Click Export
3. Select format
4. Download</t>
        </is>
      </c>
      <c r="G123" s="13" t="inlineStr">
        <is>
          <t>https://nutrio.me/</t>
        </is>
      </c>
      <c r="H123" s="4" t="inlineStr">
        <is>
          <t>Report downloaded</t>
        </is>
      </c>
      <c r="I123" s="4">
        <f>IF(I123="","",IF(I123=G123,"PASS","FAIL"))</f>
        <v/>
      </c>
      <c r="J123" s="4" t="n"/>
      <c r="K123" s="4" t="n"/>
      <c r="L123" s="4" t="inlineStr">
        <is>
          <t>Low</t>
        </is>
      </c>
      <c r="M123" s="4" t="n"/>
    </row>
    <row r="124" ht="60" customHeight="1" s="16">
      <c r="A124" s="4" t="inlineStr">
        <is>
          <t>TC123</t>
        </is>
      </c>
      <c r="B124" s="4" t="inlineStr">
        <is>
          <t>Admin</t>
        </is>
      </c>
      <c r="C124" s="4" t="inlineStr">
        <is>
          <t>Reports</t>
        </is>
      </c>
      <c r="D124" s="4" t="inlineStr">
        <is>
          <t>Restaurant Performance</t>
        </is>
      </c>
      <c r="E124" s="4" t="inlineStr">
        <is>
          <t>View Restaurant Performance</t>
        </is>
      </c>
      <c r="F124" s="4" t="inlineStr">
        <is>
          <t>1. Go to Restaurant Reports
2. View performance metrics</t>
        </is>
      </c>
      <c r="G124" s="13" t="inlineStr">
        <is>
          <t>https://nutrio.me/</t>
        </is>
      </c>
      <c r="H124" s="4" t="inlineStr">
        <is>
          <t>Per-restaurant stats displayed</t>
        </is>
      </c>
      <c r="I124" s="4">
        <f>IF(I124="","",IF(I124=G124,"PASS","FAIL"))</f>
        <v/>
      </c>
      <c r="J124" s="4" t="n"/>
      <c r="K124" s="4" t="n"/>
      <c r="L124" s="6" t="inlineStr">
        <is>
          <t>Medium</t>
        </is>
      </c>
      <c r="M124" s="4" t="n"/>
    </row>
    <row r="125" ht="45" customHeight="1" s="16">
      <c r="A125" s="4" t="inlineStr">
        <is>
          <t>TC124</t>
        </is>
      </c>
      <c r="B125" s="4" t="inlineStr">
        <is>
          <t>Admin</t>
        </is>
      </c>
      <c r="C125" s="4" t="inlineStr">
        <is>
          <t>Payouts</t>
        </is>
      </c>
      <c r="D125" s="4" t="inlineStr">
        <is>
          <t>View Pending</t>
        </is>
      </c>
      <c r="E125" s="4" t="inlineStr">
        <is>
          <t>View Pending Payouts</t>
        </is>
      </c>
      <c r="F125" s="4" t="inlineStr">
        <is>
          <t>1. Go to Payouts page
2. View pending list</t>
        </is>
      </c>
      <c r="G125" s="13" t="inlineStr">
        <is>
          <t>https://nutrio.me/admin/payouts/[id]</t>
        </is>
      </c>
      <c r="H125" s="4" t="inlineStr">
        <is>
          <t>All pending payouts displayed</t>
        </is>
      </c>
      <c r="I125" s="4">
        <f>IF(I125="","",IF(I125=G125,"PASS","FAIL"))</f>
        <v/>
      </c>
      <c r="J125" s="4" t="n"/>
      <c r="K125" s="4" t="n"/>
      <c r="L125" s="5" t="inlineStr">
        <is>
          <t>High</t>
        </is>
      </c>
      <c r="M125" s="4" t="n"/>
    </row>
    <row r="126" ht="60" customHeight="1" s="16">
      <c r="A126" s="4" t="inlineStr">
        <is>
          <t>TC125</t>
        </is>
      </c>
      <c r="B126" s="4" t="inlineStr">
        <is>
          <t>Admin</t>
        </is>
      </c>
      <c r="C126" s="4" t="inlineStr">
        <is>
          <t>Payouts</t>
        </is>
      </c>
      <c r="D126" s="4" t="inlineStr">
        <is>
          <t>Process Payout</t>
        </is>
      </c>
      <c r="E126" s="4" t="inlineStr">
        <is>
          <t>Process Weekly Payout</t>
        </is>
      </c>
      <c r="F126" s="4" t="inlineStr">
        <is>
          <t>1. Select restaurants
2. Click Process
3. Confirm</t>
        </is>
      </c>
      <c r="G126" s="13" t="inlineStr">
        <is>
          <t>https://nutrio.me/admin/payouts</t>
        </is>
      </c>
      <c r="H126" s="4" t="inlineStr">
        <is>
          <t>Payouts processed, restaurants notified</t>
        </is>
      </c>
      <c r="I126" s="4">
        <f>IF(I126="","",IF(I126=G126,"PASS","FAIL"))</f>
        <v/>
      </c>
      <c r="J126" s="4" t="n"/>
      <c r="K126" s="4" t="n"/>
      <c r="L126" s="7" t="inlineStr">
        <is>
          <t>Critical</t>
        </is>
      </c>
      <c r="M126" s="4" t="n"/>
    </row>
    <row r="127" ht="60" customHeight="1" s="16">
      <c r="A127" s="4" t="inlineStr">
        <is>
          <t>TC126</t>
        </is>
      </c>
      <c r="B127" s="4" t="inlineStr">
        <is>
          <t>Admin</t>
        </is>
      </c>
      <c r="C127" s="4" t="inlineStr">
        <is>
          <t>Payouts</t>
        </is>
      </c>
      <c r="D127" s="4" t="inlineStr">
        <is>
          <t>View History</t>
        </is>
      </c>
      <c r="E127" s="4" t="inlineStr">
        <is>
          <t>View Payout History</t>
        </is>
      </c>
      <c r="F127" s="4" t="inlineStr">
        <is>
          <t>1. Click History
2. View past payouts</t>
        </is>
      </c>
      <c r="G127" s="13" t="inlineStr">
        <is>
          <t>https://nutrio.me/admin/payouts/[id]</t>
        </is>
      </c>
      <c r="H127" s="4" t="inlineStr">
        <is>
          <t>All processed payouts listed</t>
        </is>
      </c>
      <c r="I127" s="4">
        <f>IF(I127="","",IF(I127=G127,"PASS","FAIL"))</f>
        <v/>
      </c>
      <c r="J127" s="4" t="n"/>
      <c r="K127" s="4" t="n"/>
      <c r="L127" s="6" t="inlineStr">
        <is>
          <t>Medium</t>
        </is>
      </c>
      <c r="M127" s="4" t="n"/>
    </row>
    <row r="128" ht="60" customHeight="1" s="16">
      <c r="A128" s="4" t="inlineStr">
        <is>
          <t>TC127</t>
        </is>
      </c>
      <c r="B128" s="4" t="inlineStr">
        <is>
          <t>Admin</t>
        </is>
      </c>
      <c r="C128" s="4" t="inlineStr">
        <is>
          <t>Payouts</t>
        </is>
      </c>
      <c r="D128" s="4" t="inlineStr">
        <is>
          <t>Adjust Payout</t>
        </is>
      </c>
      <c r="E128" s="4" t="inlineStr">
        <is>
          <t>Adjust Restaurant Payout</t>
        </is>
      </c>
      <c r="F128" s="4" t="inlineStr">
        <is>
          <t>1. Find restaurant
2. Edit payout amount
3. Add note
4. Save</t>
        </is>
      </c>
      <c r="G128" s="13" t="inlineStr">
        <is>
          <t>https://nutrio.me/admin/payouts</t>
        </is>
      </c>
      <c r="H128" s="4" t="inlineStr">
        <is>
          <t>Payout adjusted with audit trail</t>
        </is>
      </c>
      <c r="I128" s="4">
        <f>IF(I128="","",IF(I128=G128,"PASS","FAIL"))</f>
        <v/>
      </c>
      <c r="J128" s="4" t="n"/>
      <c r="K128" s="4" t="n"/>
      <c r="L128" s="6" t="inlineStr">
        <is>
          <t>Medium</t>
        </is>
      </c>
      <c r="M128" s="4" t="n"/>
    </row>
    <row r="129" ht="45" customHeight="1" s="16">
      <c r="A129" s="4" t="inlineStr">
        <is>
          <t>TC128</t>
        </is>
      </c>
      <c r="B129" s="4" t="inlineStr">
        <is>
          <t>Admin</t>
        </is>
      </c>
      <c r="C129" s="4" t="inlineStr">
        <is>
          <t>Settings</t>
        </is>
      </c>
      <c r="D129" s="4" t="inlineStr">
        <is>
          <t>General</t>
        </is>
      </c>
      <c r="E129" s="4" t="inlineStr">
        <is>
          <t>General Settings</t>
        </is>
      </c>
      <c r="F129" s="4" t="inlineStr">
        <is>
          <t>1. Go to Settings
2. Modify general settings
3. Save</t>
        </is>
      </c>
      <c r="G129" s="13" t="inlineStr">
        <is>
          <t>https://nutrio.me/admin/settings</t>
        </is>
      </c>
      <c r="H129" s="4" t="inlineStr">
        <is>
          <t>Settings saved</t>
        </is>
      </c>
      <c r="I129" s="4">
        <f>IF(I129="","",IF(I129=G129,"PASS","FAIL"))</f>
        <v/>
      </c>
      <c r="J129" s="4" t="n"/>
      <c r="K129" s="4" t="n"/>
      <c r="L129" s="6" t="inlineStr">
        <is>
          <t>Medium</t>
        </is>
      </c>
      <c r="M129" s="4" t="n"/>
    </row>
    <row r="130" ht="45" customHeight="1" s="16">
      <c r="A130" s="4" t="inlineStr">
        <is>
          <t>TC129</t>
        </is>
      </c>
      <c r="B130" s="4" t="inlineStr">
        <is>
          <t>Admin</t>
        </is>
      </c>
      <c r="C130" s="4" t="inlineStr">
        <is>
          <t>Settings</t>
        </is>
      </c>
      <c r="D130" s="4" t="inlineStr">
        <is>
          <t>Payment</t>
        </is>
      </c>
      <c r="E130" s="4" t="inlineStr">
        <is>
          <t>Payment Settings</t>
        </is>
      </c>
      <c r="F130" s="4" t="inlineStr">
        <is>
          <t>1. Go to Payment Settings
2. Configure Sadad
3. Save</t>
        </is>
      </c>
      <c r="G130" s="13" t="inlineStr">
        <is>
          <t>https://nutrio.me/admin/settings</t>
        </is>
      </c>
      <c r="H130" s="4" t="inlineStr">
        <is>
          <t>Payment settings updated</t>
        </is>
      </c>
      <c r="I130" s="4">
        <f>IF(I130="","",IF(I130=G130,"PASS","FAIL"))</f>
        <v/>
      </c>
      <c r="J130" s="4" t="n"/>
      <c r="K130" s="4" t="n"/>
      <c r="L130" s="5" t="inlineStr">
        <is>
          <t>High</t>
        </is>
      </c>
      <c r="M130" s="4" t="n"/>
    </row>
    <row r="131" ht="45" customHeight="1" s="16">
      <c r="A131" s="4" t="inlineStr">
        <is>
          <t>TC130</t>
        </is>
      </c>
      <c r="B131" s="4" t="inlineStr">
        <is>
          <t>Admin</t>
        </is>
      </c>
      <c r="C131" s="4" t="inlineStr">
        <is>
          <t>Settings</t>
        </is>
      </c>
      <c r="D131" s="4" t="inlineStr">
        <is>
          <t>Notifications</t>
        </is>
      </c>
      <c r="E131" s="4" t="inlineStr">
        <is>
          <t>Notification Settings</t>
        </is>
      </c>
      <c r="F131" s="4" t="inlineStr">
        <is>
          <t>1. Go to Notifications
2. Configure templates
3. Save</t>
        </is>
      </c>
      <c r="G131" s="13" t="inlineStr">
        <is>
          <t>https://nutrio.me/admin/settings</t>
        </is>
      </c>
      <c r="H131" s="4" t="inlineStr">
        <is>
          <t>Notification settings saved</t>
        </is>
      </c>
      <c r="I131" s="4">
        <f>IF(I131="","",IF(I131=G131,"PASS","FAIL"))</f>
        <v/>
      </c>
      <c r="J131" s="4" t="n"/>
      <c r="K131" s="4" t="n"/>
      <c r="L131" s="4" t="inlineStr">
        <is>
          <t>Low</t>
        </is>
      </c>
      <c r="M131" s="4" t="n"/>
    </row>
    <row r="132" ht="45" customHeight="1" s="16">
      <c r="A132" s="4" t="inlineStr">
        <is>
          <t>TC131</t>
        </is>
      </c>
      <c r="B132" s="4" t="inlineStr">
        <is>
          <t>Admin</t>
        </is>
      </c>
      <c r="C132" s="4" t="inlineStr">
        <is>
          <t>Settings</t>
        </is>
      </c>
      <c r="D132" s="4" t="inlineStr">
        <is>
          <t>Referral</t>
        </is>
      </c>
      <c r="E132" s="4" t="inlineStr">
        <is>
          <t>Referral Settings</t>
        </is>
      </c>
      <c r="F132" s="4" t="inlineStr">
        <is>
          <t>1. Go to Referral Settings
2. Set reward amounts
3. Save</t>
        </is>
      </c>
      <c r="G132" s="13" t="inlineStr">
        <is>
          <t>https://nutrio.me/admin/settings</t>
        </is>
      </c>
      <c r="H132" s="4" t="inlineStr">
        <is>
          <t>Referral settings updated</t>
        </is>
      </c>
      <c r="I132" s="4">
        <f>IF(I132="","",IF(I132=G132,"PASS","FAIL"))</f>
        <v/>
      </c>
      <c r="J132" s="4" t="n"/>
      <c r="K132" s="4" t="n"/>
      <c r="L132" s="4" t="inlineStr">
        <is>
          <t>Low</t>
        </is>
      </c>
      <c r="M132" s="4" t="n"/>
    </row>
    <row r="133" ht="60" customHeight="1" s="16">
      <c r="A133" s="4" t="inlineStr">
        <is>
          <t>TC132</t>
        </is>
      </c>
      <c r="B133" s="4" t="inlineStr">
        <is>
          <t>Driver</t>
        </is>
      </c>
      <c r="C133" s="4" t="inlineStr">
        <is>
          <t>Auth</t>
        </is>
      </c>
      <c r="D133" s="4" t="inlineStr">
        <is>
          <t>Login</t>
        </is>
      </c>
      <c r="E133" s="4" t="inlineStr">
        <is>
          <t>Driver Login</t>
        </is>
      </c>
      <c r="F133" s="4" t="inlineStr">
        <is>
          <t>1. Navigate to /driver/auth
2. Enter driver credentials
3. Login</t>
        </is>
      </c>
      <c r="G133" s="13" t="inlineStr">
        <is>
          <t>https://nutrio.me/driver/auth</t>
        </is>
      </c>
      <c r="H133" s="4" t="inlineStr">
        <is>
          <t>Driver logged in, dashboard displayed</t>
        </is>
      </c>
      <c r="I133" s="4">
        <f>IF(I133="","",IF(I133=G133,"PASS","FAIL"))</f>
        <v/>
      </c>
      <c r="J133" s="4" t="n"/>
      <c r="K133" s="4" t="n"/>
      <c r="L133" s="5" t="inlineStr">
        <is>
          <t>High</t>
        </is>
      </c>
      <c r="M133" s="4" t="n"/>
    </row>
    <row r="134" ht="30" customHeight="1" s="16">
      <c r="A134" s="4" t="inlineStr">
        <is>
          <t>TC133</t>
        </is>
      </c>
      <c r="B134" s="4" t="inlineStr">
        <is>
          <t>Driver</t>
        </is>
      </c>
      <c r="C134" s="4" t="inlineStr">
        <is>
          <t>Auth</t>
        </is>
      </c>
      <c r="D134" s="4" t="inlineStr">
        <is>
          <t>Logout</t>
        </is>
      </c>
      <c r="E134" s="4" t="inlineStr">
        <is>
          <t>Driver Logout</t>
        </is>
      </c>
      <c r="F134" s="4" t="inlineStr">
        <is>
          <t>1. Click Logout</t>
        </is>
      </c>
      <c r="G134" s="13" t="inlineStr">
        <is>
          <t>https://nutrio.me/driver/auth</t>
        </is>
      </c>
      <c r="H134" s="4" t="inlineStr">
        <is>
          <t>Driver logged out</t>
        </is>
      </c>
      <c r="I134" s="4">
        <f>IF(I134="","",IF(I134=G134,"PASS","FAIL"))</f>
        <v/>
      </c>
      <c r="J134" s="4" t="n"/>
      <c r="K134" s="4" t="n"/>
      <c r="L134" s="5" t="inlineStr">
        <is>
          <t>High</t>
        </is>
      </c>
      <c r="M134" s="4" t="n"/>
    </row>
    <row r="135" ht="120" customHeight="1" s="16">
      <c r="A135" s="4" t="inlineStr">
        <is>
          <t>TC134</t>
        </is>
      </c>
      <c r="B135" s="4" t="inlineStr">
        <is>
          <t>Driver</t>
        </is>
      </c>
      <c r="C135" s="4" t="inlineStr">
        <is>
          <t>Dashboard</t>
        </is>
      </c>
      <c r="D135" s="4" t="inlineStr">
        <is>
          <t>View</t>
        </is>
      </c>
      <c r="E135" s="4" t="inlineStr">
        <is>
          <t>Driver Dashboard Load</t>
        </is>
      </c>
      <c r="F135" s="4" t="inlineStr">
        <is>
          <t>1. Login as driver
2. View dashboard</t>
        </is>
      </c>
      <c r="G135" s="13" t="inlineStr">
        <is>
          <t>https://nutrio.me/driver/dashboard</t>
        </is>
      </c>
      <c r="H135" s="4" t="inlineStr">
        <is>
          <t>Dashboard shows: available orders, today's earnings, active deliveries</t>
        </is>
      </c>
      <c r="I135" s="4">
        <f>IF(I135="","",IF(I135=G135,"PASS","FAIL"))</f>
        <v/>
      </c>
      <c r="J135" s="4" t="n"/>
      <c r="K135" s="4" t="n"/>
      <c r="L135" s="5" t="inlineStr">
        <is>
          <t>High</t>
        </is>
      </c>
      <c r="M135" s="4" t="n"/>
    </row>
    <row r="136" ht="30" customHeight="1" s="16">
      <c r="A136" s="4" t="inlineStr">
        <is>
          <t>TC135</t>
        </is>
      </c>
      <c r="B136" s="4" t="inlineStr">
        <is>
          <t>Driver</t>
        </is>
      </c>
      <c r="C136" s="4" t="inlineStr">
        <is>
          <t>Dashboard</t>
        </is>
      </c>
      <c r="D136" s="4" t="inlineStr">
        <is>
          <t>Stats</t>
        </is>
      </c>
      <c r="E136" s="4" t="inlineStr">
        <is>
          <t>View Driver Stats</t>
        </is>
      </c>
      <c r="F136" s="4" t="inlineStr">
        <is>
          <t>1. Check today's stats
2. View earnings</t>
        </is>
      </c>
      <c r="G136" s="13" t="inlineStr">
        <is>
          <t>https://nutrio.me/driver/dashboard/[id]</t>
        </is>
      </c>
      <c r="H136" s="4" t="inlineStr">
        <is>
          <t>Correct stats displayed</t>
        </is>
      </c>
      <c r="I136" s="4">
        <f>IF(I136="","",IF(I136=G136,"PASS","FAIL"))</f>
        <v/>
      </c>
      <c r="J136" s="4" t="n"/>
      <c r="K136" s="4" t="n"/>
      <c r="L136" s="6" t="inlineStr">
        <is>
          <t>Medium</t>
        </is>
      </c>
      <c r="M136" s="4" t="n"/>
    </row>
    <row r="137" ht="60" customHeight="1" s="16">
      <c r="A137" s="4" t="inlineStr">
        <is>
          <t>TC136</t>
        </is>
      </c>
      <c r="B137" s="4" t="inlineStr">
        <is>
          <t>Driver</t>
        </is>
      </c>
      <c r="C137" s="4" t="inlineStr">
        <is>
          <t>Deliveries</t>
        </is>
      </c>
      <c r="D137" s="4" t="inlineStr">
        <is>
          <t>View Available</t>
        </is>
      </c>
      <c r="E137" s="4" t="inlineStr">
        <is>
          <t>View Available Deliveries</t>
        </is>
      </c>
      <c r="F137" s="4" t="inlineStr">
        <is>
          <t>1. Go to Deliveries
2. View available orders</t>
        </is>
      </c>
      <c r="G137" s="13" t="inlineStr">
        <is>
          <t>https://nutrio.me/driver/deliveries/[id]</t>
        </is>
      </c>
      <c r="H137" s="4" t="inlineStr">
        <is>
          <t>Orders ready for pickup displayed</t>
        </is>
      </c>
      <c r="I137" s="4">
        <f>IF(I137="","",IF(I137=G137,"PASS","FAIL"))</f>
        <v/>
      </c>
      <c r="J137" s="4" t="n"/>
      <c r="K137" s="4" t="n"/>
      <c r="L137" s="7" t="inlineStr">
        <is>
          <t>Critical</t>
        </is>
      </c>
      <c r="M137" s="4" t="n"/>
    </row>
    <row r="138" ht="45" customHeight="1" s="16">
      <c r="A138" s="4" t="inlineStr">
        <is>
          <t>TC137</t>
        </is>
      </c>
      <c r="B138" s="4" t="inlineStr">
        <is>
          <t>Driver</t>
        </is>
      </c>
      <c r="C138" s="4" t="inlineStr">
        <is>
          <t>Deliveries</t>
        </is>
      </c>
      <c r="D138" s="4" t="inlineStr">
        <is>
          <t>Accept Delivery</t>
        </is>
      </c>
      <c r="E138" s="4" t="inlineStr">
        <is>
          <t>Accept Delivery Order</t>
        </is>
      </c>
      <c r="F138" s="4" t="inlineStr">
        <is>
          <t>1. View available orders
2. Click Accept
3. Confirm</t>
        </is>
      </c>
      <c r="G138" s="13" t="inlineStr">
        <is>
          <t>https://nutrio.me/driver/deliveries</t>
        </is>
      </c>
      <c r="H138" s="4" t="inlineStr">
        <is>
          <t>Order assigned to driver</t>
        </is>
      </c>
      <c r="I138" s="4">
        <f>IF(I138="","",IF(I138=G138,"PASS","FAIL"))</f>
        <v/>
      </c>
      <c r="J138" s="4" t="n"/>
      <c r="K138" s="4" t="n"/>
      <c r="L138" s="7" t="inlineStr">
        <is>
          <t>Critical</t>
        </is>
      </c>
      <c r="M138" s="4" t="n"/>
    </row>
    <row r="139" ht="75" customHeight="1" s="16">
      <c r="A139" s="4" t="inlineStr">
        <is>
          <t>TC138</t>
        </is>
      </c>
      <c r="B139" s="4" t="inlineStr">
        <is>
          <t>Driver</t>
        </is>
      </c>
      <c r="C139" s="4" t="inlineStr">
        <is>
          <t>Deliveries</t>
        </is>
      </c>
      <c r="D139" s="4" t="inlineStr">
        <is>
          <t>View Active</t>
        </is>
      </c>
      <c r="E139" s="4" t="inlineStr">
        <is>
          <t>View Active Deliveries</t>
        </is>
      </c>
      <c r="F139" s="4" t="inlineStr">
        <is>
          <t>1. Go to Active tab
2. View current deliveries</t>
        </is>
      </c>
      <c r="G139" s="13" t="inlineStr">
        <is>
          <t>https://nutrio.me/driver/deliveries/[id]</t>
        </is>
      </c>
      <c r="H139" s="4" t="inlineStr">
        <is>
          <t>Accepted orders displayed with pickup details</t>
        </is>
      </c>
      <c r="I139" s="4">
        <f>IF(I139="","",IF(I139=G139,"PASS","FAIL"))</f>
        <v/>
      </c>
      <c r="J139" s="4" t="n"/>
      <c r="K139" s="4" t="n"/>
      <c r="L139" s="5" t="inlineStr">
        <is>
          <t>High</t>
        </is>
      </c>
      <c r="M139" s="4" t="n"/>
    </row>
    <row r="140" ht="60" customHeight="1" s="16">
      <c r="A140" s="4" t="inlineStr">
        <is>
          <t>TC139</t>
        </is>
      </c>
      <c r="B140" s="4" t="inlineStr">
        <is>
          <t>Driver</t>
        </is>
      </c>
      <c r="C140" s="4" t="inlineStr">
        <is>
          <t>Deliveries</t>
        </is>
      </c>
      <c r="D140" s="4" t="inlineStr">
        <is>
          <t>Navigate</t>
        </is>
      </c>
      <c r="E140" s="4" t="inlineStr">
        <is>
          <t>Navigate to Pickup</t>
        </is>
      </c>
      <c r="F140" s="4" t="inlineStr">
        <is>
          <t>1. Open active delivery
2. Click Navigate to Restaurant
3. Open maps</t>
        </is>
      </c>
      <c r="G140" s="13" t="inlineStr">
        <is>
          <t>https://nutrio.me/driver/deliveries</t>
        </is>
      </c>
      <c r="H140" s="4" t="inlineStr">
        <is>
          <t>Maps opens with route to restaurant</t>
        </is>
      </c>
      <c r="I140" s="4">
        <f>IF(I140="","",IF(I140=G140,"PASS","FAIL"))</f>
        <v/>
      </c>
      <c r="J140" s="4" t="n"/>
      <c r="K140" s="4" t="n"/>
      <c r="L140" s="5" t="inlineStr">
        <is>
          <t>High</t>
        </is>
      </c>
      <c r="M140" s="4" t="n"/>
    </row>
    <row r="141" ht="60" customHeight="1" s="16">
      <c r="A141" s="4" t="inlineStr">
        <is>
          <t>TC140</t>
        </is>
      </c>
      <c r="B141" s="4" t="inlineStr">
        <is>
          <t>Driver</t>
        </is>
      </c>
      <c r="C141" s="4" t="inlineStr">
        <is>
          <t>Deliveries</t>
        </is>
      </c>
      <c r="D141" s="4" t="inlineStr">
        <is>
          <t>Mark Picked Up</t>
        </is>
      </c>
      <c r="E141" s="4" t="inlineStr">
        <is>
          <t>Mark Order as Picked Up</t>
        </is>
      </c>
      <c r="F141" s="4" t="inlineStr">
        <is>
          <t>1. Arrive at restaurant
2. Pick up order
3. Click Picked Up</t>
        </is>
      </c>
      <c r="G141" s="13" t="inlineStr">
        <is>
          <t>https://nutrio.me/driver/deliveries</t>
        </is>
      </c>
      <c r="H141" s="4" t="inlineStr">
        <is>
          <t>Status updated, customer notified</t>
        </is>
      </c>
      <c r="I141" s="4">
        <f>IF(I141="","",IF(I141=G141,"PASS","FAIL"))</f>
        <v/>
      </c>
      <c r="J141" s="4" t="n"/>
      <c r="K141" s="4" t="n"/>
      <c r="L141" s="7" t="inlineStr">
        <is>
          <t>Critical</t>
        </is>
      </c>
      <c r="M141" s="4" t="n"/>
    </row>
    <row r="142" ht="45" customHeight="1" s="16">
      <c r="A142" s="4" t="inlineStr">
        <is>
          <t>TC141</t>
        </is>
      </c>
      <c r="B142" s="4" t="inlineStr">
        <is>
          <t>Driver</t>
        </is>
      </c>
      <c r="C142" s="4" t="inlineStr">
        <is>
          <t>Deliveries</t>
        </is>
      </c>
      <c r="D142" s="4" t="inlineStr">
        <is>
          <t>Navigate Delivery</t>
        </is>
      </c>
      <c r="E142" s="4" t="inlineStr">
        <is>
          <t>Navigate to Customer</t>
        </is>
      </c>
      <c r="F142" s="4" t="inlineStr">
        <is>
          <t>1. Click Navigate to Customer
2. Open maps</t>
        </is>
      </c>
      <c r="G142" s="13" t="inlineStr">
        <is>
          <t>https://nutrio.me/driver/deliveries</t>
        </is>
      </c>
      <c r="H142" s="4" t="inlineStr">
        <is>
          <t>Maps opens with route to customer</t>
        </is>
      </c>
      <c r="I142" s="4">
        <f>IF(I142="","",IF(I142=G142,"PASS","FAIL"))</f>
        <v/>
      </c>
      <c r="J142" s="4" t="n"/>
      <c r="K142" s="4" t="n"/>
      <c r="L142" s="5" t="inlineStr">
        <is>
          <t>High</t>
        </is>
      </c>
      <c r="M142" s="4" t="n"/>
    </row>
    <row r="143" ht="60" customHeight="1" s="16">
      <c r="A143" s="4" t="inlineStr">
        <is>
          <t>TC142</t>
        </is>
      </c>
      <c r="B143" s="4" t="inlineStr">
        <is>
          <t>Driver</t>
        </is>
      </c>
      <c r="C143" s="4" t="inlineStr">
        <is>
          <t>Deliveries</t>
        </is>
      </c>
      <c r="D143" s="4" t="inlineStr">
        <is>
          <t>Mark Delivered</t>
        </is>
      </c>
      <c r="E143" s="4" t="inlineStr">
        <is>
          <t>Mark Order as Delivered</t>
        </is>
      </c>
      <c r="F143" s="4" t="inlineStr">
        <is>
          <t>1. Arrive at customer
2. Deliver order
3. Click Delivered
4. Optional: Photo</t>
        </is>
      </c>
      <c r="G143" s="13" t="inlineStr">
        <is>
          <t>https://nutrio.me/driver/deliveries</t>
        </is>
      </c>
      <c r="H143" s="4" t="inlineStr">
        <is>
          <t>Status updated, delivery complete</t>
        </is>
      </c>
      <c r="I143" s="4">
        <f>IF(I143="","",IF(I143=G143,"PASS","FAIL"))</f>
        <v/>
      </c>
      <c r="J143" s="4" t="n"/>
      <c r="K143" s="4" t="n"/>
      <c r="L143" s="7" t="inlineStr">
        <is>
          <t>Critical</t>
        </is>
      </c>
      <c r="M143" s="4" t="n"/>
    </row>
    <row r="144" ht="75" customHeight="1" s="16">
      <c r="A144" s="4" t="inlineStr">
        <is>
          <t>TC143</t>
        </is>
      </c>
      <c r="B144" s="4" t="inlineStr">
        <is>
          <t>Driver</t>
        </is>
      </c>
      <c r="C144" s="4" t="inlineStr">
        <is>
          <t>Deliveries</t>
        </is>
      </c>
      <c r="D144" s="4" t="inlineStr">
        <is>
          <t>View History</t>
        </is>
      </c>
      <c r="E144" s="4" t="inlineStr">
        <is>
          <t>View Delivery History</t>
        </is>
      </c>
      <c r="F144" s="4" t="inlineStr">
        <is>
          <t>1. Go to History tab
2. View past deliveries</t>
        </is>
      </c>
      <c r="G144" s="13" t="inlineStr">
        <is>
          <t>https://nutrio.me/driver/deliveries/[id]</t>
        </is>
      </c>
      <c r="H144" s="4" t="inlineStr">
        <is>
          <t>Completed deliveries with earnings displayed</t>
        </is>
      </c>
      <c r="I144" s="4">
        <f>IF(I144="","",IF(I144=G144,"PASS","FAIL"))</f>
        <v/>
      </c>
      <c r="J144" s="4" t="n"/>
      <c r="K144" s="4" t="n"/>
      <c r="L144" s="6" t="inlineStr">
        <is>
          <t>Medium</t>
        </is>
      </c>
      <c r="M144" s="4" t="n"/>
    </row>
    <row r="145" ht="90" customHeight="1" s="16">
      <c r="A145" s="4" t="inlineStr">
        <is>
          <t>TC144</t>
        </is>
      </c>
      <c r="B145" s="4" t="inlineStr">
        <is>
          <t>Driver</t>
        </is>
      </c>
      <c r="C145" s="4" t="inlineStr">
        <is>
          <t>Deliveries</t>
        </is>
      </c>
      <c r="D145" s="4" t="inlineStr">
        <is>
          <t>Delivery Details</t>
        </is>
      </c>
      <c r="E145" s="4" t="inlineStr">
        <is>
          <t>View Delivery Details</t>
        </is>
      </c>
      <c r="F145" s="4" t="inlineStr">
        <is>
          <t>1. Click on any delivery
2. View details</t>
        </is>
      </c>
      <c r="G145" s="13" t="inlineStr">
        <is>
          <t>https://nutrio.me/driver/deliveries/[id]</t>
        </is>
      </c>
      <c r="H145" s="4" t="inlineStr">
        <is>
          <t>Full info: restaurant, customer, address, items, earnings</t>
        </is>
      </c>
      <c r="I145" s="4">
        <f>IF(I145="","",IF(I145=G145,"PASS","FAIL"))</f>
        <v/>
      </c>
      <c r="J145" s="4" t="n"/>
      <c r="K145" s="4" t="n"/>
      <c r="L145" s="6" t="inlineStr">
        <is>
          <t>Medium</t>
        </is>
      </c>
      <c r="M145" s="4" t="n"/>
    </row>
    <row r="146" ht="75" customHeight="1" s="16">
      <c r="A146" s="4" t="inlineStr">
        <is>
          <t>TC145</t>
        </is>
      </c>
      <c r="B146" s="4" t="inlineStr">
        <is>
          <t>Driver</t>
        </is>
      </c>
      <c r="C146" s="4" t="inlineStr">
        <is>
          <t>Earnings</t>
        </is>
      </c>
      <c r="D146" s="4" t="inlineStr">
        <is>
          <t>View</t>
        </is>
      </c>
      <c r="E146" s="4" t="inlineStr">
        <is>
          <t>View Earnings</t>
        </is>
      </c>
      <c r="F146" s="4" t="inlineStr">
        <is>
          <t>1. Go to Earnings page
2. View summary</t>
        </is>
      </c>
      <c r="G146" s="13" t="inlineStr">
        <is>
          <t>https://nutrio.me/driver/earnings/[id]</t>
        </is>
      </c>
      <c r="H146" s="4" t="inlineStr">
        <is>
          <t>Today's earnings, weekly, total displayed</t>
        </is>
      </c>
      <c r="I146" s="4">
        <f>IF(I146="","",IF(I146=G146,"PASS","FAIL"))</f>
        <v/>
      </c>
      <c r="J146" s="4" t="n"/>
      <c r="K146" s="4" t="n"/>
      <c r="L146" s="5" t="inlineStr">
        <is>
          <t>High</t>
        </is>
      </c>
      <c r="M146" s="4" t="n"/>
    </row>
    <row r="147" ht="45" customHeight="1" s="16">
      <c r="A147" s="4" t="inlineStr">
        <is>
          <t>TC146</t>
        </is>
      </c>
      <c r="B147" s="4" t="inlineStr">
        <is>
          <t>Driver</t>
        </is>
      </c>
      <c r="C147" s="4" t="inlineStr">
        <is>
          <t>Earnings</t>
        </is>
      </c>
      <c r="D147" s="4" t="inlineStr">
        <is>
          <t>History</t>
        </is>
      </c>
      <c r="E147" s="4" t="inlineStr">
        <is>
          <t>View Earnings History</t>
        </is>
      </c>
      <c r="F147" s="4" t="inlineStr">
        <is>
          <t>1. View earnings breakdown
2. Check per-delivery earnings</t>
        </is>
      </c>
      <c r="G147" s="13" t="inlineStr">
        <is>
          <t>https://nutrio.me/driver/earnings/[id]</t>
        </is>
      </c>
      <c r="H147" s="4" t="inlineStr">
        <is>
          <t>Accurate earnings history</t>
        </is>
      </c>
      <c r="I147" s="4">
        <f>IF(I147="","",IF(I147=G147,"PASS","FAIL"))</f>
        <v/>
      </c>
      <c r="J147" s="4" t="n"/>
      <c r="K147" s="4" t="n"/>
      <c r="L147" s="6" t="inlineStr">
        <is>
          <t>Medium</t>
        </is>
      </c>
      <c r="M147" s="4" t="n"/>
    </row>
    <row r="148" ht="45" customHeight="1" s="16">
      <c r="A148" s="4" t="inlineStr">
        <is>
          <t>TC147</t>
        </is>
      </c>
      <c r="B148" s="4" t="inlineStr">
        <is>
          <t>Driver</t>
        </is>
      </c>
      <c r="C148" s="4" t="inlineStr">
        <is>
          <t>Earnings</t>
        </is>
      </c>
      <c r="D148" s="4" t="inlineStr">
        <is>
          <t>Payout</t>
        </is>
      </c>
      <c r="E148" s="4" t="inlineStr">
        <is>
          <t>View Payout Status</t>
        </is>
      </c>
      <c r="F148" s="4" t="inlineStr">
        <is>
          <t>1. Check payout section
2. View pending/completed payouts</t>
        </is>
      </c>
      <c r="G148" s="13" t="inlineStr">
        <is>
          <t>https://nutrio.me/driver/earnings/[id]</t>
        </is>
      </c>
      <c r="H148" s="4" t="inlineStr">
        <is>
          <t>Payout status displayed</t>
        </is>
      </c>
      <c r="I148" s="4">
        <f>IF(I148="","",IF(I148=G148,"PASS","FAIL"))</f>
        <v/>
      </c>
      <c r="J148" s="4" t="n"/>
      <c r="K148" s="4" t="n"/>
      <c r="L148" s="6" t="inlineStr">
        <is>
          <t>Medium</t>
        </is>
      </c>
      <c r="M148" s="4" t="n"/>
    </row>
    <row r="149" ht="75" customHeight="1" s="16">
      <c r="A149" s="4" t="inlineStr">
        <is>
          <t>TC148</t>
        </is>
      </c>
      <c r="B149" s="4" t="inlineStr">
        <is>
          <t>Driver</t>
        </is>
      </c>
      <c r="C149" s="4" t="inlineStr">
        <is>
          <t>Profile</t>
        </is>
      </c>
      <c r="D149" s="4" t="inlineStr">
        <is>
          <t>View</t>
        </is>
      </c>
      <c r="E149" s="4" t="inlineStr">
        <is>
          <t>View Driver Profile</t>
        </is>
      </c>
      <c r="F149" s="4" t="inlineStr">
        <is>
          <t>1. Go to Profile
2. View info</t>
        </is>
      </c>
      <c r="G149" s="13" t="inlineStr">
        <is>
          <t>https://nutrio.me/driver/profile/[id]</t>
        </is>
      </c>
      <c r="H149" s="4" t="inlineStr">
        <is>
          <t>Driver details, vehicle info, ratings displayed</t>
        </is>
      </c>
      <c r="I149" s="4">
        <f>IF(I149="","",IF(I149=G149,"PASS","FAIL"))</f>
        <v/>
      </c>
      <c r="J149" s="4" t="n"/>
      <c r="K149" s="4" t="n"/>
      <c r="L149" s="6" t="inlineStr">
        <is>
          <t>Medium</t>
        </is>
      </c>
      <c r="M149" s="4" t="n"/>
    </row>
    <row r="150" ht="45" customHeight="1" s="16">
      <c r="A150" s="4" t="inlineStr">
        <is>
          <t>TC149</t>
        </is>
      </c>
      <c r="B150" s="4" t="inlineStr">
        <is>
          <t>Driver</t>
        </is>
      </c>
      <c r="C150" s="4" t="inlineStr">
        <is>
          <t>Profile</t>
        </is>
      </c>
      <c r="D150" s="4" t="inlineStr">
        <is>
          <t>Edit</t>
        </is>
      </c>
      <c r="E150" s="4" t="inlineStr">
        <is>
          <t>Edit Profile</t>
        </is>
      </c>
      <c r="F150" s="4" t="inlineStr">
        <is>
          <t>1. Click Edit
2. Update info
3. Save</t>
        </is>
      </c>
      <c r="G150" s="13" t="inlineStr">
        <is>
          <t>https://nutrio.me/driver/profile/[id]/edit</t>
        </is>
      </c>
      <c r="H150" s="4" t="inlineStr">
        <is>
          <t>Profile updated</t>
        </is>
      </c>
      <c r="I150" s="4">
        <f>IF(I150="","",IF(I150=G150,"PASS","FAIL"))</f>
        <v/>
      </c>
      <c r="J150" s="4" t="n"/>
      <c r="K150" s="4" t="n"/>
      <c r="L150" s="6" t="inlineStr">
        <is>
          <t>Medium</t>
        </is>
      </c>
      <c r="M150" s="4" t="n"/>
    </row>
    <row r="151" ht="30" customHeight="1" s="16">
      <c r="A151" s="4" t="inlineStr">
        <is>
          <t>TC150</t>
        </is>
      </c>
      <c r="B151" s="4" t="inlineStr">
        <is>
          <t>Driver</t>
        </is>
      </c>
      <c r="C151" s="4" t="inlineStr">
        <is>
          <t>Profile</t>
        </is>
      </c>
      <c r="D151" s="4" t="inlineStr">
        <is>
          <t>Update Vehicle</t>
        </is>
      </c>
      <c r="E151" s="4" t="inlineStr">
        <is>
          <t>Update Vehicle Information</t>
        </is>
      </c>
      <c r="F151" s="4" t="inlineStr">
        <is>
          <t>1. Edit vehicle details
2. Save</t>
        </is>
      </c>
      <c r="G151" s="13" t="inlineStr">
        <is>
          <t>https://nutrio.me/driver/profile/[id]/edit</t>
        </is>
      </c>
      <c r="H151" s="4" t="inlineStr">
        <is>
          <t>Vehicle info updated</t>
        </is>
      </c>
      <c r="I151" s="4">
        <f>IF(I151="","",IF(I151=G151,"PASS","FAIL"))</f>
        <v/>
      </c>
      <c r="J151" s="4" t="n"/>
      <c r="K151" s="4" t="n"/>
      <c r="L151" s="4" t="inlineStr">
        <is>
          <t>Low</t>
        </is>
      </c>
      <c r="M151" s="4" t="n"/>
    </row>
    <row r="152" ht="75" customHeight="1" s="16">
      <c r="A152" s="4" t="inlineStr">
        <is>
          <t>TC151</t>
        </is>
      </c>
      <c r="B152" s="4" t="inlineStr">
        <is>
          <t>Driver</t>
        </is>
      </c>
      <c r="C152" s="4" t="inlineStr">
        <is>
          <t>Profile</t>
        </is>
      </c>
      <c r="D152" s="4" t="inlineStr">
        <is>
          <t>Set Status</t>
        </is>
      </c>
      <c r="E152" s="4" t="inlineStr">
        <is>
          <t>Set Driver Status</t>
        </is>
      </c>
      <c r="F152" s="4" t="inlineStr">
        <is>
          <t>1. Toggle Online/Offline
2. Confirm</t>
        </is>
      </c>
      <c r="G152" s="13" t="inlineStr">
        <is>
          <t>https://nutrio.me/driver/profile</t>
        </is>
      </c>
      <c r="H152" s="4" t="inlineStr">
        <is>
          <t>Status updated, affects order availability</t>
        </is>
      </c>
      <c r="I152" s="4">
        <f>IF(I152="","",IF(I152=G152,"PASS","FAIL"))</f>
        <v/>
      </c>
      <c r="J152" s="4" t="n"/>
      <c r="K152" s="4" t="n"/>
      <c r="L152" s="5" t="inlineStr">
        <is>
          <t>High</t>
        </is>
      </c>
      <c r="M152" s="4" t="n"/>
    </row>
    <row r="153" ht="45" customHeight="1" s="16">
      <c r="A153" s="4" t="inlineStr">
        <is>
          <t>TC152</t>
        </is>
      </c>
      <c r="B153" s="4" t="inlineStr">
        <is>
          <t>Driver</t>
        </is>
      </c>
      <c r="C153" s="4" t="inlineStr">
        <is>
          <t>Profile</t>
        </is>
      </c>
      <c r="D153" s="4" t="inlineStr">
        <is>
          <t>Bank Info</t>
        </is>
      </c>
      <c r="E153" s="4" t="inlineStr">
        <is>
          <t>Update Bank Details</t>
        </is>
      </c>
      <c r="F153" s="4" t="inlineStr">
        <is>
          <t>1. Edit bank info
2. Save</t>
        </is>
      </c>
      <c r="G153" s="13" t="inlineStr">
        <is>
          <t>https://nutrio.me/driver/profile/[id]</t>
        </is>
      </c>
      <c r="H153" s="4" t="inlineStr">
        <is>
          <t>Bank details updated for payouts</t>
        </is>
      </c>
      <c r="I153" s="4">
        <f>IF(I153="","",IF(I153=G153,"PASS","FAIL"))</f>
        <v/>
      </c>
      <c r="J153" s="4" t="n"/>
      <c r="K153" s="4" t="n"/>
      <c r="L153" s="5" t="inlineStr">
        <is>
          <t>High</t>
        </is>
      </c>
      <c r="M153" s="4" t="n"/>
    </row>
    <row r="154" ht="45" customHeight="1" s="16">
      <c r="A154" s="4" t="inlineStr">
        <is>
          <t>TC153</t>
        </is>
      </c>
      <c r="B154" s="4" t="inlineStr">
        <is>
          <t>System</t>
        </is>
      </c>
      <c r="C154" s="4" t="inlineStr">
        <is>
          <t>Notifications</t>
        </is>
      </c>
      <c r="D154" s="4" t="inlineStr">
        <is>
          <t>Email</t>
        </is>
      </c>
      <c r="E154" s="4" t="inlineStr">
        <is>
          <t>Email Notifications Sent</t>
        </is>
      </c>
      <c r="F154" s="4" t="inlineStr">
        <is>
          <t>1. Trigger events (order, signup, etc.)
2. Check email delivery</t>
        </is>
      </c>
      <c r="G154" s="13" t="inlineStr">
        <is>
          <t>https://nutrio.me/</t>
        </is>
      </c>
      <c r="H154" s="4" t="inlineStr">
        <is>
          <t>Emails delivered correctly</t>
        </is>
      </c>
      <c r="I154" s="4">
        <f>IF(I154="","",IF(I154=G154,"PASS","FAIL"))</f>
        <v/>
      </c>
      <c r="J154" s="4" t="n"/>
      <c r="K154" s="4" t="n"/>
      <c r="L154" s="6" t="inlineStr">
        <is>
          <t>Medium</t>
        </is>
      </c>
      <c r="M154" s="4" t="n"/>
    </row>
    <row r="155" ht="45" customHeight="1" s="16">
      <c r="A155" s="4" t="inlineStr">
        <is>
          <t>TC154</t>
        </is>
      </c>
      <c r="B155" s="4" t="inlineStr">
        <is>
          <t>System</t>
        </is>
      </c>
      <c r="C155" s="4" t="inlineStr">
        <is>
          <t>Notifications</t>
        </is>
      </c>
      <c r="D155" s="4" t="inlineStr">
        <is>
          <t>WhatsApp</t>
        </is>
      </c>
      <c r="E155" s="4" t="inlineStr">
        <is>
          <t>WhatsApp Notifications Sent</t>
        </is>
      </c>
      <c r="F155" s="4" t="inlineStr">
        <is>
          <t>1. Trigger WhatsApp events
2. Verify delivery</t>
        </is>
      </c>
      <c r="G155" s="13" t="inlineStr">
        <is>
          <t>https://nutrio.me/</t>
        </is>
      </c>
      <c r="H155" s="4" t="inlineStr">
        <is>
          <t>WhatsApp messages delivered</t>
        </is>
      </c>
      <c r="I155" s="4">
        <f>IF(I155="","",IF(I155=G155,"PASS","FAIL"))</f>
        <v/>
      </c>
      <c r="J155" s="4" t="n"/>
      <c r="K155" s="4" t="n"/>
      <c r="L155" s="5" t="inlineStr">
        <is>
          <t>High</t>
        </is>
      </c>
      <c r="M155" s="4" t="n"/>
    </row>
    <row r="156" ht="45" customHeight="1" s="16">
      <c r="A156" s="4" t="inlineStr">
        <is>
          <t>TC155</t>
        </is>
      </c>
      <c r="B156" s="4" t="inlineStr">
        <is>
          <t>System</t>
        </is>
      </c>
      <c r="C156" s="4" t="inlineStr">
        <is>
          <t>Notifications</t>
        </is>
      </c>
      <c r="D156" s="4" t="inlineStr">
        <is>
          <t>Push</t>
        </is>
      </c>
      <c r="E156" s="4" t="inlineStr">
        <is>
          <t>Push Notifications</t>
        </is>
      </c>
      <c r="F156" s="4" t="inlineStr">
        <is>
          <t>1. Trigger notification
2. Verify browser push</t>
        </is>
      </c>
      <c r="G156" s="13" t="inlineStr">
        <is>
          <t>https://nutrio.me/</t>
        </is>
      </c>
      <c r="H156" s="4" t="inlineStr">
        <is>
          <t>Push notifications received</t>
        </is>
      </c>
      <c r="I156" s="4">
        <f>IF(I156="","",IF(I156=G156,"PASS","FAIL"))</f>
        <v/>
      </c>
      <c r="J156" s="4" t="n"/>
      <c r="K156" s="4" t="n"/>
      <c r="L156" s="4" t="inlineStr">
        <is>
          <t>Low</t>
        </is>
      </c>
      <c r="M156" s="4" t="n"/>
    </row>
    <row r="157" ht="60" customHeight="1" s="16">
      <c r="A157" s="4" t="inlineStr">
        <is>
          <t>TC156</t>
        </is>
      </c>
      <c r="B157" s="4" t="inlineStr">
        <is>
          <t>System</t>
        </is>
      </c>
      <c r="C157" s="4" t="inlineStr">
        <is>
          <t>Payments</t>
        </is>
      </c>
      <c r="D157" s="4" t="inlineStr">
        <is>
          <t>Sadad</t>
        </is>
      </c>
      <c r="E157" s="4" t="inlineStr">
        <is>
          <t>Sadad Payment Integration</t>
        </is>
      </c>
      <c r="F157" s="4" t="inlineStr">
        <is>
          <t>1. Checkout with Sadad
2. Complete payment
3. Verify webhook</t>
        </is>
      </c>
      <c r="G157" s="13" t="inlineStr">
        <is>
          <t>https://nutrio.me/</t>
        </is>
      </c>
      <c r="H157" s="4" t="inlineStr">
        <is>
          <t>Payment processed, subscription activated</t>
        </is>
      </c>
      <c r="I157" s="4">
        <f>IF(I157="","",IF(I157=G157,"PASS","FAIL"))</f>
        <v/>
      </c>
      <c r="J157" s="4" t="n"/>
      <c r="K157" s="4" t="n"/>
      <c r="L157" s="7" t="inlineStr">
        <is>
          <t>Critical</t>
        </is>
      </c>
      <c r="M157" s="4" t="n"/>
    </row>
    <row r="158" ht="45" customHeight="1" s="16">
      <c r="A158" s="4" t="inlineStr">
        <is>
          <t>TC157</t>
        </is>
      </c>
      <c r="B158" s="4" t="inlineStr">
        <is>
          <t>System</t>
        </is>
      </c>
      <c r="C158" s="4" t="inlineStr">
        <is>
          <t>Payments</t>
        </is>
      </c>
      <c r="D158" s="4" t="inlineStr">
        <is>
          <t>Refund</t>
        </is>
      </c>
      <c r="E158" s="4" t="inlineStr">
        <is>
          <t>Refund Processing</t>
        </is>
      </c>
      <c r="F158" s="4" t="inlineStr">
        <is>
          <t>1. Process refund
2. Verify amount returned</t>
        </is>
      </c>
      <c r="G158" s="13" t="inlineStr">
        <is>
          <t>https://nutrio.me/</t>
        </is>
      </c>
      <c r="H158" s="4" t="inlineStr">
        <is>
          <t>Refund processed correctly</t>
        </is>
      </c>
      <c r="I158" s="4">
        <f>IF(I158="","",IF(I158=G158,"PASS","FAIL"))</f>
        <v/>
      </c>
      <c r="J158" s="4" t="n"/>
      <c r="K158" s="4" t="n"/>
      <c r="L158" s="5" t="inlineStr">
        <is>
          <t>High</t>
        </is>
      </c>
      <c r="M158" s="4" t="n"/>
    </row>
    <row r="159" ht="60" customHeight="1" s="16">
      <c r="A159" s="4" t="inlineStr">
        <is>
          <t>TC158</t>
        </is>
      </c>
      <c r="B159" s="4" t="inlineStr">
        <is>
          <t>System</t>
        </is>
      </c>
      <c r="C159" s="4" t="inlineStr">
        <is>
          <t>Security</t>
        </is>
      </c>
      <c r="D159" s="4" t="inlineStr">
        <is>
          <t>RLS</t>
        </is>
      </c>
      <c r="E159" s="4" t="inlineStr">
        <is>
          <t>Row Level Security</t>
        </is>
      </c>
      <c r="F159" s="4" t="inlineStr">
        <is>
          <t>1. Login as different users
2. Try to access unauthorized data</t>
        </is>
      </c>
      <c r="G159" s="13" t="inlineStr">
        <is>
          <t>https://nutrio.me/</t>
        </is>
      </c>
      <c r="H159" s="4" t="inlineStr">
        <is>
          <t>Access denied for unauthorized data</t>
        </is>
      </c>
      <c r="I159" s="4">
        <f>IF(I159="","",IF(I159=G159,"PASS","FAIL"))</f>
        <v/>
      </c>
      <c r="J159" s="4" t="n"/>
      <c r="K159" s="4" t="n"/>
      <c r="L159" s="7" t="inlineStr">
        <is>
          <t>Critical</t>
        </is>
      </c>
      <c r="M159" s="4" t="n"/>
    </row>
    <row r="160" ht="45" customHeight="1" s="16">
      <c r="A160" s="4" t="inlineStr">
        <is>
          <t>TC159</t>
        </is>
      </c>
      <c r="B160" s="4" t="inlineStr">
        <is>
          <t>System</t>
        </is>
      </c>
      <c r="C160" s="4" t="inlineStr">
        <is>
          <t>Security</t>
        </is>
      </c>
      <c r="D160" s="4" t="inlineStr">
        <is>
          <t>Auth</t>
        </is>
      </c>
      <c r="E160" s="4" t="inlineStr">
        <is>
          <t>Authentication Required</t>
        </is>
      </c>
      <c r="F160" s="4" t="inlineStr">
        <is>
          <t>1. Try to access protected routes without login
2. Verify redirect</t>
        </is>
      </c>
      <c r="G160" s="13" t="inlineStr">
        <is>
          <t>https://nutrio.me/</t>
        </is>
      </c>
      <c r="H160" s="4" t="inlineStr">
        <is>
          <t>Redirected to login page</t>
        </is>
      </c>
      <c r="I160" s="4">
        <f>IF(I160="","",IF(I160=G160,"PASS","FAIL"))</f>
        <v/>
      </c>
      <c r="J160" s="4" t="n"/>
      <c r="K160" s="4" t="n"/>
      <c r="L160" s="7" t="inlineStr">
        <is>
          <t>Critical</t>
        </is>
      </c>
      <c r="M160" s="4" t="n"/>
    </row>
    <row r="161" ht="60" customHeight="1" s="16">
      <c r="A161" s="4" t="inlineStr">
        <is>
          <t>TC160</t>
        </is>
      </c>
      <c r="B161" s="4" t="inlineStr">
        <is>
          <t>System</t>
        </is>
      </c>
      <c r="C161" s="4" t="inlineStr">
        <is>
          <t>Performance</t>
        </is>
      </c>
      <c r="D161" s="4" t="inlineStr">
        <is>
          <t>Load Time</t>
        </is>
      </c>
      <c r="E161" s="4" t="inlineStr">
        <is>
          <t>Page Load Performance</t>
        </is>
      </c>
      <c r="F161" s="4" t="inlineStr">
        <is>
          <t>1. Measure load times for key pages
2. Verify under 3 seconds</t>
        </is>
      </c>
      <c r="G161" s="13" t="inlineStr">
        <is>
          <t>https://nutrio.me/</t>
        </is>
      </c>
      <c r="H161" s="4" t="inlineStr">
        <is>
          <t>All pages load within acceptable time</t>
        </is>
      </c>
      <c r="I161" s="4">
        <f>IF(I161="","",IF(I161=G161,"PASS","FAIL"))</f>
        <v/>
      </c>
      <c r="J161" s="4" t="n"/>
      <c r="K161" s="4" t="n"/>
      <c r="L161" s="6" t="inlineStr">
        <is>
          <t>Medium</t>
        </is>
      </c>
      <c r="M161" s="4" t="n"/>
    </row>
    <row r="162" ht="45" customHeight="1" s="16">
      <c r="A162" s="4" t="inlineStr">
        <is>
          <t>TC161</t>
        </is>
      </c>
      <c r="B162" s="4" t="inlineStr">
        <is>
          <t>System</t>
        </is>
      </c>
      <c r="C162" s="4" t="inlineStr">
        <is>
          <t>Mobile</t>
        </is>
      </c>
      <c r="D162" s="4" t="inlineStr">
        <is>
          <t>Responsive</t>
        </is>
      </c>
      <c r="E162" s="4" t="inlineStr">
        <is>
          <t>Mobile Responsiveness</t>
        </is>
      </c>
      <c r="F162" s="4" t="inlineStr">
        <is>
          <t>1. Open site on mobile device
2. Test all features</t>
        </is>
      </c>
      <c r="G162" s="13" t="inlineStr">
        <is>
          <t>https://nutrio.me/</t>
        </is>
      </c>
      <c r="H162" s="4" t="inlineStr">
        <is>
          <t>All features work on mobile</t>
        </is>
      </c>
      <c r="I162" s="4">
        <f>IF(I162="","",IF(I162=G162,"PASS","FAIL"))</f>
        <v/>
      </c>
      <c r="J162" s="4" t="n"/>
      <c r="K162" s="4" t="n"/>
      <c r="L162" s="5" t="inlineStr">
        <is>
          <t>High</t>
        </is>
      </c>
      <c r="M162" s="4" t="n"/>
    </row>
    <row r="163" ht="45" customHeight="1" s="16">
      <c r="A163" s="4" t="inlineStr">
        <is>
          <t>TC162</t>
        </is>
      </c>
      <c r="B163" s="4" t="inlineStr">
        <is>
          <t>System</t>
        </is>
      </c>
      <c r="C163" s="4" t="inlineStr">
        <is>
          <t>Data</t>
        </is>
      </c>
      <c r="D163" s="4" t="inlineStr">
        <is>
          <t>Backup</t>
        </is>
      </c>
      <c r="E163" s="4" t="inlineStr">
        <is>
          <t>Data Backup Verification</t>
        </is>
      </c>
      <c r="F163" s="4" t="inlineStr">
        <is>
          <t>1. Check backup logs
2. Verify recent backups</t>
        </is>
      </c>
      <c r="G163" s="13" t="inlineStr">
        <is>
          <t>https://nutrio.me/</t>
        </is>
      </c>
      <c r="H163" s="4" t="inlineStr">
        <is>
          <t>Backups running successfully</t>
        </is>
      </c>
      <c r="I163" s="4">
        <f>IF(I163="","",IF(I163=G163,"PASS","FAIL"))</f>
        <v/>
      </c>
      <c r="J163" s="4" t="n"/>
      <c r="K163" s="4" t="n"/>
      <c r="L163" s="6" t="inlineStr">
        <is>
          <t>Medium</t>
        </is>
      </c>
      <c r="M163" s="4" t="n"/>
    </row>
    <row r="164" ht="90" customHeight="1" s="16">
      <c r="A164" s="4" t="inlineStr">
        <is>
          <t>TC153</t>
        </is>
      </c>
      <c r="B164" s="4" t="inlineStr">
        <is>
          <t>Partner</t>
        </is>
      </c>
      <c r="C164" s="4" t="inlineStr">
        <is>
          <t>Auth</t>
        </is>
      </c>
      <c r="D164" s="4" t="inlineStr">
        <is>
          <t>Password Reset</t>
        </is>
      </c>
      <c r="E164" s="4" t="inlineStr">
        <is>
          <t>Partner Password Reset Flow</t>
        </is>
      </c>
      <c r="F164" s="4" t="inlineStr">
        <is>
          <t>1. Click Forgot Password on partner login
2. Enter registered email
3. Check email for reset link
4. Click link and set new password
5. Login with new password</t>
        </is>
      </c>
      <c r="G164" s="13" t="inlineStr">
        <is>
          <t>https://nutrio.me/partner/auth</t>
        </is>
      </c>
      <c r="H164" s="4" t="inlineStr">
        <is>
          <t>Password reset successful, can login with new credentials</t>
        </is>
      </c>
      <c r="I164" s="4">
        <f>IF(I164="","",IF(I164=G164,"PASS","FAIL"))</f>
        <v/>
      </c>
      <c r="J164" s="4" t="n"/>
      <c r="K164" s="4" t="n"/>
      <c r="L164" s="5" t="inlineStr">
        <is>
          <t>High</t>
        </is>
      </c>
      <c r="M164" s="4" t="n"/>
    </row>
    <row r="165" ht="75" customHeight="1" s="16">
      <c r="A165" s="4" t="inlineStr">
        <is>
          <t>TC154</t>
        </is>
      </c>
      <c r="B165" s="4" t="inlineStr">
        <is>
          <t>Partner</t>
        </is>
      </c>
      <c r="C165" s="4" t="inlineStr">
        <is>
          <t>Onboarding</t>
        </is>
      </c>
      <c r="D165" s="4" t="inlineStr">
        <is>
          <t>Wizard Step 1</t>
        </is>
      </c>
      <c r="E165" s="4" t="inlineStr">
        <is>
          <t>Complete Onboarding Step 1 - Basic Info</t>
        </is>
      </c>
      <c r="F165" s="4" t="inlineStr">
        <is>
          <t>1. Start partner registration
2. Fill restaurant name
3. Add description
4. Select cuisine type
5. Add dietary tags</t>
        </is>
      </c>
      <c r="G165" s="13" t="inlineStr">
        <is>
          <t>https://nutrio.me/partner/onboarding</t>
        </is>
      </c>
      <c r="H165" s="4" t="inlineStr">
        <is>
          <t>Step 1 saved, can proceed to Step 2</t>
        </is>
      </c>
      <c r="I165" s="4">
        <f>IF(I165="","",IF(I165=G165,"PASS","FAIL"))</f>
        <v/>
      </c>
      <c r="J165" s="4" t="n"/>
      <c r="K165" s="4" t="n"/>
      <c r="L165" s="5" t="inlineStr">
        <is>
          <t>High</t>
        </is>
      </c>
      <c r="M165" s="4" t="n"/>
    </row>
    <row r="166" ht="75" customHeight="1" s="16">
      <c r="A166" s="4" t="inlineStr">
        <is>
          <t>TC155</t>
        </is>
      </c>
      <c r="B166" s="4" t="inlineStr">
        <is>
          <t>Partner</t>
        </is>
      </c>
      <c r="C166" s="4" t="inlineStr">
        <is>
          <t>Onboarding</t>
        </is>
      </c>
      <c r="D166" s="4" t="inlineStr">
        <is>
          <t>Wizard Step 2</t>
        </is>
      </c>
      <c r="E166" s="4" t="inlineStr">
        <is>
          <t>Complete Onboarding Step 2 - Location</t>
        </is>
      </c>
      <c r="F166" s="4" t="inlineStr">
        <is>
          <t>1. Enter address
2. Pin location on map
3. Add phone number
4. Add email
5. Set operating hours</t>
        </is>
      </c>
      <c r="G166" s="13" t="inlineStr">
        <is>
          <t>https://nutrio.me/partner/onboarding</t>
        </is>
      </c>
      <c r="H166" s="4" t="inlineStr">
        <is>
          <t>Step 2 saved, can proceed to Step 3</t>
        </is>
      </c>
      <c r="I166" s="4">
        <f>IF(I166="","",IF(I166=G166,"PASS","FAIL"))</f>
        <v/>
      </c>
      <c r="J166" s="4" t="n"/>
      <c r="K166" s="4" t="n"/>
      <c r="L166" s="5" t="inlineStr">
        <is>
          <t>High</t>
        </is>
      </c>
      <c r="M166" s="4" t="n"/>
    </row>
    <row r="167" ht="60" customHeight="1" s="16">
      <c r="A167" s="4" t="inlineStr">
        <is>
          <t>TC156</t>
        </is>
      </c>
      <c r="B167" s="4" t="inlineStr">
        <is>
          <t>Partner</t>
        </is>
      </c>
      <c r="C167" s="4" t="inlineStr">
        <is>
          <t>Onboarding</t>
        </is>
      </c>
      <c r="D167" s="4" t="inlineStr">
        <is>
          <t>Wizard Step 3</t>
        </is>
      </c>
      <c r="E167" s="4" t="inlineStr">
        <is>
          <t>Complete Onboarding Step 3 - Media</t>
        </is>
      </c>
      <c r="F167" s="4" t="inlineStr">
        <is>
          <t>1. Upload logo (required)
2. Upload restaurant photos
3. Verify image preview
4. Check file size limits</t>
        </is>
      </c>
      <c r="G167" s="13" t="inlineStr">
        <is>
          <t>https://nutrio.me/partner/onboarding</t>
        </is>
      </c>
      <c r="H167" s="4" t="inlineStr">
        <is>
          <t>Images uploaded and preview shown</t>
        </is>
      </c>
      <c r="I167" s="4">
        <f>IF(I167="","",IF(I167=G167,"PASS","FAIL"))</f>
        <v/>
      </c>
      <c r="J167" s="4" t="n"/>
      <c r="K167" s="4" t="n"/>
      <c r="L167" s="5" t="inlineStr">
        <is>
          <t>High</t>
        </is>
      </c>
      <c r="M167" s="4" t="n"/>
    </row>
    <row r="168" ht="75" customHeight="1" s="16">
      <c r="A168" s="4" t="inlineStr">
        <is>
          <t>TC157</t>
        </is>
      </c>
      <c r="B168" s="4" t="inlineStr">
        <is>
          <t>Partner</t>
        </is>
      </c>
      <c r="C168" s="4" t="inlineStr">
        <is>
          <t>Onboarding</t>
        </is>
      </c>
      <c r="D168" s="4" t="inlineStr">
        <is>
          <t>Wizard Step 4</t>
        </is>
      </c>
      <c r="E168" s="4" t="inlineStr">
        <is>
          <t>Complete Onboarding Step 4 - Kitchen Details</t>
        </is>
      </c>
      <c r="F168" s="4" t="inlineStr">
        <is>
          <t>1. Set average prep time
2. Set daily capacity
3. Add bank account info
4. Add bank name and IBAN</t>
        </is>
      </c>
      <c r="G168" s="13" t="inlineStr">
        <is>
          <t>https://nutrio.me/partner/onboarding/[id]</t>
        </is>
      </c>
      <c r="H168" s="4" t="inlineStr">
        <is>
          <t>Kitchen details saved, can proceed to Step 5</t>
        </is>
      </c>
      <c r="I168" s="4">
        <f>IF(I168="","",IF(I168=G168,"PASS","FAIL"))</f>
        <v/>
      </c>
      <c r="J168" s="4" t="n"/>
      <c r="K168" s="4" t="n"/>
      <c r="L168" s="7" t="inlineStr">
        <is>
          <t>Critical</t>
        </is>
      </c>
      <c r="M168" s="4" t="n"/>
    </row>
    <row r="169" ht="90" customHeight="1" s="16">
      <c r="A169" s="4" t="inlineStr">
        <is>
          <t>TC158</t>
        </is>
      </c>
      <c r="B169" s="4" t="inlineStr">
        <is>
          <t>Partner</t>
        </is>
      </c>
      <c r="C169" s="4" t="inlineStr">
        <is>
          <t>Onboarding</t>
        </is>
      </c>
      <c r="D169" s="4" t="inlineStr">
        <is>
          <t>Wizard Step 5</t>
        </is>
      </c>
      <c r="E169" s="4" t="inlineStr">
        <is>
          <t>Complete Onboarding Step 5 - Review &amp; Submit</t>
        </is>
      </c>
      <c r="F169" s="4" t="inlineStr">
        <is>
          <t>1. Review all entered information
2. Check accuracy of details
3. Accept terms and conditions
4. Click Submit</t>
        </is>
      </c>
      <c r="G169" s="13" t="inlineStr">
        <is>
          <t>https://nutrio.me/partner/onboarding/[id]</t>
        </is>
      </c>
      <c r="H169" s="4" t="inlineStr">
        <is>
          <t>Application submitted, status shows 'pending_approval'</t>
        </is>
      </c>
      <c r="I169" s="4">
        <f>IF(I169="","",IF(I169=G169,"PASS","FAIL"))</f>
        <v/>
      </c>
      <c r="J169" s="4" t="n"/>
      <c r="K169" s="4" t="n"/>
      <c r="L169" s="7" t="inlineStr">
        <is>
          <t>Critical</t>
        </is>
      </c>
      <c r="M169" s="4" t="n"/>
    </row>
    <row r="170" ht="75" customHeight="1" s="16">
      <c r="A170" s="4" t="inlineStr">
        <is>
          <t>TC159</t>
        </is>
      </c>
      <c r="B170" s="4" t="inlineStr">
        <is>
          <t>Partner</t>
        </is>
      </c>
      <c r="C170" s="4" t="inlineStr">
        <is>
          <t>Onboarding</t>
        </is>
      </c>
      <c r="D170" s="4" t="inlineStr">
        <is>
          <t>Save Progress</t>
        </is>
      </c>
      <c r="E170" s="4" t="inlineStr">
        <is>
          <t>Save Onboarding Progress</t>
        </is>
      </c>
      <c r="F170" s="4" t="inlineStr">
        <is>
          <t>1. Fill partial information
2. Click Save Progress
3. Logout
4. Login again
5. Continue from where left off</t>
        </is>
      </c>
      <c r="G170" s="13" t="inlineStr">
        <is>
          <t>https://nutrio.me/partner/onboarding</t>
        </is>
      </c>
      <c r="H170" s="4" t="inlineStr">
        <is>
          <t>Progress saved, can resume onboarding</t>
        </is>
      </c>
      <c r="I170" s="4">
        <f>IF(I170="","",IF(I170=G170,"PASS","FAIL"))</f>
        <v/>
      </c>
      <c r="J170" s="4" t="n"/>
      <c r="K170" s="4" t="n"/>
      <c r="L170" s="6" t="inlineStr">
        <is>
          <t>Medium</t>
        </is>
      </c>
      <c r="M170" s="4" t="n"/>
    </row>
    <row r="171" ht="75" customHeight="1" s="16">
      <c r="A171" s="4" t="inlineStr">
        <is>
          <t>TC160</t>
        </is>
      </c>
      <c r="B171" s="4" t="inlineStr">
        <is>
          <t>Partner</t>
        </is>
      </c>
      <c r="C171" s="4" t="inlineStr">
        <is>
          <t>Dashboard</t>
        </is>
      </c>
      <c r="D171" s="4" t="inlineStr">
        <is>
          <t>Real-time Updates</t>
        </is>
      </c>
      <c r="E171" s="4" t="inlineStr">
        <is>
          <t>Dashboard Real-time Order Updates</t>
        </is>
      </c>
      <c r="F171" s="4" t="inlineStr">
        <is>
          <t>1. Keep dashboard open
2. Have customer place order
3. Verify order appears without refresh
4. Check notification received</t>
        </is>
      </c>
      <c r="G171" s="13" t="inlineStr">
        <is>
          <t>https://nutrio.me/partner/dashboard/[id]/edit</t>
        </is>
      </c>
      <c r="H171" s="4" t="inlineStr">
        <is>
          <t>New order appears automatically on dashboard</t>
        </is>
      </c>
      <c r="I171" s="4">
        <f>IF(I171="","",IF(I171=G171,"PASS","FAIL"))</f>
        <v/>
      </c>
      <c r="J171" s="4" t="n"/>
      <c r="K171" s="4" t="n"/>
      <c r="L171" s="5" t="inlineStr">
        <is>
          <t>High</t>
        </is>
      </c>
      <c r="M171" s="4" t="n"/>
    </row>
    <row r="172" ht="90" customHeight="1" s="16">
      <c r="A172" s="4" t="inlineStr">
        <is>
          <t>TC161</t>
        </is>
      </c>
      <c r="B172" s="4" t="inlineStr">
        <is>
          <t>Partner</t>
        </is>
      </c>
      <c r="C172" s="4" t="inlineStr">
        <is>
          <t>Dashboard</t>
        </is>
      </c>
      <c r="D172" s="4" t="inlineStr">
        <is>
          <t>Performance Chart</t>
        </is>
      </c>
      <c r="E172" s="4" t="inlineStr">
        <is>
          <t>View Performance Charts</t>
        </is>
      </c>
      <c r="F172" s="4" t="inlineStr">
        <is>
          <t>1. On dashboard, scroll to charts
2. View orders chart
3. View earnings chart
4. Hover for detailed values</t>
        </is>
      </c>
      <c r="G172" s="13" t="inlineStr">
        <is>
          <t>https://nutrio.me/partner/dashboard/[id]</t>
        </is>
      </c>
      <c r="H172" s="4" t="inlineStr">
        <is>
          <t>Charts display correctly with accurate data</t>
        </is>
      </c>
      <c r="I172" s="4">
        <f>IF(I172="","",IF(I172=G172,"PASS","FAIL"))</f>
        <v/>
      </c>
      <c r="J172" s="4" t="n"/>
      <c r="K172" s="4" t="n"/>
      <c r="L172" s="4" t="inlineStr">
        <is>
          <t>Low</t>
        </is>
      </c>
      <c r="M172" s="4" t="n"/>
    </row>
    <row r="173" ht="105" customHeight="1" s="16">
      <c r="A173" s="4" t="inlineStr">
        <is>
          <t>TC162</t>
        </is>
      </c>
      <c r="B173" s="4" t="inlineStr">
        <is>
          <t>Partner</t>
        </is>
      </c>
      <c r="C173" s="4" t="inlineStr">
        <is>
          <t>Dashboard</t>
        </is>
      </c>
      <c r="D173" s="4" t="inlineStr">
        <is>
          <t>Recent Orders</t>
        </is>
      </c>
      <c r="E173" s="4" t="inlineStr">
        <is>
          <t>View Recent Orders on Dashboard</t>
        </is>
      </c>
      <c r="F173" s="4" t="inlineStr">
        <is>
          <t>1. Look at Recent Orders section
2. Click View All
3. Verify navigation to Orders page</t>
        </is>
      </c>
      <c r="G173" s="13" t="inlineStr">
        <is>
          <t>https://nutrio.me/partner/dashboard/[id]</t>
        </is>
      </c>
      <c r="H173" s="4" t="inlineStr">
        <is>
          <t>Recent orders displayed, click navigates to full orders page</t>
        </is>
      </c>
      <c r="I173" s="4">
        <f>IF(I173="","",IF(I173=G173,"PASS","FAIL"))</f>
        <v/>
      </c>
      <c r="J173" s="4" t="n"/>
      <c r="K173" s="4" t="n"/>
      <c r="L173" s="6" t="inlineStr">
        <is>
          <t>Medium</t>
        </is>
      </c>
      <c r="M173" s="4" t="n"/>
    </row>
    <row r="174" ht="75" customHeight="1" s="16">
      <c r="A174" s="4" t="inlineStr">
        <is>
          <t>TC163</t>
        </is>
      </c>
      <c r="B174" s="4" t="inlineStr">
        <is>
          <t>Partner</t>
        </is>
      </c>
      <c r="C174" s="4" t="inlineStr">
        <is>
          <t>Dashboard</t>
        </is>
      </c>
      <c r="D174" s="4" t="inlineStr">
        <is>
          <t>Quick Stats</t>
        </is>
      </c>
      <c r="E174" s="4" t="inlineStr">
        <is>
          <t>Dashboard Quick Stats Cards</t>
        </is>
      </c>
      <c r="F174" s="4" t="inlineStr">
        <is>
          <t>1. Verify Today's Orders card
2. Verify Today's Earnings card
3. Verify Weekly Total card
4. Verify Rating card
5. Check all values are accurate</t>
        </is>
      </c>
      <c r="G174" s="13" t="inlineStr">
        <is>
          <t>https://nutrio.me/partner/dashboard</t>
        </is>
      </c>
      <c r="H174" s="4" t="inlineStr">
        <is>
          <t>All stat cards show correct information</t>
        </is>
      </c>
      <c r="I174" s="4">
        <f>IF(I174="","",IF(I174=G174,"PASS","FAIL"))</f>
        <v/>
      </c>
      <c r="J174" s="4" t="n"/>
      <c r="K174" s="4" t="n"/>
      <c r="L174" s="5" t="inlineStr">
        <is>
          <t>High</t>
        </is>
      </c>
      <c r="M174" s="4" t="n"/>
    </row>
    <row r="175" ht="60" customHeight="1" s="16">
      <c r="A175" s="4" t="inlineStr">
        <is>
          <t>TC164</t>
        </is>
      </c>
      <c r="B175" s="4" t="inlineStr">
        <is>
          <t>Partner</t>
        </is>
      </c>
      <c r="C175" s="4" t="inlineStr">
        <is>
          <t>Orders</t>
        </is>
      </c>
      <c r="D175" s="4" t="inlineStr">
        <is>
          <t>Bulk Actions</t>
        </is>
      </c>
      <c r="E175" s="4" t="inlineStr">
        <is>
          <t>Bulk Order Actions</t>
        </is>
      </c>
      <c r="F175" s="4" t="inlineStr">
        <is>
          <t>1. Select multiple orders
2. Click bulk action
3. Mark all as preparing
4. Verify all updated</t>
        </is>
      </c>
      <c r="G175" s="13" t="inlineStr">
        <is>
          <t>https://nutrio.me/partner/orders</t>
        </is>
      </c>
      <c r="H175" s="4" t="inlineStr">
        <is>
          <t>All selected orders updated to new status</t>
        </is>
      </c>
      <c r="I175" s="4">
        <f>IF(I175="","",IF(I175=G175,"PASS","FAIL"))</f>
        <v/>
      </c>
      <c r="J175" s="4" t="n"/>
      <c r="K175" s="4" t="n"/>
      <c r="L175" s="4" t="inlineStr">
        <is>
          <t>Low</t>
        </is>
      </c>
      <c r="M175" s="4" t="n"/>
    </row>
    <row r="176" ht="60" customHeight="1" s="16">
      <c r="A176" s="4" t="inlineStr">
        <is>
          <t>TC165</t>
        </is>
      </c>
      <c r="B176" s="4" t="inlineStr">
        <is>
          <t>Partner</t>
        </is>
      </c>
      <c r="C176" s="4" t="inlineStr">
        <is>
          <t>Orders</t>
        </is>
      </c>
      <c r="D176" s="4" t="inlineStr">
        <is>
          <t>Filter by Status</t>
        </is>
      </c>
      <c r="E176" s="4" t="inlineStr">
        <is>
          <t>Filter Orders by Status</t>
        </is>
      </c>
      <c r="F176" s="4" t="inlineStr">
        <is>
          <t>1. On orders page
2. Click filter dropdown
3. Select 'Preparing'
4. Verify only preparing orders shown</t>
        </is>
      </c>
      <c r="G176" s="13" t="inlineStr">
        <is>
          <t>https://nutrio.me/partner/orders?filter=[value]</t>
        </is>
      </c>
      <c r="H176" s="4" t="inlineStr">
        <is>
          <t>Orders filtered by selected status</t>
        </is>
      </c>
      <c r="I176" s="4">
        <f>IF(I176="","",IF(I176=G176,"PASS","FAIL"))</f>
        <v/>
      </c>
      <c r="J176" s="4" t="n"/>
      <c r="K176" s="4" t="n"/>
      <c r="L176" s="6" t="inlineStr">
        <is>
          <t>Medium</t>
        </is>
      </c>
      <c r="M176" s="4" t="n"/>
    </row>
    <row r="177" ht="45" customHeight="1" s="16">
      <c r="A177" s="4" t="inlineStr">
        <is>
          <t>TC166</t>
        </is>
      </c>
      <c r="B177" s="4" t="inlineStr">
        <is>
          <t>Partner</t>
        </is>
      </c>
      <c r="C177" s="4" t="inlineStr">
        <is>
          <t>Orders</t>
        </is>
      </c>
      <c r="D177" s="4" t="inlineStr">
        <is>
          <t>Filter by Date</t>
        </is>
      </c>
      <c r="E177" s="4" t="inlineStr">
        <is>
          <t>Filter Orders by Date Range</t>
        </is>
      </c>
      <c r="F177" s="4" t="inlineStr">
        <is>
          <t>1. Select date range
2. Apply filter
3. Verify orders within range displayed</t>
        </is>
      </c>
      <c r="G177" s="13" t="inlineStr">
        <is>
          <t>https://nutrio.me/partner/orders?filter=[value]</t>
        </is>
      </c>
      <c r="H177" s="4" t="inlineStr">
        <is>
          <t>Orders filtered by date range</t>
        </is>
      </c>
      <c r="I177" s="4">
        <f>IF(I177="","",IF(I177=G177,"PASS","FAIL"))</f>
        <v/>
      </c>
      <c r="J177" s="4" t="n"/>
      <c r="K177" s="4" t="n"/>
      <c r="L177" s="6" t="inlineStr">
        <is>
          <t>Medium</t>
        </is>
      </c>
      <c r="M177" s="4" t="n"/>
    </row>
    <row r="178" ht="75" customHeight="1" s="16">
      <c r="A178" s="4" t="inlineStr">
        <is>
          <t>TC167</t>
        </is>
      </c>
      <c r="B178" s="4" t="inlineStr">
        <is>
          <t>Partner</t>
        </is>
      </c>
      <c r="C178" s="4" t="inlineStr">
        <is>
          <t>Orders</t>
        </is>
      </c>
      <c r="D178" s="4" t="inlineStr">
        <is>
          <t>Search Orders</t>
        </is>
      </c>
      <c r="E178" s="4" t="inlineStr">
        <is>
          <t>Search Orders by Order ID or Customer</t>
        </is>
      </c>
      <c r="F178" s="4" t="inlineStr">
        <is>
          <t>1. Enter order ID in search
2. Press Enter
3. Verify matching order displayed
4. Try searching by customer name</t>
        </is>
      </c>
      <c r="G178" s="13" t="inlineStr">
        <is>
          <t>https://nutrio.me/partner/orders?q=[search-term]</t>
        </is>
      </c>
      <c r="H178" s="4" t="inlineStr">
        <is>
          <t>Search results show matching orders</t>
        </is>
      </c>
      <c r="I178" s="4">
        <f>IF(I178="","",IF(I178=G178,"PASS","FAIL"))</f>
        <v/>
      </c>
      <c r="J178" s="4" t="n"/>
      <c r="K178" s="4" t="n"/>
      <c r="L178" s="6" t="inlineStr">
        <is>
          <t>Medium</t>
        </is>
      </c>
      <c r="M178" s="4" t="n"/>
    </row>
    <row r="179" ht="75" customHeight="1" s="16">
      <c r="A179" s="4" t="inlineStr">
        <is>
          <t>TC168</t>
        </is>
      </c>
      <c r="B179" s="4" t="inlineStr">
        <is>
          <t>Partner</t>
        </is>
      </c>
      <c r="C179" s="4" t="inlineStr">
        <is>
          <t>Orders</t>
        </is>
      </c>
      <c r="D179" s="4" t="inlineStr">
        <is>
          <t>Order Timeline</t>
        </is>
      </c>
      <c r="E179" s="4" t="inlineStr">
        <is>
          <t>View Order Status Timeline</t>
        </is>
      </c>
      <c r="F179" s="4" t="inlineStr">
        <is>
          <t>1. Open order details
2. View status timeline
3. Check all status changes logged
4. Verify timestamps accurate</t>
        </is>
      </c>
      <c r="G179" s="13" t="inlineStr">
        <is>
          <t>https://nutrio.me/partner/orders/[id]</t>
        </is>
      </c>
      <c r="H179" s="4" t="inlineStr">
        <is>
          <t>Complete timeline of order status changes shown</t>
        </is>
      </c>
      <c r="I179" s="4">
        <f>IF(I179="","",IF(I179=G179,"PASS","FAIL"))</f>
        <v/>
      </c>
      <c r="J179" s="4" t="n"/>
      <c r="K179" s="4" t="n"/>
      <c r="L179" s="6" t="inlineStr">
        <is>
          <t>Medium</t>
        </is>
      </c>
      <c r="M179" s="4" t="n"/>
    </row>
    <row r="180" ht="75" customHeight="1" s="16">
      <c r="A180" s="4" t="inlineStr">
        <is>
          <t>TC169</t>
        </is>
      </c>
      <c r="B180" s="4" t="inlineStr">
        <is>
          <t>Partner</t>
        </is>
      </c>
      <c r="C180" s="4" t="inlineStr">
        <is>
          <t>Orders</t>
        </is>
      </c>
      <c r="D180" s="4" t="inlineStr">
        <is>
          <t>Customer Details</t>
        </is>
      </c>
      <c r="E180" s="4" t="inlineStr">
        <is>
          <t>View Customer Details in Order</t>
        </is>
      </c>
      <c r="F180" s="4" t="inlineStr">
        <is>
          <t>1. Open order details
2. View customer section
3. Verify name, phone, address shown
4. Check delivery instructions</t>
        </is>
      </c>
      <c r="G180" s="13" t="inlineStr">
        <is>
          <t>https://nutrio.me/partner/orders/[id]</t>
        </is>
      </c>
      <c r="H180" s="4" t="inlineStr">
        <is>
          <t>All customer information displayed accurately</t>
        </is>
      </c>
      <c r="I180" s="4">
        <f>IF(I180="","",IF(I180=G180,"PASS","FAIL"))</f>
        <v/>
      </c>
      <c r="J180" s="4" t="n"/>
      <c r="K180" s="4" t="n"/>
      <c r="L180" s="5" t="inlineStr">
        <is>
          <t>High</t>
        </is>
      </c>
      <c r="M180" s="4" t="n"/>
    </row>
    <row r="181" ht="75" customHeight="1" s="16">
      <c r="A181" s="4" t="inlineStr">
        <is>
          <t>TC170</t>
        </is>
      </c>
      <c r="B181" s="4" t="inlineStr">
        <is>
          <t>Partner</t>
        </is>
      </c>
      <c r="C181" s="4" t="inlineStr">
        <is>
          <t>Orders</t>
        </is>
      </c>
      <c r="D181" s="4" t="inlineStr">
        <is>
          <t>Print Order</t>
        </is>
      </c>
      <c r="E181" s="4" t="inlineStr">
        <is>
          <t>Print Order Ticket</t>
        </is>
      </c>
      <c r="F181" s="4" t="inlineStr">
        <is>
          <t>1. Open order details
2. Click Print button
3. Verify print dialog opens
4. Check ticket format</t>
        </is>
      </c>
      <c r="G181" s="13" t="inlineStr">
        <is>
          <t>https://nutrio.me/partner/orders</t>
        </is>
      </c>
      <c r="H181" s="4" t="inlineStr">
        <is>
          <t>Print dialog opens with kitchen-friendly format</t>
        </is>
      </c>
      <c r="I181" s="4">
        <f>IF(I181="","",IF(I181=G181,"PASS","FAIL"))</f>
        <v/>
      </c>
      <c r="J181" s="4" t="n"/>
      <c r="K181" s="4" t="n"/>
      <c r="L181" s="4" t="inlineStr">
        <is>
          <t>Low</t>
        </is>
      </c>
      <c r="M181" s="4" t="n"/>
    </row>
    <row r="182" ht="60" customHeight="1" s="16">
      <c r="A182" s="4" t="inlineStr">
        <is>
          <t>TC171</t>
        </is>
      </c>
      <c r="B182" s="4" t="inlineStr">
        <is>
          <t>Partner</t>
        </is>
      </c>
      <c r="C182" s="4" t="inlineStr">
        <is>
          <t>Orders</t>
        </is>
      </c>
      <c r="D182" s="4" t="inlineStr">
        <is>
          <t>Order Notifications</t>
        </is>
      </c>
      <c r="E182" s="4" t="inlineStr">
        <is>
          <t>Order Notification Settings</t>
        </is>
      </c>
      <c r="F182" s="4" t="inlineStr">
        <is>
          <t>1. Go to profile
2. Check notification settings
3. Enable/disable order notifications
4. Save settings</t>
        </is>
      </c>
      <c r="G182" s="13" t="inlineStr">
        <is>
          <t>https://nutrio.me/partner/orders</t>
        </is>
      </c>
      <c r="H182" s="4" t="inlineStr">
        <is>
          <t>Notification preferences saved and applied</t>
        </is>
      </c>
      <c r="I182" s="4">
        <f>IF(I182="","",IF(I182=G182,"PASS","FAIL"))</f>
        <v/>
      </c>
      <c r="J182" s="4" t="n"/>
      <c r="K182" s="4" t="n"/>
      <c r="L182" s="4" t="inlineStr">
        <is>
          <t>Low</t>
        </is>
      </c>
      <c r="M182" s="4" t="n"/>
    </row>
    <row r="183" ht="60" customHeight="1" s="16">
      <c r="A183" s="4" t="inlineStr">
        <is>
          <t>TC172</t>
        </is>
      </c>
      <c r="B183" s="4" t="inlineStr">
        <is>
          <t>Partner</t>
        </is>
      </c>
      <c r="C183" s="4" t="inlineStr">
        <is>
          <t>Menu</t>
        </is>
      </c>
      <c r="D183" s="4" t="inlineStr">
        <is>
          <t>Bulk Toggle</t>
        </is>
      </c>
      <c r="E183" s="4" t="inlineStr">
        <is>
          <t>Bulk Toggle Item Availability</t>
        </is>
      </c>
      <c r="F183" s="4" t="inlineStr">
        <is>
          <t>1. Select multiple menu items
2. Click Toggle Availability
3. Verify all items status changed</t>
        </is>
      </c>
      <c r="G183" s="13" t="inlineStr">
        <is>
          <t>https://nutrio.me/partner/menu</t>
        </is>
      </c>
      <c r="H183" s="4" t="inlineStr">
        <is>
          <t>All selected items availability toggled</t>
        </is>
      </c>
      <c r="I183" s="4">
        <f>IF(I183="","",IF(I183=G183,"PASS","FAIL"))</f>
        <v/>
      </c>
      <c r="J183" s="4" t="n"/>
      <c r="K183" s="4" t="n"/>
      <c r="L183" s="4" t="inlineStr">
        <is>
          <t>Low</t>
        </is>
      </c>
      <c r="M183" s="4" t="n"/>
    </row>
    <row r="184" ht="75" customHeight="1" s="16">
      <c r="A184" s="4" t="inlineStr">
        <is>
          <t>TC173</t>
        </is>
      </c>
      <c r="B184" s="4" t="inlineStr">
        <is>
          <t>Partner</t>
        </is>
      </c>
      <c r="C184" s="4" t="inlineStr">
        <is>
          <t>Menu</t>
        </is>
      </c>
      <c r="D184" s="4" t="inlineStr">
        <is>
          <t>Duplicate Item</t>
        </is>
      </c>
      <c r="E184" s="4" t="inlineStr">
        <is>
          <t>Duplicate Menu Item</t>
        </is>
      </c>
      <c r="F184" s="4" t="inlineStr">
        <is>
          <t>1. Find existing item
2. Click Duplicate
3. Modify details
4. Save as new item</t>
        </is>
      </c>
      <c r="G184" s="13" t="inlineStr">
        <is>
          <t>https://nutrio.me/partner/menu</t>
        </is>
      </c>
      <c r="H184" s="4" t="inlineStr">
        <is>
          <t>Item duplicated with editable copy</t>
        </is>
      </c>
      <c r="I184" s="4">
        <f>IF(I184="","",IF(I184=G184,"PASS","FAIL"))</f>
        <v/>
      </c>
      <c r="J184" s="4" t="n"/>
      <c r="K184" s="4" t="n"/>
      <c r="L184" s="4" t="inlineStr">
        <is>
          <t>Low</t>
        </is>
      </c>
      <c r="M184" s="4" t="n"/>
    </row>
    <row r="185" ht="60" customHeight="1" s="16">
      <c r="A185" s="4" t="inlineStr">
        <is>
          <t>TC174</t>
        </is>
      </c>
      <c r="B185" s="4" t="inlineStr">
        <is>
          <t>Partner</t>
        </is>
      </c>
      <c r="C185" s="4" t="inlineStr">
        <is>
          <t>Menu</t>
        </is>
      </c>
      <c r="D185" s="4" t="inlineStr">
        <is>
          <t>Image Crop</t>
        </is>
      </c>
      <c r="E185" s="4" t="inlineStr">
        <is>
          <t>Crop Uploaded Image</t>
        </is>
      </c>
      <c r="F185" s="4" t="inlineStr">
        <is>
          <t>1. Upload meal photo
2. Click crop tool
3. Adjust crop area
4. Save cropped image</t>
        </is>
      </c>
      <c r="G185" s="13" t="inlineStr">
        <is>
          <t>https://nutrio.me/partner/menu</t>
        </is>
      </c>
      <c r="H185" s="4" t="inlineStr">
        <is>
          <t>Image cropped and saved correctly</t>
        </is>
      </c>
      <c r="I185" s="4">
        <f>IF(I185="","",IF(I185=G185,"PASS","FAIL"))</f>
        <v/>
      </c>
      <c r="J185" s="4" t="n"/>
      <c r="K185" s="4" t="n"/>
      <c r="L185" s="4" t="inlineStr">
        <is>
          <t>Low</t>
        </is>
      </c>
      <c r="M185" s="4" t="n"/>
    </row>
    <row r="186" ht="75" customHeight="1" s="16">
      <c r="A186" s="4" t="inlineStr">
        <is>
          <t>TC175</t>
        </is>
      </c>
      <c r="B186" s="4" t="inlineStr">
        <is>
          <t>Partner</t>
        </is>
      </c>
      <c r="C186" s="4" t="inlineStr">
        <is>
          <t>Menu</t>
        </is>
      </c>
      <c r="D186" s="4" t="inlineStr">
        <is>
          <t>Nutrition Calculator</t>
        </is>
      </c>
      <c r="E186" s="4" t="inlineStr">
        <is>
          <t>Use Nutrition Calculator</t>
        </is>
      </c>
      <c r="F186" s="4" t="inlineStr">
        <is>
          <t>1. Add new meal
2. Enter ingredients
3. Use nutrition calculator
4. Verify auto-calculated values</t>
        </is>
      </c>
      <c r="G186" s="13" t="inlineStr">
        <is>
          <t>https://nutrio.me/partner/menu</t>
        </is>
      </c>
      <c r="H186" s="4" t="inlineStr">
        <is>
          <t>Nutrition values auto-calculated from ingredients</t>
        </is>
      </c>
      <c r="I186" s="4">
        <f>IF(I186="","",IF(I186=G186,"PASS","FAIL"))</f>
        <v/>
      </c>
      <c r="J186" s="4" t="n"/>
      <c r="K186" s="4" t="n"/>
      <c r="L186" s="4" t="inlineStr">
        <is>
          <t>Low</t>
        </is>
      </c>
      <c r="M186" s="4" t="n"/>
    </row>
    <row r="187" ht="60" customHeight="1" s="16">
      <c r="A187" s="4" t="inlineStr">
        <is>
          <t>TC176</t>
        </is>
      </c>
      <c r="B187" s="4" t="inlineStr">
        <is>
          <t>Partner</t>
        </is>
      </c>
      <c r="C187" s="4" t="inlineStr">
        <is>
          <t>Menu</t>
        </is>
      </c>
      <c r="D187" s="4" t="inlineStr">
        <is>
          <t>Menu Categories</t>
        </is>
      </c>
      <c r="E187" s="4" t="inlineStr">
        <is>
          <t>Organize Menu by Categories</t>
        </is>
      </c>
      <c r="F187" s="4" t="inlineStr">
        <is>
          <t>1. Create category (e.g., 'Main Course')
2. Assign meals to category
3. View menu by category
4. Reorder categories</t>
        </is>
      </c>
      <c r="G187" s="13" t="inlineStr">
        <is>
          <t>https://nutrio.me/partner/menu</t>
        </is>
      </c>
      <c r="H187" s="4" t="inlineStr">
        <is>
          <t>Meals organized by categories</t>
        </is>
      </c>
      <c r="I187" s="4">
        <f>IF(I187="","",IF(I187=G187,"PASS","FAIL"))</f>
        <v/>
      </c>
      <c r="J187" s="4" t="n"/>
      <c r="K187" s="4" t="n"/>
      <c r="L187" s="4" t="inlineStr">
        <is>
          <t>Low</t>
        </is>
      </c>
      <c r="M187" s="4" t="n"/>
    </row>
    <row r="188" ht="75" customHeight="1" s="16">
      <c r="A188" s="4" t="inlineStr">
        <is>
          <t>TC177</t>
        </is>
      </c>
      <c r="B188" s="4" t="inlineStr">
        <is>
          <t>Partner</t>
        </is>
      </c>
      <c r="C188" s="4" t="inlineStr">
        <is>
          <t>Menu</t>
        </is>
      </c>
      <c r="D188" s="4" t="inlineStr">
        <is>
          <t>Preview Menu</t>
        </is>
      </c>
      <c r="E188" s="4" t="inlineStr">
        <is>
          <t>Preview Menu as Customer Sees It</t>
        </is>
      </c>
      <c r="F188" s="4" t="inlineStr">
        <is>
          <t>1. Click Preview button
2. View menu as customer sees it
3. Verify all items display correctly
4. Check photos and descriptions</t>
        </is>
      </c>
      <c r="G188" s="13" t="inlineStr">
        <is>
          <t>https://nutrio.me/partner/menu/[id]</t>
        </is>
      </c>
      <c r="H188" s="4" t="inlineStr">
        <is>
          <t>Menu preview matches customer view</t>
        </is>
      </c>
      <c r="I188" s="4">
        <f>IF(I188="","",IF(I188=G188,"PASS","FAIL"))</f>
        <v/>
      </c>
      <c r="J188" s="4" t="n"/>
      <c r="K188" s="4" t="n"/>
      <c r="L188" s="6" t="inlineStr">
        <is>
          <t>Medium</t>
        </is>
      </c>
      <c r="M188" s="4" t="n"/>
    </row>
    <row r="189" ht="60" customHeight="1" s="16">
      <c r="A189" s="4" t="inlineStr">
        <is>
          <t>TC178</t>
        </is>
      </c>
      <c r="B189" s="4" t="inlineStr">
        <is>
          <t>Partner</t>
        </is>
      </c>
      <c r="C189" s="4" t="inlineStr">
        <is>
          <t>Menu</t>
        </is>
      </c>
      <c r="D189" s="4" t="inlineStr">
        <is>
          <t>Export Menu</t>
        </is>
      </c>
      <c r="E189" s="4" t="inlineStr">
        <is>
          <t>Export Menu Data</t>
        </is>
      </c>
      <c r="F189" s="4" t="inlineStr">
        <is>
          <t>1. Go to menu
2. Click Export
3. Select format (CSV/Excel)
4. Download file</t>
        </is>
      </c>
      <c r="G189" s="13" t="inlineStr">
        <is>
          <t>https://nutrio.me/partner/menu</t>
        </is>
      </c>
      <c r="H189" s="4" t="inlineStr">
        <is>
          <t>Menu data exported successfully</t>
        </is>
      </c>
      <c r="I189" s="4">
        <f>IF(I189="","",IF(I189=G189,"PASS","FAIL"))</f>
        <v/>
      </c>
      <c r="J189" s="4" t="n"/>
      <c r="K189" s="4" t="n"/>
      <c r="L189" s="4" t="inlineStr">
        <is>
          <t>Low</t>
        </is>
      </c>
      <c r="M189" s="4" t="n"/>
    </row>
    <row r="190" ht="75" customHeight="1" s="16">
      <c r="A190" s="4" t="inlineStr">
        <is>
          <t>TC179</t>
        </is>
      </c>
      <c r="B190" s="4" t="inlineStr">
        <is>
          <t>Partner</t>
        </is>
      </c>
      <c r="C190" s="4" t="inlineStr">
        <is>
          <t>Menu</t>
        </is>
      </c>
      <c r="D190" s="4" t="inlineStr">
        <is>
          <t>Import Menu</t>
        </is>
      </c>
      <c r="E190" s="4" t="inlineStr">
        <is>
          <t>Import Menu Items</t>
        </is>
      </c>
      <c r="F190" s="4" t="inlineStr">
        <is>
          <t>1. Prepare import file
2. Click Import
3. Upload file
4. Map fields
5. Complete import</t>
        </is>
      </c>
      <c r="G190" s="13" t="inlineStr">
        <is>
          <t>https://nutrio.me/partner/menu</t>
        </is>
      </c>
      <c r="H190" s="4" t="inlineStr">
        <is>
          <t>Menu items imported successfully</t>
        </is>
      </c>
      <c r="I190" s="4">
        <f>IF(I190="","",IF(I190=G190,"PASS","FAIL"))</f>
        <v/>
      </c>
      <c r="J190" s="4" t="n"/>
      <c r="K190" s="4" t="n"/>
      <c r="L190" s="4" t="inlineStr">
        <is>
          <t>Low</t>
        </is>
      </c>
      <c r="M190" s="4" t="n"/>
    </row>
    <row r="191" ht="75" customHeight="1" s="16">
      <c r="A191" s="4" t="inlineStr">
        <is>
          <t>TC180</t>
        </is>
      </c>
      <c r="B191" s="4" t="inlineStr">
        <is>
          <t>Partner</t>
        </is>
      </c>
      <c r="C191" s="4" t="inlineStr">
        <is>
          <t>Earnings</t>
        </is>
      </c>
      <c r="D191" s="4" t="inlineStr">
        <is>
          <t>Earnings Chart</t>
        </is>
      </c>
      <c r="E191" s="4" t="inlineStr">
        <is>
          <t>View Earnings Chart</t>
        </is>
      </c>
      <c r="F191" s="4" t="inlineStr">
        <is>
          <t>1. Go to earnings page
2. View earnings chart
3. Switch between daily/weekly/monthly views
4. Hover for detailed values</t>
        </is>
      </c>
      <c r="G191" s="13" t="inlineStr">
        <is>
          <t>https://nutrio.me/partner/payouts/[id]</t>
        </is>
      </c>
      <c r="H191" s="4" t="inlineStr">
        <is>
          <t>Chart displays earnings trends accurately</t>
        </is>
      </c>
      <c r="I191" s="4">
        <f>IF(I191="","",IF(I191=G191,"PASS","FAIL"))</f>
        <v/>
      </c>
      <c r="J191" s="4" t="n"/>
      <c r="K191" s="4" t="n"/>
      <c r="L191" s="4" t="inlineStr">
        <is>
          <t>Low</t>
        </is>
      </c>
      <c r="M191" s="4" t="n"/>
    </row>
    <row r="192" ht="75" customHeight="1" s="16">
      <c r="A192" s="4" t="inlineStr">
        <is>
          <t>TC181</t>
        </is>
      </c>
      <c r="B192" s="4" t="inlineStr">
        <is>
          <t>Partner</t>
        </is>
      </c>
      <c r="C192" s="4" t="inlineStr">
        <is>
          <t>Earnings</t>
        </is>
      </c>
      <c r="D192" s="4" t="inlineStr">
        <is>
          <t>Top Meals</t>
        </is>
      </c>
      <c r="E192" s="4" t="inlineStr">
        <is>
          <t>View Top Performing Meals</t>
        </is>
      </c>
      <c r="F192" s="4" t="inlineStr">
        <is>
          <t>1. Scroll to Top Meals section
2. View best-selling items
3. Check quantities sold
4. View revenue per item</t>
        </is>
      </c>
      <c r="G192" s="13" t="inlineStr">
        <is>
          <t>https://nutrio.me/partner/payouts/[id]</t>
        </is>
      </c>
      <c r="H192" s="4" t="inlineStr">
        <is>
          <t>Top performing meals displayed with stats</t>
        </is>
      </c>
      <c r="I192" s="4">
        <f>IF(I192="","",IF(I192=G192,"PASS","FAIL"))</f>
        <v/>
      </c>
      <c r="J192" s="4" t="n"/>
      <c r="K192" s="4" t="n"/>
      <c r="L192" s="6" t="inlineStr">
        <is>
          <t>Medium</t>
        </is>
      </c>
      <c r="M192" s="4" t="n"/>
    </row>
    <row r="193" ht="75" customHeight="1" s="16">
      <c r="A193" s="4" t="inlineStr">
        <is>
          <t>TC182</t>
        </is>
      </c>
      <c r="B193" s="4" t="inlineStr">
        <is>
          <t>Partner</t>
        </is>
      </c>
      <c r="C193" s="4" t="inlineStr">
        <is>
          <t>Earnings</t>
        </is>
      </c>
      <c r="D193" s="4" t="inlineStr">
        <is>
          <t>Payout Invoice</t>
        </is>
      </c>
      <c r="E193" s="4" t="inlineStr">
        <is>
          <t>Download Payout Invoice</t>
        </is>
      </c>
      <c r="F193" s="4" t="inlineStr">
        <is>
          <t>1. Go to payout history
2. Click on payout
3. Click Download Invoice
4. Verify PDF contains correct details</t>
        </is>
      </c>
      <c r="G193" s="13" t="inlineStr">
        <is>
          <t>https://nutrio.me/partner/payouts</t>
        </is>
      </c>
      <c r="H193" s="4" t="inlineStr">
        <is>
          <t>Invoice downloaded with accurate information</t>
        </is>
      </c>
      <c r="I193" s="4">
        <f>IF(I193="","",IF(I193=G193,"PASS","FAIL"))</f>
        <v/>
      </c>
      <c r="J193" s="4" t="n"/>
      <c r="K193" s="4" t="n"/>
      <c r="L193" s="6" t="inlineStr">
        <is>
          <t>Medium</t>
        </is>
      </c>
      <c r="M193" s="4" t="n"/>
    </row>
    <row r="194" ht="90" customHeight="1" s="16">
      <c r="A194" s="4" t="inlineStr">
        <is>
          <t>TC183</t>
        </is>
      </c>
      <c r="B194" s="4" t="inlineStr">
        <is>
          <t>Partner</t>
        </is>
      </c>
      <c r="C194" s="4" t="inlineStr">
        <is>
          <t>Earnings</t>
        </is>
      </c>
      <c r="D194" s="4" t="inlineStr">
        <is>
          <t>Dispute Payout</t>
        </is>
      </c>
      <c r="E194" s="4" t="inlineStr">
        <is>
          <t>Dispute a Payout</t>
        </is>
      </c>
      <c r="F194" s="4" t="inlineStr">
        <is>
          <t>1. Find payout in history
2. Click Dispute
3. Enter reason
4. Submit dispute
5. Verify confirmation</t>
        </is>
      </c>
      <c r="G194" s="13" t="inlineStr">
        <is>
          <t>https://nutrio.me/partner/payouts</t>
        </is>
      </c>
      <c r="H194" s="4" t="inlineStr">
        <is>
          <t>Dispute submitted, under review status shown</t>
        </is>
      </c>
      <c r="I194" s="4">
        <f>IF(I194="","",IF(I194=G194,"PASS","FAIL"))</f>
        <v/>
      </c>
      <c r="J194" s="4" t="n"/>
      <c r="K194" s="4" t="n"/>
      <c r="L194" s="6" t="inlineStr">
        <is>
          <t>Medium</t>
        </is>
      </c>
      <c r="M194" s="4" t="n"/>
    </row>
    <row r="195" ht="75" customHeight="1" s="16">
      <c r="A195" s="4" t="inlineStr">
        <is>
          <t>TC184</t>
        </is>
      </c>
      <c r="B195" s="4" t="inlineStr">
        <is>
          <t>Partner</t>
        </is>
      </c>
      <c r="C195" s="4" t="inlineStr">
        <is>
          <t>Earnings</t>
        </is>
      </c>
      <c r="D195" s="4" t="inlineStr">
        <is>
          <t>Tax Report</t>
        </is>
      </c>
      <c r="E195" s="4" t="inlineStr">
        <is>
          <t>Generate Tax Report</t>
        </is>
      </c>
      <c r="F195" s="4" t="inlineStr">
        <is>
          <t>1. Go to earnings
2. Click Tax Report
3. Select year
4. Generate report
5. Download PDF</t>
        </is>
      </c>
      <c r="G195" s="13" t="inlineStr">
        <is>
          <t>https://nutrio.me/partner/payouts</t>
        </is>
      </c>
      <c r="H195" s="4" t="inlineStr">
        <is>
          <t>Tax report generated with all earnings data</t>
        </is>
      </c>
      <c r="I195" s="4">
        <f>IF(I195="","",IF(I195=G195,"PASS","FAIL"))</f>
        <v/>
      </c>
      <c r="J195" s="4" t="n"/>
      <c r="K195" s="4" t="n"/>
      <c r="L195" s="4" t="inlineStr">
        <is>
          <t>Low</t>
        </is>
      </c>
      <c r="M195" s="4" t="n"/>
    </row>
    <row r="196" ht="90" customHeight="1" s="16">
      <c r="A196" s="4" t="inlineStr">
        <is>
          <t>TC185</t>
        </is>
      </c>
      <c r="B196" s="4" t="inlineStr">
        <is>
          <t>Partner</t>
        </is>
      </c>
      <c r="C196" s="4" t="inlineStr">
        <is>
          <t>Earnings</t>
        </is>
      </c>
      <c r="D196" s="4" t="inlineStr">
        <is>
          <t>Compare Periods</t>
        </is>
      </c>
      <c r="E196" s="4" t="inlineStr">
        <is>
          <t>Compare Earnings Periods</t>
        </is>
      </c>
      <c r="F196" s="4" t="inlineStr">
        <is>
          <t>1. Select first period
2. Select comparison period
3. View comparison chart
4. Analyze differences</t>
        </is>
      </c>
      <c r="G196" s="13" t="inlineStr">
        <is>
          <t>https://nutrio.me/partner/payouts</t>
        </is>
      </c>
      <c r="H196" s="4" t="inlineStr">
        <is>
          <t>Period comparison displayed with growth/decline metrics</t>
        </is>
      </c>
      <c r="I196" s="4">
        <f>IF(I196="","",IF(I196=G196,"PASS","FAIL"))</f>
        <v/>
      </c>
      <c r="J196" s="4" t="n"/>
      <c r="K196" s="4" t="n"/>
      <c r="L196" s="4" t="inlineStr">
        <is>
          <t>Low</t>
        </is>
      </c>
      <c r="M196" s="4" t="n"/>
    </row>
    <row r="197" ht="90" customHeight="1" s="16">
      <c r="A197" s="4" t="inlineStr">
        <is>
          <t>TC186</t>
        </is>
      </c>
      <c r="B197" s="4" t="inlineStr">
        <is>
          <t>Partner</t>
        </is>
      </c>
      <c r="C197" s="4" t="inlineStr">
        <is>
          <t>Profile</t>
        </is>
      </c>
      <c r="D197" s="4" t="inlineStr">
        <is>
          <t>Change Password</t>
        </is>
      </c>
      <c r="E197" s="4" t="inlineStr">
        <is>
          <t>Change Account Password</t>
        </is>
      </c>
      <c r="F197" s="4" t="inlineStr">
        <is>
          <t>1. Go to profile
2. Click Change Password
3. Enter current password
4. Enter new password
5. Confirm
6. Logout and test new password</t>
        </is>
      </c>
      <c r="G197" s="13" t="inlineStr">
        <is>
          <t>https://nutrio.me/partner/profile</t>
        </is>
      </c>
      <c r="H197" s="4" t="inlineStr">
        <is>
          <t>Password changed successfully</t>
        </is>
      </c>
      <c r="I197" s="4">
        <f>IF(I197="","",IF(I197=G197,"PASS","FAIL"))</f>
        <v/>
      </c>
      <c r="J197" s="4" t="n"/>
      <c r="K197" s="4" t="n"/>
      <c r="L197" s="5" t="inlineStr">
        <is>
          <t>High</t>
        </is>
      </c>
      <c r="M197" s="4" t="n"/>
    </row>
    <row r="198" ht="75" customHeight="1" s="16">
      <c r="A198" s="4" t="inlineStr">
        <is>
          <t>TC187</t>
        </is>
      </c>
      <c r="B198" s="4" t="inlineStr">
        <is>
          <t>Partner</t>
        </is>
      </c>
      <c r="C198" s="4" t="inlineStr">
        <is>
          <t>Profile</t>
        </is>
      </c>
      <c r="D198" s="4" t="inlineStr">
        <is>
          <t>Two-Factor Auth</t>
        </is>
      </c>
      <c r="E198" s="4" t="inlineStr">
        <is>
          <t>Enable Two-Factor Authentication</t>
        </is>
      </c>
      <c r="F198" s="4" t="inlineStr">
        <is>
          <t>1. Go to security settings
2. Enable 2FA
3. Scan QR code
4. Enter verification code
5. Save backup codes</t>
        </is>
      </c>
      <c r="G198" s="13" t="inlineStr">
        <is>
          <t>https://nutrio.me/partner/profile</t>
        </is>
      </c>
      <c r="H198" s="4" t="inlineStr">
        <is>
          <t>2FA enabled, backup codes provided</t>
        </is>
      </c>
      <c r="I198" s="4">
        <f>IF(I198="","",IF(I198=G198,"PASS","FAIL"))</f>
        <v/>
      </c>
      <c r="J198" s="4" t="n"/>
      <c r="K198" s="4" t="n"/>
      <c r="L198" s="4" t="inlineStr">
        <is>
          <t>Low</t>
        </is>
      </c>
      <c r="M198" s="4" t="n"/>
    </row>
    <row r="199" ht="75" customHeight="1" s="16">
      <c r="A199" s="4" t="inlineStr">
        <is>
          <t>TC188</t>
        </is>
      </c>
      <c r="B199" s="4" t="inlineStr">
        <is>
          <t>Partner</t>
        </is>
      </c>
      <c r="C199" s="4" t="inlineStr">
        <is>
          <t>Profile</t>
        </is>
      </c>
      <c r="D199" s="4" t="inlineStr">
        <is>
          <t>Notification Preferences</t>
        </is>
      </c>
      <c r="E199" s="4" t="inlineStr">
        <is>
          <t>Set Notification Preferences</t>
        </is>
      </c>
      <c r="F199" s="4" t="inlineStr">
        <is>
          <t>1. Go to profile
2. Click Notifications
3. Toggle email notifications
4. Toggle WhatsApp notifications
5. Set quiet hours</t>
        </is>
      </c>
      <c r="G199" s="13" t="inlineStr">
        <is>
          <t>https://nutrio.me/partner/profile</t>
        </is>
      </c>
      <c r="H199" s="4" t="inlineStr">
        <is>
          <t>Notification preferences saved</t>
        </is>
      </c>
      <c r="I199" s="4">
        <f>IF(I199="","",IF(I199=G199,"PASS","FAIL"))</f>
        <v/>
      </c>
      <c r="J199" s="4" t="n"/>
      <c r="K199" s="4" t="n"/>
      <c r="L199" s="4" t="inlineStr">
        <is>
          <t>Low</t>
        </is>
      </c>
      <c r="M199" s="4" t="n"/>
    </row>
    <row r="200" ht="75" customHeight="1" s="16">
      <c r="A200" s="4" t="inlineStr">
        <is>
          <t>TC189</t>
        </is>
      </c>
      <c r="B200" s="4" t="inlineStr">
        <is>
          <t>Partner</t>
        </is>
      </c>
      <c r="C200" s="4" t="inlineStr">
        <is>
          <t>Profile</t>
        </is>
      </c>
      <c r="D200" s="4" t="inlineStr">
        <is>
          <t>API Access</t>
        </is>
      </c>
      <c r="E200" s="4" t="inlineStr">
        <is>
          <t>Generate API Key</t>
        </is>
      </c>
      <c r="F200" s="4" t="inlineStr">
        <is>
          <t>1. Go to profile
2. Click API Access
3. Generate new key
4. Copy and save key
5. View API documentation</t>
        </is>
      </c>
      <c r="G200" s="13" t="inlineStr">
        <is>
          <t>https://nutrio.me/partner/profile</t>
        </is>
      </c>
      <c r="H200" s="4" t="inlineStr">
        <is>
          <t>API key generated and displayed</t>
        </is>
      </c>
      <c r="I200" s="4">
        <f>IF(I200="","",IF(I200=G200,"PASS","FAIL"))</f>
        <v/>
      </c>
      <c r="J200" s="4" t="n"/>
      <c r="K200" s="4" t="n"/>
      <c r="L200" s="4" t="inlineStr">
        <is>
          <t>Low</t>
        </is>
      </c>
      <c r="M200" s="4" t="n"/>
    </row>
    <row r="201" ht="75" customHeight="1" s="16">
      <c r="A201" s="4" t="inlineStr">
        <is>
          <t>TC190</t>
        </is>
      </c>
      <c r="B201" s="4" t="inlineStr">
        <is>
          <t>Partner</t>
        </is>
      </c>
      <c r="C201" s="4" t="inlineStr">
        <is>
          <t>Profile</t>
        </is>
      </c>
      <c r="D201" s="4" t="inlineStr">
        <is>
          <t>Business Hours</t>
        </is>
      </c>
      <c r="E201" s="4" t="inlineStr">
        <is>
          <t>Set Special Hours</t>
        </is>
      </c>
      <c r="F201" s="4" t="inlineStr">
        <is>
          <t>1. Go to operating hours
2. Set regular hours
3. Add special hours (holidays)
4. Mark temporary closures
5. Save</t>
        </is>
      </c>
      <c r="G201" s="13" t="inlineStr">
        <is>
          <t>https://nutrio.me/partner/profile</t>
        </is>
      </c>
      <c r="H201" s="4" t="inlineStr">
        <is>
          <t>Special hours saved and applied</t>
        </is>
      </c>
      <c r="I201" s="4">
        <f>IF(I201="","",IF(I201=G201,"PASS","FAIL"))</f>
        <v/>
      </c>
      <c r="J201" s="4" t="n"/>
      <c r="K201" s="4" t="n"/>
      <c r="L201" s="6" t="inlineStr">
        <is>
          <t>Medium</t>
        </is>
      </c>
      <c r="M201" s="4" t="n"/>
    </row>
    <row r="202" ht="90" customHeight="1" s="16">
      <c r="A202" s="4" t="inlineStr">
        <is>
          <t>TC191</t>
        </is>
      </c>
      <c r="B202" s="4" t="inlineStr">
        <is>
          <t>Partner</t>
        </is>
      </c>
      <c r="C202" s="4" t="inlineStr">
        <is>
          <t>Profile</t>
        </is>
      </c>
      <c r="D202" s="4" t="inlineStr">
        <is>
          <t>Delivery Zones</t>
        </is>
      </c>
      <c r="E202" s="4" t="inlineStr">
        <is>
          <t>Set Delivery Zones</t>
        </is>
      </c>
      <c r="F202" s="4" t="inlineStr">
        <is>
          <t>1. Go to delivery settings
2. View map
3. Draw delivery zone
4. Set minimum order
5. Set delivery fee
6. Save</t>
        </is>
      </c>
      <c r="G202" s="13" t="inlineStr">
        <is>
          <t>https://nutrio.me/partner/profile</t>
        </is>
      </c>
      <c r="H202" s="4" t="inlineStr">
        <is>
          <t>Delivery zone saved and shown on map</t>
        </is>
      </c>
      <c r="I202" s="4">
        <f>IF(I202="","",IF(I202=G202,"PASS","FAIL"))</f>
        <v/>
      </c>
      <c r="J202" s="4" t="n"/>
      <c r="K202" s="4" t="n"/>
      <c r="L202" s="4" t="inlineStr">
        <is>
          <t>Low</t>
        </is>
      </c>
      <c r="M202" s="4" t="n"/>
    </row>
    <row r="203" ht="90" customHeight="1" s="16">
      <c r="A203" s="4" t="inlineStr">
        <is>
          <t>TC192</t>
        </is>
      </c>
      <c r="B203" s="4" t="inlineStr">
        <is>
          <t>Partner</t>
        </is>
      </c>
      <c r="C203" s="4" t="inlineStr">
        <is>
          <t>Profile</t>
        </is>
      </c>
      <c r="D203" s="4" t="inlineStr">
        <is>
          <t>Team Members</t>
        </is>
      </c>
      <c r="E203" s="4" t="inlineStr">
        <is>
          <t>Add Team Members</t>
        </is>
      </c>
      <c r="F203" s="4" t="inlineStr">
        <is>
          <t>1. Go to team management
2. Click Add Member
3. Enter email
4. Set role (Admin/Staff)
5. Send invitation</t>
        </is>
      </c>
      <c r="G203" s="13" t="inlineStr">
        <is>
          <t>https://nutrio.me/partner/profile/new</t>
        </is>
      </c>
      <c r="H203" s="4" t="inlineStr">
        <is>
          <t>Invitation sent, member can access with limited permissions</t>
        </is>
      </c>
      <c r="I203" s="4">
        <f>IF(I203="","",IF(I203=G203,"PASS","FAIL"))</f>
        <v/>
      </c>
      <c r="J203" s="4" t="n"/>
      <c r="K203" s="4" t="n"/>
      <c r="L203" s="4" t="inlineStr">
        <is>
          <t>Low</t>
        </is>
      </c>
      <c r="M203" s="4" t="n"/>
    </row>
    <row r="204" ht="60" customHeight="1" s="16">
      <c r="A204" s="4" t="inlineStr">
        <is>
          <t>TC193</t>
        </is>
      </c>
      <c r="B204" s="4" t="inlineStr">
        <is>
          <t>Partner</t>
        </is>
      </c>
      <c r="C204" s="4" t="inlineStr">
        <is>
          <t>Profile</t>
        </is>
      </c>
      <c r="D204" s="4" t="inlineStr">
        <is>
          <t>Remove Team Member</t>
        </is>
      </c>
      <c r="E204" s="4" t="inlineStr">
        <is>
          <t>Remove Team Member</t>
        </is>
      </c>
      <c r="F204" s="4" t="inlineStr">
        <is>
          <t>1. Go to team management
2. Find member
3. Click Remove
4. Confirm removal</t>
        </is>
      </c>
      <c r="G204" s="13" t="inlineStr">
        <is>
          <t>https://nutrio.me/partner/profile</t>
        </is>
      </c>
      <c r="H204" s="4" t="inlineStr">
        <is>
          <t>Member removed, access revoked</t>
        </is>
      </c>
      <c r="I204" s="4">
        <f>IF(I204="","",IF(I204=G204,"PASS","FAIL"))</f>
        <v/>
      </c>
      <c r="J204" s="4" t="n"/>
      <c r="K204" s="4" t="n"/>
      <c r="L204" s="4" t="inlineStr">
        <is>
          <t>Low</t>
        </is>
      </c>
      <c r="M204" s="4" t="n"/>
    </row>
    <row r="205" ht="75" customHeight="1" s="16">
      <c r="A205" s="4" t="inlineStr">
        <is>
          <t>TC194</t>
        </is>
      </c>
      <c r="B205" s="4" t="inlineStr">
        <is>
          <t>Partner</t>
        </is>
      </c>
      <c r="C205" s="4" t="inlineStr">
        <is>
          <t>Analytics</t>
        </is>
      </c>
      <c r="D205" s="4" t="inlineStr">
        <is>
          <t>View Analytics</t>
        </is>
      </c>
      <c r="E205" s="4" t="inlineStr">
        <is>
          <t>View Business Analytics</t>
        </is>
      </c>
      <c r="F205" s="4" t="inlineStr">
        <is>
          <t>1. Go to Analytics page
2. View order trends
3. View customer insights
4. View peak hours
5. Export analytics report</t>
        </is>
      </c>
      <c r="G205" s="13" t="inlineStr">
        <is>
          <t>https://nutrio.me/partner/analytics/[id]</t>
        </is>
      </c>
      <c r="H205" s="4" t="inlineStr">
        <is>
          <t>Analytics displayed with actionable insights</t>
        </is>
      </c>
      <c r="I205" s="4">
        <f>IF(I205="","",IF(I205=G205,"PASS","FAIL"))</f>
        <v/>
      </c>
      <c r="J205" s="4" t="n"/>
      <c r="K205" s="4" t="n"/>
      <c r="L205" s="6" t="inlineStr">
        <is>
          <t>Medium</t>
        </is>
      </c>
      <c r="M205" s="4" t="n"/>
    </row>
    <row r="206" ht="75" customHeight="1" s="16">
      <c r="A206" s="4" t="inlineStr">
        <is>
          <t>TC195</t>
        </is>
      </c>
      <c r="B206" s="4" t="inlineStr">
        <is>
          <t>Partner</t>
        </is>
      </c>
      <c r="C206" s="4" t="inlineStr">
        <is>
          <t>Analytics</t>
        </is>
      </c>
      <c r="D206" s="4" t="inlineStr">
        <is>
          <t>Customer Feedback</t>
        </is>
      </c>
      <c r="E206" s="4" t="inlineStr">
        <is>
          <t>View Customer Feedback</t>
        </is>
      </c>
      <c r="F206" s="4" t="inlineStr">
        <is>
          <t>1. Go to Reviews section
2. View all customer reviews
3. Filter by rating
4. Respond to review
5. Mark as resolved</t>
        </is>
      </c>
      <c r="G206" s="13" t="inlineStr">
        <is>
          <t>https://nutrio.me/partner/analytics/[id]</t>
        </is>
      </c>
      <c r="H206" s="4" t="inlineStr">
        <is>
          <t>Reviews displayed, can respond to customers</t>
        </is>
      </c>
      <c r="I206" s="4">
        <f>IF(I206="","",IF(I206=G206,"PASS","FAIL"))</f>
        <v/>
      </c>
      <c r="J206" s="4" t="n"/>
      <c r="K206" s="4" t="n"/>
      <c r="L206" s="6" t="inlineStr">
        <is>
          <t>Medium</t>
        </is>
      </c>
      <c r="M206" s="4" t="n"/>
    </row>
    <row r="207" ht="60" customHeight="1" s="16">
      <c r="A207" s="4" t="inlineStr">
        <is>
          <t>TC196</t>
        </is>
      </c>
      <c r="B207" s="4" t="inlineStr">
        <is>
          <t>Partner</t>
        </is>
      </c>
      <c r="C207" s="4" t="inlineStr">
        <is>
          <t>Analytics</t>
        </is>
      </c>
      <c r="D207" s="4" t="inlineStr">
        <is>
          <t>Performance Metrics</t>
        </is>
      </c>
      <c r="E207" s="4" t="inlineStr">
        <is>
          <t>View Detailed Performance Metrics</t>
        </is>
      </c>
      <c r="F207" s="4" t="inlineStr">
        <is>
          <t>1. View order fulfillment rate
2. View average prep time
3. View on-time delivery rate
4. Compare with industry average</t>
        </is>
      </c>
      <c r="G207" s="13" t="inlineStr">
        <is>
          <t>https://nutrio.me/partner/analytics/[id]</t>
        </is>
      </c>
      <c r="H207" s="4" t="inlineStr">
        <is>
          <t>All performance metrics displayed</t>
        </is>
      </c>
      <c r="I207" s="4">
        <f>IF(I207="","",IF(I207=G207,"PASS","FAIL"))</f>
        <v/>
      </c>
      <c r="J207" s="4" t="n"/>
      <c r="K207" s="4" t="n"/>
      <c r="L207" s="6" t="inlineStr">
        <is>
          <t>Medium</t>
        </is>
      </c>
      <c r="M207" s="4" t="n"/>
    </row>
    <row r="208" ht="75" customHeight="1" s="16">
      <c r="A208" s="4" t="inlineStr">
        <is>
          <t>TC197</t>
        </is>
      </c>
      <c r="B208" s="4" t="inlineStr">
        <is>
          <t>Partner</t>
        </is>
      </c>
      <c r="C208" s="4" t="inlineStr">
        <is>
          <t>Support</t>
        </is>
      </c>
      <c r="D208" s="4" t="inlineStr">
        <is>
          <t>Contact Support</t>
        </is>
      </c>
      <c r="E208" s="4" t="inlineStr">
        <is>
          <t>Contact Support via Dashboard</t>
        </is>
      </c>
      <c r="F208" s="4" t="inlineStr">
        <is>
          <t>1. Click Support button
2. Select issue type
3. Describe problem
4. Attach screenshot
5. Submit ticket</t>
        </is>
      </c>
      <c r="G208" s="13" t="inlineStr">
        <is>
          <t>https://nutrio.me/partner/support</t>
        </is>
      </c>
      <c r="H208" s="4" t="inlineStr">
        <is>
          <t>Support ticket created, confirmation shown</t>
        </is>
      </c>
      <c r="I208" s="4">
        <f>IF(I208="","",IF(I208=G208,"PASS","FAIL"))</f>
        <v/>
      </c>
      <c r="J208" s="4" t="n"/>
      <c r="K208" s="4" t="n"/>
      <c r="L208" s="5" t="inlineStr">
        <is>
          <t>High</t>
        </is>
      </c>
      <c r="M208" s="4" t="n"/>
    </row>
    <row r="209" ht="60" customHeight="1" s="16">
      <c r="A209" s="4" t="inlineStr">
        <is>
          <t>TC198</t>
        </is>
      </c>
      <c r="B209" s="4" t="inlineStr">
        <is>
          <t>Partner</t>
        </is>
      </c>
      <c r="C209" s="4" t="inlineStr">
        <is>
          <t>Support</t>
        </is>
      </c>
      <c r="D209" s="4" t="inlineStr">
        <is>
          <t>View Knowledge Base</t>
        </is>
      </c>
      <c r="E209" s="4" t="inlineStr">
        <is>
          <t>Access Knowledge Base</t>
        </is>
      </c>
      <c r="F209" s="4" t="inlineStr">
        <is>
          <t>1. Click Help
2. Browse articles
3. Search for topic
4. View article</t>
        </is>
      </c>
      <c r="G209" s="13" t="inlineStr">
        <is>
          <t>https://nutrio.me/partner/support</t>
        </is>
      </c>
      <c r="H209" s="4" t="inlineStr">
        <is>
          <t>Knowledge base articles displayed</t>
        </is>
      </c>
      <c r="I209" s="4">
        <f>IF(I209="","",IF(I209=G209,"PASS","FAIL"))</f>
        <v/>
      </c>
      <c r="J209" s="4" t="n"/>
      <c r="K209" s="4" t="n"/>
      <c r="L209" s="4" t="inlineStr">
        <is>
          <t>Low</t>
        </is>
      </c>
      <c r="M209" s="4" t="n"/>
    </row>
    <row r="210" ht="60" customHeight="1" s="16">
      <c r="A210" s="4" t="inlineStr">
        <is>
          <t>TC199</t>
        </is>
      </c>
      <c r="B210" s="4" t="inlineStr">
        <is>
          <t>Partner</t>
        </is>
      </c>
      <c r="C210" s="4" t="inlineStr">
        <is>
          <t>Support</t>
        </is>
      </c>
      <c r="D210" s="4" t="inlineStr">
        <is>
          <t>Live Chat</t>
        </is>
      </c>
      <c r="E210" s="4" t="inlineStr">
        <is>
          <t>Start Live Chat</t>
        </is>
      </c>
      <c r="F210" s="4" t="inlineStr">
        <is>
          <t>1. Click Chat icon
2. Start conversation
3. Send message
4. Receive response</t>
        </is>
      </c>
      <c r="G210" s="13" t="inlineStr">
        <is>
          <t>https://nutrio.me/partner/support</t>
        </is>
      </c>
      <c r="H210" s="4" t="inlineStr">
        <is>
          <t>Chat connected, messages exchanged</t>
        </is>
      </c>
      <c r="I210" s="4">
        <f>IF(I210="","",IF(I210=G210,"PASS","FAIL"))</f>
        <v/>
      </c>
      <c r="J210" s="4" t="n"/>
      <c r="K210" s="4" t="n"/>
      <c r="L210" s="6" t="inlineStr">
        <is>
          <t>Medium</t>
        </is>
      </c>
      <c r="M210" s="4" t="n"/>
    </row>
    <row r="211" ht="90" customHeight="1" s="16">
      <c r="A211" s="4" t="inlineStr">
        <is>
          <t>TC153</t>
        </is>
      </c>
      <c r="B211" s="4" t="inlineStr">
        <is>
          <t>Partner</t>
        </is>
      </c>
      <c r="C211" s="4" t="inlineStr">
        <is>
          <t>Auth</t>
        </is>
      </c>
      <c r="D211" s="4" t="inlineStr">
        <is>
          <t>Password Reset</t>
        </is>
      </c>
      <c r="E211" s="4" t="inlineStr">
        <is>
          <t>Partner Password Reset Flow</t>
        </is>
      </c>
      <c r="F211" s="4" t="inlineStr">
        <is>
          <t>1. Click Forgot Password on partner login
2. Enter registered email
3. Check email for reset link
4. Click link and set new password
5. Login with new password</t>
        </is>
      </c>
      <c r="G211" s="13" t="inlineStr">
        <is>
          <t>https://nutrio.me/partner/auth</t>
        </is>
      </c>
      <c r="H211" s="4" t="inlineStr">
        <is>
          <t>Password reset successful, can login with new credentials</t>
        </is>
      </c>
      <c r="I211" s="4">
        <f>IF(I211="","",IF(I211=G211,"PASS","FAIL"))</f>
        <v/>
      </c>
      <c r="J211" s="4" t="n"/>
      <c r="K211" s="4" t="n"/>
      <c r="L211" s="5" t="inlineStr">
        <is>
          <t>High</t>
        </is>
      </c>
      <c r="M211" s="4" t="n"/>
    </row>
    <row r="212" ht="75" customHeight="1" s="16">
      <c r="A212" s="4" t="inlineStr">
        <is>
          <t>TC154</t>
        </is>
      </c>
      <c r="B212" s="4" t="inlineStr">
        <is>
          <t>Partner</t>
        </is>
      </c>
      <c r="C212" s="4" t="inlineStr">
        <is>
          <t>Onboarding</t>
        </is>
      </c>
      <c r="D212" s="4" t="inlineStr">
        <is>
          <t>Wizard Step 1</t>
        </is>
      </c>
      <c r="E212" s="4" t="inlineStr">
        <is>
          <t>Complete Onboarding Step 1 - Basic Info</t>
        </is>
      </c>
      <c r="F212" s="4" t="inlineStr">
        <is>
          <t>1. Start partner registration
2. Fill restaurant name
3. Add description
4. Select cuisine type
5. Add dietary tags</t>
        </is>
      </c>
      <c r="G212" s="13" t="inlineStr">
        <is>
          <t>https://nutrio.me/partner/onboarding</t>
        </is>
      </c>
      <c r="H212" s="4" t="inlineStr">
        <is>
          <t>Step 1 saved, can proceed to Step 2</t>
        </is>
      </c>
      <c r="I212" s="4">
        <f>IF(I212="","",IF(I212=G212,"PASS","FAIL"))</f>
        <v/>
      </c>
      <c r="J212" s="4" t="n"/>
      <c r="K212" s="4" t="n"/>
      <c r="L212" s="5" t="inlineStr">
        <is>
          <t>High</t>
        </is>
      </c>
      <c r="M212" s="4" t="n"/>
    </row>
    <row r="213" ht="75" customHeight="1" s="16">
      <c r="A213" s="4" t="inlineStr">
        <is>
          <t>TC155</t>
        </is>
      </c>
      <c r="B213" s="4" t="inlineStr">
        <is>
          <t>Partner</t>
        </is>
      </c>
      <c r="C213" s="4" t="inlineStr">
        <is>
          <t>Onboarding</t>
        </is>
      </c>
      <c r="D213" s="4" t="inlineStr">
        <is>
          <t>Wizard Step 2</t>
        </is>
      </c>
      <c r="E213" s="4" t="inlineStr">
        <is>
          <t>Complete Onboarding Step 2 - Location</t>
        </is>
      </c>
      <c r="F213" s="4" t="inlineStr">
        <is>
          <t>1. Enter address
2. Pin location on map
3. Add phone number
4. Add email
5. Set operating hours</t>
        </is>
      </c>
      <c r="G213" s="13" t="inlineStr">
        <is>
          <t>https://nutrio.me/partner/onboarding</t>
        </is>
      </c>
      <c r="H213" s="4" t="inlineStr">
        <is>
          <t>Step 2 saved, can proceed to Step 3</t>
        </is>
      </c>
      <c r="I213" s="4">
        <f>IF(I213="","",IF(I213=G213,"PASS","FAIL"))</f>
        <v/>
      </c>
      <c r="J213" s="4" t="n"/>
      <c r="K213" s="4" t="n"/>
      <c r="L213" s="5" t="inlineStr">
        <is>
          <t>High</t>
        </is>
      </c>
      <c r="M213" s="4" t="n"/>
    </row>
    <row r="214" ht="60" customHeight="1" s="16">
      <c r="A214" s="4" t="inlineStr">
        <is>
          <t>TC156</t>
        </is>
      </c>
      <c r="B214" s="4" t="inlineStr">
        <is>
          <t>Partner</t>
        </is>
      </c>
      <c r="C214" s="4" t="inlineStr">
        <is>
          <t>Onboarding</t>
        </is>
      </c>
      <c r="D214" s="4" t="inlineStr">
        <is>
          <t>Wizard Step 3</t>
        </is>
      </c>
      <c r="E214" s="4" t="inlineStr">
        <is>
          <t>Complete Onboarding Step 3 - Media</t>
        </is>
      </c>
      <c r="F214" s="4" t="inlineStr">
        <is>
          <t>1. Upload logo (required)
2. Upload restaurant photos
3. Verify image preview
4. Check file size limits</t>
        </is>
      </c>
      <c r="G214" s="13" t="inlineStr">
        <is>
          <t>https://nutrio.me/partner/onboarding</t>
        </is>
      </c>
      <c r="H214" s="4" t="inlineStr">
        <is>
          <t>Images uploaded and preview shown</t>
        </is>
      </c>
      <c r="I214" s="4">
        <f>IF(I214="","",IF(I214=G214,"PASS","FAIL"))</f>
        <v/>
      </c>
      <c r="J214" s="4" t="n"/>
      <c r="K214" s="4" t="n"/>
      <c r="L214" s="5" t="inlineStr">
        <is>
          <t>High</t>
        </is>
      </c>
      <c r="M214" s="4" t="n"/>
    </row>
    <row r="215" ht="75" customHeight="1" s="16">
      <c r="A215" s="4" t="inlineStr">
        <is>
          <t>TC157</t>
        </is>
      </c>
      <c r="B215" s="4" t="inlineStr">
        <is>
          <t>Partner</t>
        </is>
      </c>
      <c r="C215" s="4" t="inlineStr">
        <is>
          <t>Onboarding</t>
        </is>
      </c>
      <c r="D215" s="4" t="inlineStr">
        <is>
          <t>Wizard Step 4</t>
        </is>
      </c>
      <c r="E215" s="4" t="inlineStr">
        <is>
          <t>Complete Onboarding Step 4 - Kitchen Details</t>
        </is>
      </c>
      <c r="F215" s="4" t="inlineStr">
        <is>
          <t>1. Set average prep time
2. Set daily capacity
3. Add bank account info
4. Add bank name and IBAN</t>
        </is>
      </c>
      <c r="G215" s="13" t="inlineStr">
        <is>
          <t>https://nutrio.me/partner/onboarding/[id]</t>
        </is>
      </c>
      <c r="H215" s="4" t="inlineStr">
        <is>
          <t>Kitchen details saved, can proceed to Step 5</t>
        </is>
      </c>
      <c r="I215" s="4">
        <f>IF(I215="","",IF(I215=G215,"PASS","FAIL"))</f>
        <v/>
      </c>
      <c r="J215" s="4" t="n"/>
      <c r="K215" s="4" t="n"/>
      <c r="L215" s="7" t="inlineStr">
        <is>
          <t>Critical</t>
        </is>
      </c>
      <c r="M215" s="4" t="n"/>
    </row>
    <row r="216" ht="90" customHeight="1" s="16">
      <c r="A216" s="4" t="inlineStr">
        <is>
          <t>TC158</t>
        </is>
      </c>
      <c r="B216" s="4" t="inlineStr">
        <is>
          <t>Partner</t>
        </is>
      </c>
      <c r="C216" s="4" t="inlineStr">
        <is>
          <t>Onboarding</t>
        </is>
      </c>
      <c r="D216" s="4" t="inlineStr">
        <is>
          <t>Wizard Step 5</t>
        </is>
      </c>
      <c r="E216" s="4" t="inlineStr">
        <is>
          <t>Complete Onboarding Step 5 - Review &amp; Submit</t>
        </is>
      </c>
      <c r="F216" s="4" t="inlineStr">
        <is>
          <t>1. Review all entered information
2. Check accuracy of details
3. Accept terms and conditions
4. Click Submit</t>
        </is>
      </c>
      <c r="G216" s="13" t="inlineStr">
        <is>
          <t>https://nutrio.me/partner/onboarding/[id]</t>
        </is>
      </c>
      <c r="H216" s="4" t="inlineStr">
        <is>
          <t>Application submitted, status shows 'pending_approval'</t>
        </is>
      </c>
      <c r="I216" s="4">
        <f>IF(I216="","",IF(I216=G216,"PASS","FAIL"))</f>
        <v/>
      </c>
      <c r="J216" s="4" t="n"/>
      <c r="K216" s="4" t="n"/>
      <c r="L216" s="7" t="inlineStr">
        <is>
          <t>Critical</t>
        </is>
      </c>
      <c r="M216" s="4" t="n"/>
    </row>
    <row r="217" ht="75" customHeight="1" s="16">
      <c r="A217" s="4" t="inlineStr">
        <is>
          <t>TC159</t>
        </is>
      </c>
      <c r="B217" s="4" t="inlineStr">
        <is>
          <t>Partner</t>
        </is>
      </c>
      <c r="C217" s="4" t="inlineStr">
        <is>
          <t>Onboarding</t>
        </is>
      </c>
      <c r="D217" s="4" t="inlineStr">
        <is>
          <t>Save Progress</t>
        </is>
      </c>
      <c r="E217" s="4" t="inlineStr">
        <is>
          <t>Save Onboarding Progress</t>
        </is>
      </c>
      <c r="F217" s="4" t="inlineStr">
        <is>
          <t>1. Fill partial information
2. Click Save Progress
3. Logout
4. Login again
5. Continue from where left off</t>
        </is>
      </c>
      <c r="G217" s="13" t="inlineStr">
        <is>
          <t>https://nutrio.me/partner/onboarding</t>
        </is>
      </c>
      <c r="H217" s="4" t="inlineStr">
        <is>
          <t>Progress saved, can resume onboarding</t>
        </is>
      </c>
      <c r="I217" s="4">
        <f>IF(I217="","",IF(I217=G217,"PASS","FAIL"))</f>
        <v/>
      </c>
      <c r="J217" s="4" t="n"/>
      <c r="K217" s="4" t="n"/>
      <c r="L217" s="6" t="inlineStr">
        <is>
          <t>Medium</t>
        </is>
      </c>
      <c r="M217" s="4" t="n"/>
    </row>
    <row r="218" ht="75" customHeight="1" s="16">
      <c r="A218" s="4" t="inlineStr">
        <is>
          <t>TC160</t>
        </is>
      </c>
      <c r="B218" s="4" t="inlineStr">
        <is>
          <t>Partner</t>
        </is>
      </c>
      <c r="C218" s="4" t="inlineStr">
        <is>
          <t>Dashboard</t>
        </is>
      </c>
      <c r="D218" s="4" t="inlineStr">
        <is>
          <t>Real-time Updates</t>
        </is>
      </c>
      <c r="E218" s="4" t="inlineStr">
        <is>
          <t>Dashboard Real-time Order Updates</t>
        </is>
      </c>
      <c r="F218" s="4" t="inlineStr">
        <is>
          <t>1. Keep dashboard open
2. Have customer place order
3. Verify order appears without refresh
4. Check notification received</t>
        </is>
      </c>
      <c r="G218" s="13" t="inlineStr">
        <is>
          <t>https://nutrio.me/partner/dashboard/[id]/edit</t>
        </is>
      </c>
      <c r="H218" s="4" t="inlineStr">
        <is>
          <t>New order appears automatically on dashboard</t>
        </is>
      </c>
      <c r="I218" s="4">
        <f>IF(I218="","",IF(I218=G218,"PASS","FAIL"))</f>
        <v/>
      </c>
      <c r="J218" s="4" t="n"/>
      <c r="K218" s="4" t="n"/>
      <c r="L218" s="5" t="inlineStr">
        <is>
          <t>High</t>
        </is>
      </c>
      <c r="M218" s="4" t="n"/>
    </row>
    <row r="219" ht="90" customHeight="1" s="16">
      <c r="A219" s="4" t="inlineStr">
        <is>
          <t>TC161</t>
        </is>
      </c>
      <c r="B219" s="4" t="inlineStr">
        <is>
          <t>Partner</t>
        </is>
      </c>
      <c r="C219" s="4" t="inlineStr">
        <is>
          <t>Dashboard</t>
        </is>
      </c>
      <c r="D219" s="4" t="inlineStr">
        <is>
          <t>Performance Chart</t>
        </is>
      </c>
      <c r="E219" s="4" t="inlineStr">
        <is>
          <t>View Performance Charts</t>
        </is>
      </c>
      <c r="F219" s="4" t="inlineStr">
        <is>
          <t>1. On dashboard, scroll to charts
2. View orders chart
3. View earnings chart
4. Hover for detailed values</t>
        </is>
      </c>
      <c r="G219" s="13" t="inlineStr">
        <is>
          <t>https://nutrio.me/partner/dashboard/[id]</t>
        </is>
      </c>
      <c r="H219" s="4" t="inlineStr">
        <is>
          <t>Charts display correctly with accurate data</t>
        </is>
      </c>
      <c r="I219" s="4">
        <f>IF(I219="","",IF(I219=G219,"PASS","FAIL"))</f>
        <v/>
      </c>
      <c r="J219" s="4" t="n"/>
      <c r="K219" s="4" t="n"/>
      <c r="L219" s="4" t="inlineStr">
        <is>
          <t>Low</t>
        </is>
      </c>
      <c r="M219" s="4" t="n"/>
    </row>
    <row r="220" ht="105" customHeight="1" s="16">
      <c r="A220" s="4" t="inlineStr">
        <is>
          <t>TC162</t>
        </is>
      </c>
      <c r="B220" s="4" t="inlineStr">
        <is>
          <t>Partner</t>
        </is>
      </c>
      <c r="C220" s="4" t="inlineStr">
        <is>
          <t>Dashboard</t>
        </is>
      </c>
      <c r="D220" s="4" t="inlineStr">
        <is>
          <t>Recent Orders</t>
        </is>
      </c>
      <c r="E220" s="4" t="inlineStr">
        <is>
          <t>View Recent Orders on Dashboard</t>
        </is>
      </c>
      <c r="F220" s="4" t="inlineStr">
        <is>
          <t>1. Look at Recent Orders section
2. Click View All
3. Verify navigation to Orders page</t>
        </is>
      </c>
      <c r="G220" s="13" t="inlineStr">
        <is>
          <t>https://nutrio.me/partner/dashboard/[id]</t>
        </is>
      </c>
      <c r="H220" s="4" t="inlineStr">
        <is>
          <t>Recent orders displayed, click navigates to full orders page</t>
        </is>
      </c>
      <c r="I220" s="4">
        <f>IF(I220="","",IF(I220=G220,"PASS","FAIL"))</f>
        <v/>
      </c>
      <c r="J220" s="4" t="n"/>
      <c r="K220" s="4" t="n"/>
      <c r="L220" s="6" t="inlineStr">
        <is>
          <t>Medium</t>
        </is>
      </c>
      <c r="M220" s="4" t="n"/>
    </row>
    <row r="221" ht="75" customHeight="1" s="16">
      <c r="A221" s="4" t="inlineStr">
        <is>
          <t>TC163</t>
        </is>
      </c>
      <c r="B221" s="4" t="inlineStr">
        <is>
          <t>Partner</t>
        </is>
      </c>
      <c r="C221" s="4" t="inlineStr">
        <is>
          <t>Dashboard</t>
        </is>
      </c>
      <c r="D221" s="4" t="inlineStr">
        <is>
          <t>Quick Stats</t>
        </is>
      </c>
      <c r="E221" s="4" t="inlineStr">
        <is>
          <t>Dashboard Quick Stats Cards</t>
        </is>
      </c>
      <c r="F221" s="4" t="inlineStr">
        <is>
          <t>1. Verify Today's Orders card
2. Verify Today's Earnings card
3. Verify Weekly Total card
4. Verify Rating card
5. Check all values are accurate</t>
        </is>
      </c>
      <c r="G221" s="13" t="inlineStr">
        <is>
          <t>https://nutrio.me/partner/dashboard</t>
        </is>
      </c>
      <c r="H221" s="4" t="inlineStr">
        <is>
          <t>All stat cards show correct information</t>
        </is>
      </c>
      <c r="I221" s="4">
        <f>IF(I221="","",IF(I221=G221,"PASS","FAIL"))</f>
        <v/>
      </c>
      <c r="J221" s="4" t="n"/>
      <c r="K221" s="4" t="n"/>
      <c r="L221" s="5" t="inlineStr">
        <is>
          <t>High</t>
        </is>
      </c>
      <c r="M221" s="4" t="n"/>
    </row>
    <row r="222" ht="60" customHeight="1" s="16">
      <c r="A222" s="4" t="inlineStr">
        <is>
          <t>TC164</t>
        </is>
      </c>
      <c r="B222" s="4" t="inlineStr">
        <is>
          <t>Partner</t>
        </is>
      </c>
      <c r="C222" s="4" t="inlineStr">
        <is>
          <t>Orders</t>
        </is>
      </c>
      <c r="D222" s="4" t="inlineStr">
        <is>
          <t>Bulk Actions</t>
        </is>
      </c>
      <c r="E222" s="4" t="inlineStr">
        <is>
          <t>Bulk Order Actions</t>
        </is>
      </c>
      <c r="F222" s="4" t="inlineStr">
        <is>
          <t>1. Select multiple orders
2. Click bulk action
3. Mark all as preparing
4. Verify all updated</t>
        </is>
      </c>
      <c r="G222" s="13" t="inlineStr">
        <is>
          <t>https://nutrio.me/partner/orders</t>
        </is>
      </c>
      <c r="H222" s="4" t="inlineStr">
        <is>
          <t>All selected orders updated to new status</t>
        </is>
      </c>
      <c r="I222" s="4">
        <f>IF(I222="","",IF(I222=G222,"PASS","FAIL"))</f>
        <v/>
      </c>
      <c r="J222" s="4" t="n"/>
      <c r="K222" s="4" t="n"/>
      <c r="L222" s="4" t="inlineStr">
        <is>
          <t>Low</t>
        </is>
      </c>
      <c r="M222" s="4" t="n"/>
    </row>
    <row r="223" ht="60" customHeight="1" s="16">
      <c r="A223" s="4" t="inlineStr">
        <is>
          <t>TC165</t>
        </is>
      </c>
      <c r="B223" s="4" t="inlineStr">
        <is>
          <t>Partner</t>
        </is>
      </c>
      <c r="C223" s="4" t="inlineStr">
        <is>
          <t>Orders</t>
        </is>
      </c>
      <c r="D223" s="4" t="inlineStr">
        <is>
          <t>Filter by Status</t>
        </is>
      </c>
      <c r="E223" s="4" t="inlineStr">
        <is>
          <t>Filter Orders by Status</t>
        </is>
      </c>
      <c r="F223" s="4" t="inlineStr">
        <is>
          <t>1. On orders page
2. Click filter dropdown
3. Select 'Preparing'
4. Verify only preparing orders shown</t>
        </is>
      </c>
      <c r="G223" s="13" t="inlineStr">
        <is>
          <t>https://nutrio.me/partner/orders?filter=[value]</t>
        </is>
      </c>
      <c r="H223" s="4" t="inlineStr">
        <is>
          <t>Orders filtered by selected status</t>
        </is>
      </c>
      <c r="I223" s="4">
        <f>IF(I223="","",IF(I223=G223,"PASS","FAIL"))</f>
        <v/>
      </c>
      <c r="J223" s="4" t="n"/>
      <c r="K223" s="4" t="n"/>
      <c r="L223" s="6" t="inlineStr">
        <is>
          <t>Medium</t>
        </is>
      </c>
      <c r="M223" s="4" t="n"/>
    </row>
    <row r="224" ht="45" customHeight="1" s="16">
      <c r="A224" s="4" t="inlineStr">
        <is>
          <t>TC166</t>
        </is>
      </c>
      <c r="B224" s="4" t="inlineStr">
        <is>
          <t>Partner</t>
        </is>
      </c>
      <c r="C224" s="4" t="inlineStr">
        <is>
          <t>Orders</t>
        </is>
      </c>
      <c r="D224" s="4" t="inlineStr">
        <is>
          <t>Filter by Date</t>
        </is>
      </c>
      <c r="E224" s="4" t="inlineStr">
        <is>
          <t>Filter Orders by Date Range</t>
        </is>
      </c>
      <c r="F224" s="4" t="inlineStr">
        <is>
          <t>1. Select date range
2. Apply filter
3. Verify orders within range displayed</t>
        </is>
      </c>
      <c r="G224" s="13" t="inlineStr">
        <is>
          <t>https://nutrio.me/partner/orders?filter=[value]</t>
        </is>
      </c>
      <c r="H224" s="4" t="inlineStr">
        <is>
          <t>Orders filtered by date range</t>
        </is>
      </c>
      <c r="I224" s="4">
        <f>IF(I224="","",IF(I224=G224,"PASS","FAIL"))</f>
        <v/>
      </c>
      <c r="J224" s="4" t="n"/>
      <c r="K224" s="4" t="n"/>
      <c r="L224" s="6" t="inlineStr">
        <is>
          <t>Medium</t>
        </is>
      </c>
      <c r="M224" s="4" t="n"/>
    </row>
    <row r="225" ht="75" customHeight="1" s="16">
      <c r="A225" s="4" t="inlineStr">
        <is>
          <t>TC167</t>
        </is>
      </c>
      <c r="B225" s="4" t="inlineStr">
        <is>
          <t>Partner</t>
        </is>
      </c>
      <c r="C225" s="4" t="inlineStr">
        <is>
          <t>Orders</t>
        </is>
      </c>
      <c r="D225" s="4" t="inlineStr">
        <is>
          <t>Search Orders</t>
        </is>
      </c>
      <c r="E225" s="4" t="inlineStr">
        <is>
          <t>Search Orders by Order ID or Customer</t>
        </is>
      </c>
      <c r="F225" s="4" t="inlineStr">
        <is>
          <t>1. Enter order ID in search
2. Press Enter
3. Verify matching order displayed
4. Try searching by customer name</t>
        </is>
      </c>
      <c r="G225" s="13" t="inlineStr">
        <is>
          <t>https://nutrio.me/partner/orders?q=[search-term]</t>
        </is>
      </c>
      <c r="H225" s="4" t="inlineStr">
        <is>
          <t>Search results show matching orders</t>
        </is>
      </c>
      <c r="I225" s="4">
        <f>IF(I225="","",IF(I225=G225,"PASS","FAIL"))</f>
        <v/>
      </c>
      <c r="J225" s="4" t="n"/>
      <c r="K225" s="4" t="n"/>
      <c r="L225" s="6" t="inlineStr">
        <is>
          <t>Medium</t>
        </is>
      </c>
      <c r="M225" s="4" t="n"/>
    </row>
    <row r="226" ht="75" customHeight="1" s="16">
      <c r="A226" s="4" t="inlineStr">
        <is>
          <t>TC168</t>
        </is>
      </c>
      <c r="B226" s="4" t="inlineStr">
        <is>
          <t>Partner</t>
        </is>
      </c>
      <c r="C226" s="4" t="inlineStr">
        <is>
          <t>Orders</t>
        </is>
      </c>
      <c r="D226" s="4" t="inlineStr">
        <is>
          <t>Order Timeline</t>
        </is>
      </c>
      <c r="E226" s="4" t="inlineStr">
        <is>
          <t>View Order Status Timeline</t>
        </is>
      </c>
      <c r="F226" s="4" t="inlineStr">
        <is>
          <t>1. Open order details
2. View status timeline
3. Check all status changes logged
4. Verify timestamps accurate</t>
        </is>
      </c>
      <c r="G226" s="13" t="inlineStr">
        <is>
          <t>https://nutrio.me/partner/orders/[id]</t>
        </is>
      </c>
      <c r="H226" s="4" t="inlineStr">
        <is>
          <t>Complete timeline of order status changes shown</t>
        </is>
      </c>
      <c r="I226" s="4">
        <f>IF(I226="","",IF(I226=G226,"PASS","FAIL"))</f>
        <v/>
      </c>
      <c r="J226" s="4" t="n"/>
      <c r="K226" s="4" t="n"/>
      <c r="L226" s="6" t="inlineStr">
        <is>
          <t>Medium</t>
        </is>
      </c>
      <c r="M226" s="4" t="n"/>
    </row>
    <row r="227" ht="75" customHeight="1" s="16">
      <c r="A227" s="4" t="inlineStr">
        <is>
          <t>TC169</t>
        </is>
      </c>
      <c r="B227" s="4" t="inlineStr">
        <is>
          <t>Partner</t>
        </is>
      </c>
      <c r="C227" s="4" t="inlineStr">
        <is>
          <t>Orders</t>
        </is>
      </c>
      <c r="D227" s="4" t="inlineStr">
        <is>
          <t>Customer Details</t>
        </is>
      </c>
      <c r="E227" s="4" t="inlineStr">
        <is>
          <t>View Customer Details in Order</t>
        </is>
      </c>
      <c r="F227" s="4" t="inlineStr">
        <is>
          <t>1. Open order details
2. View customer section
3. Verify name, phone, address shown
4. Check delivery instructions</t>
        </is>
      </c>
      <c r="G227" s="13" t="inlineStr">
        <is>
          <t>https://nutrio.me/partner/orders/[id]</t>
        </is>
      </c>
      <c r="H227" s="4" t="inlineStr">
        <is>
          <t>All customer information displayed accurately</t>
        </is>
      </c>
      <c r="I227" s="4">
        <f>IF(I227="","",IF(I227=G227,"PASS","FAIL"))</f>
        <v/>
      </c>
      <c r="J227" s="4" t="n"/>
      <c r="K227" s="4" t="n"/>
      <c r="L227" s="5" t="inlineStr">
        <is>
          <t>High</t>
        </is>
      </c>
      <c r="M227" s="4" t="n"/>
    </row>
    <row r="228" ht="75" customHeight="1" s="16">
      <c r="A228" s="4" t="inlineStr">
        <is>
          <t>TC170</t>
        </is>
      </c>
      <c r="B228" s="4" t="inlineStr">
        <is>
          <t>Partner</t>
        </is>
      </c>
      <c r="C228" s="4" t="inlineStr">
        <is>
          <t>Orders</t>
        </is>
      </c>
      <c r="D228" s="4" t="inlineStr">
        <is>
          <t>Print Order</t>
        </is>
      </c>
      <c r="E228" s="4" t="inlineStr">
        <is>
          <t>Print Order Ticket</t>
        </is>
      </c>
      <c r="F228" s="4" t="inlineStr">
        <is>
          <t>1. Open order details
2. Click Print button
3. Verify print dialog opens
4. Check ticket format</t>
        </is>
      </c>
      <c r="G228" s="13" t="inlineStr">
        <is>
          <t>https://nutrio.me/partner/orders</t>
        </is>
      </c>
      <c r="H228" s="4" t="inlineStr">
        <is>
          <t>Print dialog opens with kitchen-friendly format</t>
        </is>
      </c>
      <c r="I228" s="4">
        <f>IF(I228="","",IF(I228=G228,"PASS","FAIL"))</f>
        <v/>
      </c>
      <c r="J228" s="4" t="n"/>
      <c r="K228" s="4" t="n"/>
      <c r="L228" s="4" t="inlineStr">
        <is>
          <t>Low</t>
        </is>
      </c>
      <c r="M228" s="4" t="n"/>
    </row>
    <row r="229" ht="60" customHeight="1" s="16">
      <c r="A229" s="4" t="inlineStr">
        <is>
          <t>TC171</t>
        </is>
      </c>
      <c r="B229" s="4" t="inlineStr">
        <is>
          <t>Partner</t>
        </is>
      </c>
      <c r="C229" s="4" t="inlineStr">
        <is>
          <t>Orders</t>
        </is>
      </c>
      <c r="D229" s="4" t="inlineStr">
        <is>
          <t>Order Notifications</t>
        </is>
      </c>
      <c r="E229" s="4" t="inlineStr">
        <is>
          <t>Order Notification Settings</t>
        </is>
      </c>
      <c r="F229" s="4" t="inlineStr">
        <is>
          <t>1. Go to profile
2. Check notification settings
3. Enable/disable order notifications
4. Save settings</t>
        </is>
      </c>
      <c r="G229" s="13" t="inlineStr">
        <is>
          <t>https://nutrio.me/partner/orders</t>
        </is>
      </c>
      <c r="H229" s="4" t="inlineStr">
        <is>
          <t>Notification preferences saved and applied</t>
        </is>
      </c>
      <c r="I229" s="4">
        <f>IF(I229="","",IF(I229=G229,"PASS","FAIL"))</f>
        <v/>
      </c>
      <c r="J229" s="4" t="n"/>
      <c r="K229" s="4" t="n"/>
      <c r="L229" s="4" t="inlineStr">
        <is>
          <t>Low</t>
        </is>
      </c>
      <c r="M229" s="4" t="n"/>
    </row>
    <row r="230" ht="60" customHeight="1" s="16">
      <c r="A230" s="4" t="inlineStr">
        <is>
          <t>TC172</t>
        </is>
      </c>
      <c r="B230" s="4" t="inlineStr">
        <is>
          <t>Partner</t>
        </is>
      </c>
      <c r="C230" s="4" t="inlineStr">
        <is>
          <t>Menu</t>
        </is>
      </c>
      <c r="D230" s="4" t="inlineStr">
        <is>
          <t>Bulk Toggle</t>
        </is>
      </c>
      <c r="E230" s="4" t="inlineStr">
        <is>
          <t>Bulk Toggle Item Availability</t>
        </is>
      </c>
      <c r="F230" s="4" t="inlineStr">
        <is>
          <t>1. Select multiple menu items
2. Click Toggle Availability
3. Verify all items status changed</t>
        </is>
      </c>
      <c r="G230" s="13" t="inlineStr">
        <is>
          <t>https://nutrio.me/partner/menu</t>
        </is>
      </c>
      <c r="H230" s="4" t="inlineStr">
        <is>
          <t>All selected items availability toggled</t>
        </is>
      </c>
      <c r="I230" s="4">
        <f>IF(I230="","",IF(I230=G230,"PASS","FAIL"))</f>
        <v/>
      </c>
      <c r="J230" s="4" t="n"/>
      <c r="K230" s="4" t="n"/>
      <c r="L230" s="4" t="inlineStr">
        <is>
          <t>Low</t>
        </is>
      </c>
      <c r="M230" s="4" t="n"/>
    </row>
    <row r="231" ht="75" customHeight="1" s="16">
      <c r="A231" s="4" t="inlineStr">
        <is>
          <t>TC173</t>
        </is>
      </c>
      <c r="B231" s="4" t="inlineStr">
        <is>
          <t>Partner</t>
        </is>
      </c>
      <c r="C231" s="4" t="inlineStr">
        <is>
          <t>Menu</t>
        </is>
      </c>
      <c r="D231" s="4" t="inlineStr">
        <is>
          <t>Duplicate Item</t>
        </is>
      </c>
      <c r="E231" s="4" t="inlineStr">
        <is>
          <t>Duplicate Menu Item</t>
        </is>
      </c>
      <c r="F231" s="4" t="inlineStr">
        <is>
          <t>1. Find existing item
2. Click Duplicate
3. Modify details
4. Save as new item</t>
        </is>
      </c>
      <c r="G231" s="13" t="inlineStr">
        <is>
          <t>https://nutrio.me/partner/menu</t>
        </is>
      </c>
      <c r="H231" s="4" t="inlineStr">
        <is>
          <t>Item duplicated with editable copy</t>
        </is>
      </c>
      <c r="I231" s="4">
        <f>IF(I231="","",IF(I231=G231,"PASS","FAIL"))</f>
        <v/>
      </c>
      <c r="J231" s="4" t="n"/>
      <c r="K231" s="4" t="n"/>
      <c r="L231" s="4" t="inlineStr">
        <is>
          <t>Low</t>
        </is>
      </c>
      <c r="M231" s="4" t="n"/>
    </row>
    <row r="232" ht="60" customHeight="1" s="16">
      <c r="A232" s="4" t="inlineStr">
        <is>
          <t>TC174</t>
        </is>
      </c>
      <c r="B232" s="4" t="inlineStr">
        <is>
          <t>Partner</t>
        </is>
      </c>
      <c r="C232" s="4" t="inlineStr">
        <is>
          <t>Menu</t>
        </is>
      </c>
      <c r="D232" s="4" t="inlineStr">
        <is>
          <t>Image Crop</t>
        </is>
      </c>
      <c r="E232" s="4" t="inlineStr">
        <is>
          <t>Crop Uploaded Image</t>
        </is>
      </c>
      <c r="F232" s="4" t="inlineStr">
        <is>
          <t>1. Upload meal photo
2. Click crop tool
3. Adjust crop area
4. Save cropped image</t>
        </is>
      </c>
      <c r="G232" s="13" t="inlineStr">
        <is>
          <t>https://nutrio.me/partner/menu</t>
        </is>
      </c>
      <c r="H232" s="4" t="inlineStr">
        <is>
          <t>Image cropped and saved correctly</t>
        </is>
      </c>
      <c r="I232" s="4">
        <f>IF(I232="","",IF(I232=G232,"PASS","FAIL"))</f>
        <v/>
      </c>
      <c r="J232" s="4" t="n"/>
      <c r="K232" s="4" t="n"/>
      <c r="L232" s="4" t="inlineStr">
        <is>
          <t>Low</t>
        </is>
      </c>
      <c r="M232" s="4" t="n"/>
    </row>
    <row r="233" ht="75" customHeight="1" s="16">
      <c r="A233" s="4" t="inlineStr">
        <is>
          <t>TC175</t>
        </is>
      </c>
      <c r="B233" s="4" t="inlineStr">
        <is>
          <t>Partner</t>
        </is>
      </c>
      <c r="C233" s="4" t="inlineStr">
        <is>
          <t>Menu</t>
        </is>
      </c>
      <c r="D233" s="4" t="inlineStr">
        <is>
          <t>Nutrition Calculator</t>
        </is>
      </c>
      <c r="E233" s="4" t="inlineStr">
        <is>
          <t>Use Nutrition Calculator</t>
        </is>
      </c>
      <c r="F233" s="4" t="inlineStr">
        <is>
          <t>1. Add new meal
2. Enter ingredients
3. Use nutrition calculator
4. Verify auto-calculated values</t>
        </is>
      </c>
      <c r="G233" s="13" t="inlineStr">
        <is>
          <t>https://nutrio.me/partner/menu</t>
        </is>
      </c>
      <c r="H233" s="4" t="inlineStr">
        <is>
          <t>Nutrition values auto-calculated from ingredients</t>
        </is>
      </c>
      <c r="I233" s="4">
        <f>IF(I233="","",IF(I233=G233,"PASS","FAIL"))</f>
        <v/>
      </c>
      <c r="J233" s="4" t="n"/>
      <c r="K233" s="4" t="n"/>
      <c r="L233" s="4" t="inlineStr">
        <is>
          <t>Low</t>
        </is>
      </c>
      <c r="M233" s="4" t="n"/>
    </row>
    <row r="234" ht="60" customHeight="1" s="16">
      <c r="A234" s="4" t="inlineStr">
        <is>
          <t>TC176</t>
        </is>
      </c>
      <c r="B234" s="4" t="inlineStr">
        <is>
          <t>Partner</t>
        </is>
      </c>
      <c r="C234" s="4" t="inlineStr">
        <is>
          <t>Menu</t>
        </is>
      </c>
      <c r="D234" s="4" t="inlineStr">
        <is>
          <t>Menu Categories</t>
        </is>
      </c>
      <c r="E234" s="4" t="inlineStr">
        <is>
          <t>Organize Menu by Categories</t>
        </is>
      </c>
      <c r="F234" s="4" t="inlineStr">
        <is>
          <t>1. Create category (e.g., 'Main Course')
2. Assign meals to category
3. View menu by category
4. Reorder categories</t>
        </is>
      </c>
      <c r="G234" s="13" t="inlineStr">
        <is>
          <t>https://nutrio.me/partner/menu</t>
        </is>
      </c>
      <c r="H234" s="4" t="inlineStr">
        <is>
          <t>Meals organized by categories</t>
        </is>
      </c>
      <c r="I234" s="4">
        <f>IF(I234="","",IF(I234=G234,"PASS","FAIL"))</f>
        <v/>
      </c>
      <c r="J234" s="4" t="n"/>
      <c r="K234" s="4" t="n"/>
      <c r="L234" s="4" t="inlineStr">
        <is>
          <t>Low</t>
        </is>
      </c>
      <c r="M234" s="4" t="n"/>
    </row>
    <row r="235" ht="75" customHeight="1" s="16">
      <c r="A235" s="4" t="inlineStr">
        <is>
          <t>TC177</t>
        </is>
      </c>
      <c r="B235" s="4" t="inlineStr">
        <is>
          <t>Partner</t>
        </is>
      </c>
      <c r="C235" s="4" t="inlineStr">
        <is>
          <t>Menu</t>
        </is>
      </c>
      <c r="D235" s="4" t="inlineStr">
        <is>
          <t>Preview Menu</t>
        </is>
      </c>
      <c r="E235" s="4" t="inlineStr">
        <is>
          <t>Preview Menu as Customer Sees It</t>
        </is>
      </c>
      <c r="F235" s="4" t="inlineStr">
        <is>
          <t>1. Click Preview button
2. View menu as customer sees it
3. Verify all items display correctly
4. Check photos and descriptions</t>
        </is>
      </c>
      <c r="G235" s="13" t="inlineStr">
        <is>
          <t>https://nutrio.me/partner/menu/[id]</t>
        </is>
      </c>
      <c r="H235" s="4" t="inlineStr">
        <is>
          <t>Menu preview matches customer view</t>
        </is>
      </c>
      <c r="I235" s="4">
        <f>IF(I235="","",IF(I235=G235,"PASS","FAIL"))</f>
        <v/>
      </c>
      <c r="J235" s="4" t="n"/>
      <c r="K235" s="4" t="n"/>
      <c r="L235" s="6" t="inlineStr">
        <is>
          <t>Medium</t>
        </is>
      </c>
      <c r="M235" s="4" t="n"/>
    </row>
    <row r="236" ht="60" customHeight="1" s="16">
      <c r="A236" s="4" t="inlineStr">
        <is>
          <t>TC178</t>
        </is>
      </c>
      <c r="B236" s="4" t="inlineStr">
        <is>
          <t>Partner</t>
        </is>
      </c>
      <c r="C236" s="4" t="inlineStr">
        <is>
          <t>Menu</t>
        </is>
      </c>
      <c r="D236" s="4" t="inlineStr">
        <is>
          <t>Export Menu</t>
        </is>
      </c>
      <c r="E236" s="4" t="inlineStr">
        <is>
          <t>Export Menu Data</t>
        </is>
      </c>
      <c r="F236" s="4" t="inlineStr">
        <is>
          <t>1. Go to menu
2. Click Export
3. Select format (CSV/Excel)
4. Download file</t>
        </is>
      </c>
      <c r="G236" s="13" t="inlineStr">
        <is>
          <t>https://nutrio.me/partner/menu</t>
        </is>
      </c>
      <c r="H236" s="4" t="inlineStr">
        <is>
          <t>Menu data exported successfully</t>
        </is>
      </c>
      <c r="I236" s="4">
        <f>IF(I236="","",IF(I236=G236,"PASS","FAIL"))</f>
        <v/>
      </c>
      <c r="J236" s="4" t="n"/>
      <c r="K236" s="4" t="n"/>
      <c r="L236" s="4" t="inlineStr">
        <is>
          <t>Low</t>
        </is>
      </c>
      <c r="M236" s="4" t="n"/>
    </row>
    <row r="237" ht="75" customHeight="1" s="16">
      <c r="A237" s="4" t="inlineStr">
        <is>
          <t>TC179</t>
        </is>
      </c>
      <c r="B237" s="4" t="inlineStr">
        <is>
          <t>Partner</t>
        </is>
      </c>
      <c r="C237" s="4" t="inlineStr">
        <is>
          <t>Menu</t>
        </is>
      </c>
      <c r="D237" s="4" t="inlineStr">
        <is>
          <t>Import Menu</t>
        </is>
      </c>
      <c r="E237" s="4" t="inlineStr">
        <is>
          <t>Import Menu Items</t>
        </is>
      </c>
      <c r="F237" s="4" t="inlineStr">
        <is>
          <t>1. Prepare import file
2. Click Import
3. Upload file
4. Map fields
5. Complete import</t>
        </is>
      </c>
      <c r="G237" s="13" t="inlineStr">
        <is>
          <t>https://nutrio.me/partner/menu</t>
        </is>
      </c>
      <c r="H237" s="4" t="inlineStr">
        <is>
          <t>Menu items imported successfully</t>
        </is>
      </c>
      <c r="I237" s="4">
        <f>IF(I237="","",IF(I237=G237,"PASS","FAIL"))</f>
        <v/>
      </c>
      <c r="J237" s="4" t="n"/>
      <c r="K237" s="4" t="n"/>
      <c r="L237" s="4" t="inlineStr">
        <is>
          <t>Low</t>
        </is>
      </c>
      <c r="M237" s="4" t="n"/>
    </row>
    <row r="238" ht="75" customHeight="1" s="16">
      <c r="A238" s="4" t="inlineStr">
        <is>
          <t>TC180</t>
        </is>
      </c>
      <c r="B238" s="4" t="inlineStr">
        <is>
          <t>Partner</t>
        </is>
      </c>
      <c r="C238" s="4" t="inlineStr">
        <is>
          <t>Earnings</t>
        </is>
      </c>
      <c r="D238" s="4" t="inlineStr">
        <is>
          <t>Earnings Chart</t>
        </is>
      </c>
      <c r="E238" s="4" t="inlineStr">
        <is>
          <t>View Earnings Chart</t>
        </is>
      </c>
      <c r="F238" s="4" t="inlineStr">
        <is>
          <t>1. Go to earnings page
2. View earnings chart
3. Switch between daily/weekly/monthly views
4. Hover for detailed values</t>
        </is>
      </c>
      <c r="G238" s="13" t="inlineStr">
        <is>
          <t>https://nutrio.me/partner/payouts/[id]</t>
        </is>
      </c>
      <c r="H238" s="4" t="inlineStr">
        <is>
          <t>Chart displays earnings trends accurately</t>
        </is>
      </c>
      <c r="I238" s="4">
        <f>IF(I238="","",IF(I238=G238,"PASS","FAIL"))</f>
        <v/>
      </c>
      <c r="J238" s="4" t="n"/>
      <c r="K238" s="4" t="n"/>
      <c r="L238" s="4" t="inlineStr">
        <is>
          <t>Low</t>
        </is>
      </c>
      <c r="M238" s="4" t="n"/>
    </row>
    <row r="239" ht="75" customHeight="1" s="16">
      <c r="A239" s="4" t="inlineStr">
        <is>
          <t>TC181</t>
        </is>
      </c>
      <c r="B239" s="4" t="inlineStr">
        <is>
          <t>Partner</t>
        </is>
      </c>
      <c r="C239" s="4" t="inlineStr">
        <is>
          <t>Earnings</t>
        </is>
      </c>
      <c r="D239" s="4" t="inlineStr">
        <is>
          <t>Top Meals</t>
        </is>
      </c>
      <c r="E239" s="4" t="inlineStr">
        <is>
          <t>View Top Performing Meals</t>
        </is>
      </c>
      <c r="F239" s="4" t="inlineStr">
        <is>
          <t>1. Scroll to Top Meals section
2. View best-selling items
3. Check quantities sold
4. View revenue per item</t>
        </is>
      </c>
      <c r="G239" s="13" t="inlineStr">
        <is>
          <t>https://nutrio.me/partner/payouts/[id]</t>
        </is>
      </c>
      <c r="H239" s="4" t="inlineStr">
        <is>
          <t>Top performing meals displayed with stats</t>
        </is>
      </c>
      <c r="I239" s="4">
        <f>IF(I239="","",IF(I239=G239,"PASS","FAIL"))</f>
        <v/>
      </c>
      <c r="J239" s="4" t="n"/>
      <c r="K239" s="4" t="n"/>
      <c r="L239" s="6" t="inlineStr">
        <is>
          <t>Medium</t>
        </is>
      </c>
      <c r="M239" s="4" t="n"/>
    </row>
    <row r="240" ht="75" customHeight="1" s="16">
      <c r="A240" s="4" t="inlineStr">
        <is>
          <t>TC182</t>
        </is>
      </c>
      <c r="B240" s="4" t="inlineStr">
        <is>
          <t>Partner</t>
        </is>
      </c>
      <c r="C240" s="4" t="inlineStr">
        <is>
          <t>Earnings</t>
        </is>
      </c>
      <c r="D240" s="4" t="inlineStr">
        <is>
          <t>Payout Invoice</t>
        </is>
      </c>
      <c r="E240" s="4" t="inlineStr">
        <is>
          <t>Download Payout Invoice</t>
        </is>
      </c>
      <c r="F240" s="4" t="inlineStr">
        <is>
          <t>1. Go to payout history
2. Click on payout
3. Click Download Invoice
4. Verify PDF contains correct details</t>
        </is>
      </c>
      <c r="G240" s="13" t="inlineStr">
        <is>
          <t>https://nutrio.me/partner/payouts</t>
        </is>
      </c>
      <c r="H240" s="4" t="inlineStr">
        <is>
          <t>Invoice downloaded with accurate information</t>
        </is>
      </c>
      <c r="I240" s="4">
        <f>IF(I240="","",IF(I240=G240,"PASS","FAIL"))</f>
        <v/>
      </c>
      <c r="J240" s="4" t="n"/>
      <c r="K240" s="4" t="n"/>
      <c r="L240" s="6" t="inlineStr">
        <is>
          <t>Medium</t>
        </is>
      </c>
      <c r="M240" s="4" t="n"/>
    </row>
    <row r="241" ht="90" customHeight="1" s="16">
      <c r="A241" s="4" t="inlineStr">
        <is>
          <t>TC183</t>
        </is>
      </c>
      <c r="B241" s="4" t="inlineStr">
        <is>
          <t>Partner</t>
        </is>
      </c>
      <c r="C241" s="4" t="inlineStr">
        <is>
          <t>Earnings</t>
        </is>
      </c>
      <c r="D241" s="4" t="inlineStr">
        <is>
          <t>Dispute Payout</t>
        </is>
      </c>
      <c r="E241" s="4" t="inlineStr">
        <is>
          <t>Dispute a Payout</t>
        </is>
      </c>
      <c r="F241" s="4" t="inlineStr">
        <is>
          <t>1. Find payout in history
2. Click Dispute
3. Enter reason
4. Submit dispute
5. Verify confirmation</t>
        </is>
      </c>
      <c r="G241" s="13" t="inlineStr">
        <is>
          <t>https://nutrio.me/partner/payouts</t>
        </is>
      </c>
      <c r="H241" s="4" t="inlineStr">
        <is>
          <t>Dispute submitted, under review status shown</t>
        </is>
      </c>
      <c r="I241" s="4">
        <f>IF(I241="","",IF(I241=G241,"PASS","FAIL"))</f>
        <v/>
      </c>
      <c r="J241" s="4" t="n"/>
      <c r="K241" s="4" t="n"/>
      <c r="L241" s="6" t="inlineStr">
        <is>
          <t>Medium</t>
        </is>
      </c>
      <c r="M241" s="4" t="n"/>
    </row>
    <row r="242" ht="75" customHeight="1" s="16">
      <c r="A242" s="4" t="inlineStr">
        <is>
          <t>TC184</t>
        </is>
      </c>
      <c r="B242" s="4" t="inlineStr">
        <is>
          <t>Partner</t>
        </is>
      </c>
      <c r="C242" s="4" t="inlineStr">
        <is>
          <t>Earnings</t>
        </is>
      </c>
      <c r="D242" s="4" t="inlineStr">
        <is>
          <t>Tax Report</t>
        </is>
      </c>
      <c r="E242" s="4" t="inlineStr">
        <is>
          <t>Generate Tax Report</t>
        </is>
      </c>
      <c r="F242" s="4" t="inlineStr">
        <is>
          <t>1. Go to earnings
2. Click Tax Report
3. Select year
4. Generate report
5. Download PDF</t>
        </is>
      </c>
      <c r="G242" s="13" t="inlineStr">
        <is>
          <t>https://nutrio.me/partner/payouts</t>
        </is>
      </c>
      <c r="H242" s="4" t="inlineStr">
        <is>
          <t>Tax report generated with all earnings data</t>
        </is>
      </c>
      <c r="I242" s="4">
        <f>IF(I242="","",IF(I242=G242,"PASS","FAIL"))</f>
        <v/>
      </c>
      <c r="J242" s="4" t="n"/>
      <c r="K242" s="4" t="n"/>
      <c r="L242" s="4" t="inlineStr">
        <is>
          <t>Low</t>
        </is>
      </c>
      <c r="M242" s="4" t="n"/>
    </row>
    <row r="243" ht="90" customHeight="1" s="16">
      <c r="A243" s="4" t="inlineStr">
        <is>
          <t>TC185</t>
        </is>
      </c>
      <c r="B243" s="4" t="inlineStr">
        <is>
          <t>Partner</t>
        </is>
      </c>
      <c r="C243" s="4" t="inlineStr">
        <is>
          <t>Earnings</t>
        </is>
      </c>
      <c r="D243" s="4" t="inlineStr">
        <is>
          <t>Compare Periods</t>
        </is>
      </c>
      <c r="E243" s="4" t="inlineStr">
        <is>
          <t>Compare Earnings Periods</t>
        </is>
      </c>
      <c r="F243" s="4" t="inlineStr">
        <is>
          <t>1. Select first period
2. Select comparison period
3. View comparison chart
4. Analyze differences</t>
        </is>
      </c>
      <c r="G243" s="13" t="inlineStr">
        <is>
          <t>https://nutrio.me/partner/payouts</t>
        </is>
      </c>
      <c r="H243" s="4" t="inlineStr">
        <is>
          <t>Period comparison displayed with growth/decline metrics</t>
        </is>
      </c>
      <c r="I243" s="4">
        <f>IF(I243="","",IF(I243=G243,"PASS","FAIL"))</f>
        <v/>
      </c>
      <c r="J243" s="4" t="n"/>
      <c r="K243" s="4" t="n"/>
      <c r="L243" s="4" t="inlineStr">
        <is>
          <t>Low</t>
        </is>
      </c>
      <c r="M243" s="4" t="n"/>
    </row>
    <row r="244" ht="90" customHeight="1" s="16">
      <c r="A244" s="4" t="inlineStr">
        <is>
          <t>TC186</t>
        </is>
      </c>
      <c r="B244" s="4" t="inlineStr">
        <is>
          <t>Partner</t>
        </is>
      </c>
      <c r="C244" s="4" t="inlineStr">
        <is>
          <t>Profile</t>
        </is>
      </c>
      <c r="D244" s="4" t="inlineStr">
        <is>
          <t>Change Password</t>
        </is>
      </c>
      <c r="E244" s="4" t="inlineStr">
        <is>
          <t>Change Account Password</t>
        </is>
      </c>
      <c r="F244" s="4" t="inlineStr">
        <is>
          <t>1. Go to profile
2. Click Change Password
3. Enter current password
4. Enter new password
5. Confirm
6. Logout and test new password</t>
        </is>
      </c>
      <c r="G244" s="13" t="inlineStr">
        <is>
          <t>https://nutrio.me/partner/profile</t>
        </is>
      </c>
      <c r="H244" s="4" t="inlineStr">
        <is>
          <t>Password changed successfully</t>
        </is>
      </c>
      <c r="I244" s="4">
        <f>IF(I244="","",IF(I244=G244,"PASS","FAIL"))</f>
        <v/>
      </c>
      <c r="J244" s="4" t="n"/>
      <c r="K244" s="4" t="n"/>
      <c r="L244" s="5" t="inlineStr">
        <is>
          <t>High</t>
        </is>
      </c>
      <c r="M244" s="4" t="n"/>
    </row>
    <row r="245" ht="75" customHeight="1" s="16">
      <c r="A245" s="4" t="inlineStr">
        <is>
          <t>TC187</t>
        </is>
      </c>
      <c r="B245" s="4" t="inlineStr">
        <is>
          <t>Partner</t>
        </is>
      </c>
      <c r="C245" s="4" t="inlineStr">
        <is>
          <t>Profile</t>
        </is>
      </c>
      <c r="D245" s="4" t="inlineStr">
        <is>
          <t>Two-Factor Auth</t>
        </is>
      </c>
      <c r="E245" s="4" t="inlineStr">
        <is>
          <t>Enable Two-Factor Authentication</t>
        </is>
      </c>
      <c r="F245" s="4" t="inlineStr">
        <is>
          <t>1. Go to security settings
2. Enable 2FA
3. Scan QR code
4. Enter verification code
5. Save backup codes</t>
        </is>
      </c>
      <c r="G245" s="13" t="inlineStr">
        <is>
          <t>https://nutrio.me/partner/profile</t>
        </is>
      </c>
      <c r="H245" s="4" t="inlineStr">
        <is>
          <t>2FA enabled, backup codes provided</t>
        </is>
      </c>
      <c r="I245" s="4">
        <f>IF(I245="","",IF(I245=G245,"PASS","FAIL"))</f>
        <v/>
      </c>
      <c r="J245" s="4" t="n"/>
      <c r="K245" s="4" t="n"/>
      <c r="L245" s="4" t="inlineStr">
        <is>
          <t>Low</t>
        </is>
      </c>
      <c r="M245" s="4" t="n"/>
    </row>
    <row r="246" ht="75" customHeight="1" s="16">
      <c r="A246" s="4" t="inlineStr">
        <is>
          <t>TC188</t>
        </is>
      </c>
      <c r="B246" s="4" t="inlineStr">
        <is>
          <t>Partner</t>
        </is>
      </c>
      <c r="C246" s="4" t="inlineStr">
        <is>
          <t>Profile</t>
        </is>
      </c>
      <c r="D246" s="4" t="inlineStr">
        <is>
          <t>Notification Preferences</t>
        </is>
      </c>
      <c r="E246" s="4" t="inlineStr">
        <is>
          <t>Set Notification Preferences</t>
        </is>
      </c>
      <c r="F246" s="4" t="inlineStr">
        <is>
          <t>1. Go to profile
2. Click Notifications
3. Toggle email notifications
4. Toggle WhatsApp notifications
5. Set quiet hours</t>
        </is>
      </c>
      <c r="G246" s="13" t="inlineStr">
        <is>
          <t>https://nutrio.me/partner/profile</t>
        </is>
      </c>
      <c r="H246" s="4" t="inlineStr">
        <is>
          <t>Notification preferences saved</t>
        </is>
      </c>
      <c r="I246" s="4">
        <f>IF(I246="","",IF(I246=G246,"PASS","FAIL"))</f>
        <v/>
      </c>
      <c r="J246" s="4" t="n"/>
      <c r="K246" s="4" t="n"/>
      <c r="L246" s="4" t="inlineStr">
        <is>
          <t>Low</t>
        </is>
      </c>
      <c r="M246" s="4" t="n"/>
    </row>
    <row r="247" ht="75" customHeight="1" s="16">
      <c r="A247" s="4" t="inlineStr">
        <is>
          <t>TC189</t>
        </is>
      </c>
      <c r="B247" s="4" t="inlineStr">
        <is>
          <t>Partner</t>
        </is>
      </c>
      <c r="C247" s="4" t="inlineStr">
        <is>
          <t>Profile</t>
        </is>
      </c>
      <c r="D247" s="4" t="inlineStr">
        <is>
          <t>API Access</t>
        </is>
      </c>
      <c r="E247" s="4" t="inlineStr">
        <is>
          <t>Generate API Key</t>
        </is>
      </c>
      <c r="F247" s="4" t="inlineStr">
        <is>
          <t>1. Go to profile
2. Click API Access
3. Generate new key
4. Copy and save key
5. View API documentation</t>
        </is>
      </c>
      <c r="G247" s="13" t="inlineStr">
        <is>
          <t>https://nutrio.me/partner/profile</t>
        </is>
      </c>
      <c r="H247" s="4" t="inlineStr">
        <is>
          <t>API key generated and displayed</t>
        </is>
      </c>
      <c r="I247" s="4">
        <f>IF(I247="","",IF(I247=G247,"PASS","FAIL"))</f>
        <v/>
      </c>
      <c r="J247" s="4" t="n"/>
      <c r="K247" s="4" t="n"/>
      <c r="L247" s="4" t="inlineStr">
        <is>
          <t>Low</t>
        </is>
      </c>
      <c r="M247" s="4" t="n"/>
    </row>
    <row r="248" ht="75" customHeight="1" s="16">
      <c r="A248" s="4" t="inlineStr">
        <is>
          <t>TC190</t>
        </is>
      </c>
      <c r="B248" s="4" t="inlineStr">
        <is>
          <t>Partner</t>
        </is>
      </c>
      <c r="C248" s="4" t="inlineStr">
        <is>
          <t>Profile</t>
        </is>
      </c>
      <c r="D248" s="4" t="inlineStr">
        <is>
          <t>Business Hours</t>
        </is>
      </c>
      <c r="E248" s="4" t="inlineStr">
        <is>
          <t>Set Special Hours</t>
        </is>
      </c>
      <c r="F248" s="4" t="inlineStr">
        <is>
          <t>1. Go to operating hours
2. Set regular hours
3. Add special hours (holidays)
4. Mark temporary closures
5. Save</t>
        </is>
      </c>
      <c r="G248" s="13" t="inlineStr">
        <is>
          <t>https://nutrio.me/partner/profile</t>
        </is>
      </c>
      <c r="H248" s="4" t="inlineStr">
        <is>
          <t>Special hours saved and applied</t>
        </is>
      </c>
      <c r="I248" s="4">
        <f>IF(I248="","",IF(I248=G248,"PASS","FAIL"))</f>
        <v/>
      </c>
      <c r="J248" s="4" t="n"/>
      <c r="K248" s="4" t="n"/>
      <c r="L248" s="6" t="inlineStr">
        <is>
          <t>Medium</t>
        </is>
      </c>
      <c r="M248" s="4" t="n"/>
    </row>
    <row r="249" ht="90" customHeight="1" s="16">
      <c r="A249" s="4" t="inlineStr">
        <is>
          <t>TC191</t>
        </is>
      </c>
      <c r="B249" s="4" t="inlineStr">
        <is>
          <t>Partner</t>
        </is>
      </c>
      <c r="C249" s="4" t="inlineStr">
        <is>
          <t>Profile</t>
        </is>
      </c>
      <c r="D249" s="4" t="inlineStr">
        <is>
          <t>Delivery Zones</t>
        </is>
      </c>
      <c r="E249" s="4" t="inlineStr">
        <is>
          <t>Set Delivery Zones</t>
        </is>
      </c>
      <c r="F249" s="4" t="inlineStr">
        <is>
          <t>1. Go to delivery settings
2. View map
3. Draw delivery zone
4. Set minimum order
5. Set delivery fee
6. Save</t>
        </is>
      </c>
      <c r="G249" s="13" t="inlineStr">
        <is>
          <t>https://nutrio.me/partner/profile</t>
        </is>
      </c>
      <c r="H249" s="4" t="inlineStr">
        <is>
          <t>Delivery zone saved and shown on map</t>
        </is>
      </c>
      <c r="I249" s="4">
        <f>IF(I249="","",IF(I249=G249,"PASS","FAIL"))</f>
        <v/>
      </c>
      <c r="J249" s="4" t="n"/>
      <c r="K249" s="4" t="n"/>
      <c r="L249" s="4" t="inlineStr">
        <is>
          <t>Low</t>
        </is>
      </c>
      <c r="M249" s="4" t="n"/>
    </row>
    <row r="250" ht="90" customHeight="1" s="16">
      <c r="A250" s="4" t="inlineStr">
        <is>
          <t>TC192</t>
        </is>
      </c>
      <c r="B250" s="4" t="inlineStr">
        <is>
          <t>Partner</t>
        </is>
      </c>
      <c r="C250" s="4" t="inlineStr">
        <is>
          <t>Profile</t>
        </is>
      </c>
      <c r="D250" s="4" t="inlineStr">
        <is>
          <t>Team Members</t>
        </is>
      </c>
      <c r="E250" s="4" t="inlineStr">
        <is>
          <t>Add Team Members</t>
        </is>
      </c>
      <c r="F250" s="4" t="inlineStr">
        <is>
          <t>1. Go to team management
2. Click Add Member
3. Enter email
4. Set role (Admin/Staff)
5. Send invitation</t>
        </is>
      </c>
      <c r="G250" s="13" t="inlineStr">
        <is>
          <t>https://nutrio.me/partner/profile/new</t>
        </is>
      </c>
      <c r="H250" s="4" t="inlineStr">
        <is>
          <t>Invitation sent, member can access with limited permissions</t>
        </is>
      </c>
      <c r="I250" s="4">
        <f>IF(I250="","",IF(I250=G250,"PASS","FAIL"))</f>
        <v/>
      </c>
      <c r="J250" s="4" t="n"/>
      <c r="K250" s="4" t="n"/>
      <c r="L250" s="4" t="inlineStr">
        <is>
          <t>Low</t>
        </is>
      </c>
      <c r="M250" s="4" t="n"/>
    </row>
    <row r="251" ht="60" customHeight="1" s="16">
      <c r="A251" s="4" t="inlineStr">
        <is>
          <t>TC193</t>
        </is>
      </c>
      <c r="B251" s="4" t="inlineStr">
        <is>
          <t>Partner</t>
        </is>
      </c>
      <c r="C251" s="4" t="inlineStr">
        <is>
          <t>Profile</t>
        </is>
      </c>
      <c r="D251" s="4" t="inlineStr">
        <is>
          <t>Remove Team Member</t>
        </is>
      </c>
      <c r="E251" s="4" t="inlineStr">
        <is>
          <t>Remove Team Member</t>
        </is>
      </c>
      <c r="F251" s="4" t="inlineStr">
        <is>
          <t>1. Go to team management
2. Find member
3. Click Remove
4. Confirm removal</t>
        </is>
      </c>
      <c r="G251" s="13" t="inlineStr">
        <is>
          <t>https://nutrio.me/partner/profile</t>
        </is>
      </c>
      <c r="H251" s="4" t="inlineStr">
        <is>
          <t>Member removed, access revoked</t>
        </is>
      </c>
      <c r="I251" s="4">
        <f>IF(I251="","",IF(I251=G251,"PASS","FAIL"))</f>
        <v/>
      </c>
      <c r="J251" s="4" t="n"/>
      <c r="K251" s="4" t="n"/>
      <c r="L251" s="4" t="inlineStr">
        <is>
          <t>Low</t>
        </is>
      </c>
      <c r="M251" s="4" t="n"/>
    </row>
    <row r="252" ht="75" customHeight="1" s="16">
      <c r="A252" s="4" t="inlineStr">
        <is>
          <t>TC194</t>
        </is>
      </c>
      <c r="B252" s="4" t="inlineStr">
        <is>
          <t>Partner</t>
        </is>
      </c>
      <c r="C252" s="4" t="inlineStr">
        <is>
          <t>Analytics</t>
        </is>
      </c>
      <c r="D252" s="4" t="inlineStr">
        <is>
          <t>View Analytics</t>
        </is>
      </c>
      <c r="E252" s="4" t="inlineStr">
        <is>
          <t>View Business Analytics</t>
        </is>
      </c>
      <c r="F252" s="4" t="inlineStr">
        <is>
          <t>1. Go to Analytics page
2. View order trends
3. View customer insights
4. View peak hours
5. Export analytics report</t>
        </is>
      </c>
      <c r="G252" s="13" t="inlineStr">
        <is>
          <t>https://nutrio.me/partner/analytics/[id]</t>
        </is>
      </c>
      <c r="H252" s="4" t="inlineStr">
        <is>
          <t>Analytics displayed with actionable insights</t>
        </is>
      </c>
      <c r="I252" s="4">
        <f>IF(I252="","",IF(I252=G252,"PASS","FAIL"))</f>
        <v/>
      </c>
      <c r="J252" s="4" t="n"/>
      <c r="K252" s="4" t="n"/>
      <c r="L252" s="6" t="inlineStr">
        <is>
          <t>Medium</t>
        </is>
      </c>
      <c r="M252" s="4" t="n"/>
    </row>
    <row r="253" ht="75" customHeight="1" s="16">
      <c r="A253" s="4" t="inlineStr">
        <is>
          <t>TC195</t>
        </is>
      </c>
      <c r="B253" s="4" t="inlineStr">
        <is>
          <t>Partner</t>
        </is>
      </c>
      <c r="C253" s="4" t="inlineStr">
        <is>
          <t>Analytics</t>
        </is>
      </c>
      <c r="D253" s="4" t="inlineStr">
        <is>
          <t>Customer Feedback</t>
        </is>
      </c>
      <c r="E253" s="4" t="inlineStr">
        <is>
          <t>View Customer Feedback</t>
        </is>
      </c>
      <c r="F253" s="4" t="inlineStr">
        <is>
          <t>1. Go to Reviews section
2. View all customer reviews
3. Filter by rating
4. Respond to review
5. Mark as resolved</t>
        </is>
      </c>
      <c r="G253" s="13" t="inlineStr">
        <is>
          <t>https://nutrio.me/partner/analytics/[id]</t>
        </is>
      </c>
      <c r="H253" s="4" t="inlineStr">
        <is>
          <t>Reviews displayed, can respond to customers</t>
        </is>
      </c>
      <c r="I253" s="4">
        <f>IF(I253="","",IF(I253=G253,"PASS","FAIL"))</f>
        <v/>
      </c>
      <c r="J253" s="4" t="n"/>
      <c r="K253" s="4" t="n"/>
      <c r="L253" s="6" t="inlineStr">
        <is>
          <t>Medium</t>
        </is>
      </c>
      <c r="M253" s="4" t="n"/>
    </row>
    <row r="254" ht="60" customHeight="1" s="16">
      <c r="A254" s="4" t="inlineStr">
        <is>
          <t>TC196</t>
        </is>
      </c>
      <c r="B254" s="4" t="inlineStr">
        <is>
          <t>Partner</t>
        </is>
      </c>
      <c r="C254" s="4" t="inlineStr">
        <is>
          <t>Analytics</t>
        </is>
      </c>
      <c r="D254" s="4" t="inlineStr">
        <is>
          <t>Performance Metrics</t>
        </is>
      </c>
      <c r="E254" s="4" t="inlineStr">
        <is>
          <t>View Detailed Performance Metrics</t>
        </is>
      </c>
      <c r="F254" s="4" t="inlineStr">
        <is>
          <t>1. View order fulfillment rate
2. View average prep time
3. View on-time delivery rate
4. Compare with industry average</t>
        </is>
      </c>
      <c r="G254" s="13" t="inlineStr">
        <is>
          <t>https://nutrio.me/partner/analytics/[id]</t>
        </is>
      </c>
      <c r="H254" s="4" t="inlineStr">
        <is>
          <t>All performance metrics displayed</t>
        </is>
      </c>
      <c r="I254" s="4">
        <f>IF(I254="","",IF(I254=G254,"PASS","FAIL"))</f>
        <v/>
      </c>
      <c r="J254" s="4" t="n"/>
      <c r="K254" s="4" t="n"/>
      <c r="L254" s="6" t="inlineStr">
        <is>
          <t>Medium</t>
        </is>
      </c>
      <c r="M254" s="4" t="n"/>
    </row>
    <row r="255" ht="75" customHeight="1" s="16">
      <c r="A255" s="4" t="inlineStr">
        <is>
          <t>TC197</t>
        </is>
      </c>
      <c r="B255" s="4" t="inlineStr">
        <is>
          <t>Partner</t>
        </is>
      </c>
      <c r="C255" s="4" t="inlineStr">
        <is>
          <t>Support</t>
        </is>
      </c>
      <c r="D255" s="4" t="inlineStr">
        <is>
          <t>Contact Support</t>
        </is>
      </c>
      <c r="E255" s="4" t="inlineStr">
        <is>
          <t>Contact Support via Dashboard</t>
        </is>
      </c>
      <c r="F255" s="4" t="inlineStr">
        <is>
          <t>1. Click Support button
2. Select issue type
3. Describe problem
4. Attach screenshot
5. Submit ticket</t>
        </is>
      </c>
      <c r="G255" s="13" t="inlineStr">
        <is>
          <t>https://nutrio.me/partner/support</t>
        </is>
      </c>
      <c r="H255" s="4" t="inlineStr">
        <is>
          <t>Support ticket created, confirmation shown</t>
        </is>
      </c>
      <c r="I255" s="4">
        <f>IF(I255="","",IF(I255=G255,"PASS","FAIL"))</f>
        <v/>
      </c>
      <c r="J255" s="4" t="n"/>
      <c r="K255" s="4" t="n"/>
      <c r="L255" s="5" t="inlineStr">
        <is>
          <t>High</t>
        </is>
      </c>
      <c r="M255" s="4" t="n"/>
    </row>
    <row r="256" ht="60" customHeight="1" s="16">
      <c r="A256" s="4" t="inlineStr">
        <is>
          <t>TC198</t>
        </is>
      </c>
      <c r="B256" s="4" t="inlineStr">
        <is>
          <t>Partner</t>
        </is>
      </c>
      <c r="C256" s="4" t="inlineStr">
        <is>
          <t>Support</t>
        </is>
      </c>
      <c r="D256" s="4" t="inlineStr">
        <is>
          <t>View Knowledge Base</t>
        </is>
      </c>
      <c r="E256" s="4" t="inlineStr">
        <is>
          <t>Access Knowledge Base</t>
        </is>
      </c>
      <c r="F256" s="4" t="inlineStr">
        <is>
          <t>1. Click Help
2. Browse articles
3. Search for topic
4. View article</t>
        </is>
      </c>
      <c r="G256" s="13" t="inlineStr">
        <is>
          <t>https://nutrio.me/partner/support</t>
        </is>
      </c>
      <c r="H256" s="4" t="inlineStr">
        <is>
          <t>Knowledge base articles displayed</t>
        </is>
      </c>
      <c r="I256" s="4">
        <f>IF(I256="","",IF(I256=G256,"PASS","FAIL"))</f>
        <v/>
      </c>
      <c r="J256" s="4" t="n"/>
      <c r="K256" s="4" t="n"/>
      <c r="L256" s="4" t="inlineStr">
        <is>
          <t>Low</t>
        </is>
      </c>
      <c r="M256" s="4" t="n"/>
    </row>
    <row r="257" ht="60" customHeight="1" s="16">
      <c r="A257" s="4" t="inlineStr">
        <is>
          <t>TC199</t>
        </is>
      </c>
      <c r="B257" s="4" t="inlineStr">
        <is>
          <t>Partner</t>
        </is>
      </c>
      <c r="C257" s="4" t="inlineStr">
        <is>
          <t>Support</t>
        </is>
      </c>
      <c r="D257" s="4" t="inlineStr">
        <is>
          <t>Live Chat</t>
        </is>
      </c>
      <c r="E257" s="4" t="inlineStr">
        <is>
          <t>Start Live Chat</t>
        </is>
      </c>
      <c r="F257" s="4" t="inlineStr">
        <is>
          <t>1. Click Chat icon
2. Start conversation
3. Send message
4. Receive response</t>
        </is>
      </c>
      <c r="G257" s="13" t="inlineStr">
        <is>
          <t>https://nutrio.me/partner/support</t>
        </is>
      </c>
      <c r="H257" s="4" t="inlineStr">
        <is>
          <t>Chat connected, messages exchanged</t>
        </is>
      </c>
      <c r="I257" s="4">
        <f>IF(I257="","",IF(I257=G257,"PASS","FAIL"))</f>
        <v/>
      </c>
      <c r="J257" s="4" t="n"/>
      <c r="K257" s="4" t="n"/>
      <c r="L257" s="6" t="inlineStr">
        <is>
          <t>Medium</t>
        </is>
      </c>
      <c r="M257" s="4" t="n"/>
    </row>
    <row r="258" ht="75" customHeight="1" s="16">
      <c r="A258" s="4" t="inlineStr">
        <is>
          <t>TC200</t>
        </is>
      </c>
      <c r="B258" s="4" t="inlineStr">
        <is>
          <t>Customer</t>
        </is>
      </c>
      <c r="C258" s="4" t="inlineStr">
        <is>
          <t>Wallet</t>
        </is>
      </c>
      <c r="D258" s="4" t="inlineStr">
        <is>
          <t>View Balance</t>
        </is>
      </c>
      <c r="E258" s="4" t="inlineStr">
        <is>
          <t>View Wallet Balance</t>
        </is>
      </c>
      <c r="F258" s="4" t="inlineStr">
        <is>
          <t>1. Navigate to /wallet
2. View current balance
3. Check transaction history</t>
        </is>
      </c>
      <c r="G258" s="13" t="inlineStr">
        <is>
          <t>https://nutrio.me/wallet/[id]</t>
        </is>
      </c>
      <c r="H258" s="4" t="inlineStr">
        <is>
          <t>Balance displayed with transaction list</t>
        </is>
      </c>
      <c r="I258" s="4">
        <f>IF(I258="","",IF(I258=G258,"PASS","FAIL"))</f>
        <v/>
      </c>
      <c r="J258" s="4" t="n"/>
      <c r="K258" s="4" t="n"/>
      <c r="L258" s="6" t="inlineStr">
        <is>
          <t>Medium</t>
        </is>
      </c>
      <c r="M258" s="4" t="n"/>
    </row>
    <row r="259" ht="90" customHeight="1" s="16">
      <c r="A259" s="4" t="inlineStr">
        <is>
          <t>TC201</t>
        </is>
      </c>
      <c r="B259" s="4" t="inlineStr">
        <is>
          <t>Customer</t>
        </is>
      </c>
      <c r="C259" s="4" t="inlineStr">
        <is>
          <t>Wallet</t>
        </is>
      </c>
      <c r="D259" s="4" t="inlineStr">
        <is>
          <t>Add Funds</t>
        </is>
      </c>
      <c r="E259" s="4" t="inlineStr">
        <is>
          <t>Add Funds to Wallet</t>
        </is>
      </c>
      <c r="F259" s="4" t="inlineStr">
        <is>
          <t>1. Click Add Funds
2. Enter amount (e.g., 100 QAR)
3. Select payment method
4. Complete payment
5. Verify balance updated</t>
        </is>
      </c>
      <c r="G259" s="13" t="inlineStr">
        <is>
          <t>https://nutrio.me/wallet/new</t>
        </is>
      </c>
      <c r="H259" s="4" t="inlineStr">
        <is>
          <t>Funds added, balance increased, transaction recorded</t>
        </is>
      </c>
      <c r="I259" s="4">
        <f>IF(I259="","",IF(I259=G259,"PASS","FAIL"))</f>
        <v/>
      </c>
      <c r="J259" s="4" t="n"/>
      <c r="K259" s="4" t="n"/>
      <c r="L259" s="6" t="inlineStr">
        <is>
          <t>Medium</t>
        </is>
      </c>
      <c r="M259" s="4" t="n"/>
    </row>
    <row r="260" ht="60" customHeight="1" s="16">
      <c r="A260" s="4" t="inlineStr">
        <is>
          <t>TC202</t>
        </is>
      </c>
      <c r="B260" s="4" t="inlineStr">
        <is>
          <t>Customer</t>
        </is>
      </c>
      <c r="C260" s="4" t="inlineStr">
        <is>
          <t>Wallet</t>
        </is>
      </c>
      <c r="D260" s="4" t="inlineStr">
        <is>
          <t>Insufficient Funds</t>
        </is>
      </c>
      <c r="E260" s="4" t="inlineStr">
        <is>
          <t>Handle Insufficient Wallet Balance</t>
        </is>
      </c>
      <c r="F260" s="4" t="inlineStr">
        <is>
          <t>1. Try to order with insufficient wallet
2. Verify error message
3. Option to add funds shown</t>
        </is>
      </c>
      <c r="G260" s="13" t="inlineStr">
        <is>
          <t>https://nutrio.me/wallet</t>
        </is>
      </c>
      <c r="H260" s="4" t="inlineStr">
        <is>
          <t>Error displayed with option to add funds</t>
        </is>
      </c>
      <c r="I260" s="4">
        <f>IF(I260="","",IF(I260=G260,"PASS","FAIL"))</f>
        <v/>
      </c>
      <c r="J260" s="4" t="n"/>
      <c r="K260" s="4" t="n"/>
      <c r="L260" s="6" t="inlineStr">
        <is>
          <t>Medium</t>
        </is>
      </c>
      <c r="M260" s="4" t="n"/>
    </row>
    <row r="261" ht="75" customHeight="1" s="16">
      <c r="A261" s="4" t="inlineStr">
        <is>
          <t>TC203</t>
        </is>
      </c>
      <c r="B261" s="4" t="inlineStr">
        <is>
          <t>Customer</t>
        </is>
      </c>
      <c r="C261" s="4" t="inlineStr">
        <is>
          <t>Referral</t>
        </is>
      </c>
      <c r="D261" s="4" t="inlineStr">
        <is>
          <t>Generate Code</t>
        </is>
      </c>
      <c r="E261" s="4" t="inlineStr">
        <is>
          <t>View Referral Code</t>
        </is>
      </c>
      <c r="F261" s="4" t="inlineStr">
        <is>
          <t>1. Go to Profile
2. Click Referral tab
3. View unique referral code
4. Verify code format (NUTRIO-XXXX)</t>
        </is>
      </c>
      <c r="G261" s="13" t="inlineStr">
        <is>
          <t>https://nutrio.me/profile?tab=referral/[id]</t>
        </is>
      </c>
      <c r="H261" s="4" t="inlineStr">
        <is>
          <t>Referral code displayed with copy button</t>
        </is>
      </c>
      <c r="I261" s="4">
        <f>IF(I261="","",IF(I261=G261,"PASS","FAIL"))</f>
        <v/>
      </c>
      <c r="J261" s="4" t="n"/>
      <c r="K261" s="4" t="n"/>
      <c r="L261" s="6" t="inlineStr">
        <is>
          <t>Medium</t>
        </is>
      </c>
      <c r="M261" s="4" t="n"/>
    </row>
    <row r="262" ht="45" customHeight="1" s="16">
      <c r="A262" s="4" t="inlineStr">
        <is>
          <t>TC204</t>
        </is>
      </c>
      <c r="B262" s="4" t="inlineStr">
        <is>
          <t>Customer</t>
        </is>
      </c>
      <c r="C262" s="4" t="inlineStr">
        <is>
          <t>Referral</t>
        </is>
      </c>
      <c r="D262" s="4" t="inlineStr">
        <is>
          <t>Copy Code</t>
        </is>
      </c>
      <c r="E262" s="4" t="inlineStr">
        <is>
          <t>Copy Referral Code</t>
        </is>
      </c>
      <c r="F262" s="4" t="inlineStr">
        <is>
          <t>1. Click Copy button
2. Verify copied to clipboard
3. Paste in another app to confirm</t>
        </is>
      </c>
      <c r="G262" s="13" t="inlineStr">
        <is>
          <t>https://nutrio.me/profile?tab=referral</t>
        </is>
      </c>
      <c r="H262" s="4" t="inlineStr">
        <is>
          <t>Code copied to clipboard</t>
        </is>
      </c>
      <c r="I262" s="4">
        <f>IF(I262="","",IF(I262=G262,"PASS","FAIL"))</f>
        <v/>
      </c>
      <c r="J262" s="4" t="n"/>
      <c r="K262" s="4" t="n"/>
      <c r="L262" s="4" t="inlineStr">
        <is>
          <t>Low</t>
        </is>
      </c>
      <c r="M262" s="4" t="n"/>
    </row>
    <row r="263" ht="60" customHeight="1" s="16">
      <c r="A263" s="4" t="inlineStr">
        <is>
          <t>TC205</t>
        </is>
      </c>
      <c r="B263" s="4" t="inlineStr">
        <is>
          <t>Customer</t>
        </is>
      </c>
      <c r="C263" s="4" t="inlineStr">
        <is>
          <t>Referral</t>
        </is>
      </c>
      <c r="D263" s="4" t="inlineStr">
        <is>
          <t>Share WhatsApp</t>
        </is>
      </c>
      <c r="E263" s="4" t="inlineStr">
        <is>
          <t>Share via WhatsApp</t>
        </is>
      </c>
      <c r="F263" s="4" t="inlineStr">
        <is>
          <t>1. Click WhatsApp share
2. Select contact
3. Verify message template
4. Send message</t>
        </is>
      </c>
      <c r="G263" s="13" t="inlineStr">
        <is>
          <t>https://nutrio.me/profile?tab=referral</t>
        </is>
      </c>
      <c r="H263" s="4" t="inlineStr">
        <is>
          <t>WhatsApp opens with pre-filled message</t>
        </is>
      </c>
      <c r="I263" s="4">
        <f>IF(I263="","",IF(I263=G263,"PASS","FAIL"))</f>
        <v/>
      </c>
      <c r="J263" s="4" t="n"/>
      <c r="K263" s="4" t="n"/>
      <c r="L263" s="6" t="inlineStr">
        <is>
          <t>Medium</t>
        </is>
      </c>
      <c r="M263" s="4" t="n"/>
    </row>
    <row r="264" ht="120" customHeight="1" s="16">
      <c r="A264" s="4" t="inlineStr">
        <is>
          <t>TC206</t>
        </is>
      </c>
      <c r="B264" s="4" t="inlineStr">
        <is>
          <t>Customer</t>
        </is>
      </c>
      <c r="C264" s="4" t="inlineStr">
        <is>
          <t>Referral</t>
        </is>
      </c>
      <c r="D264" s="4" t="inlineStr">
        <is>
          <t>View Stats</t>
        </is>
      </c>
      <c r="E264" s="4" t="inlineStr">
        <is>
          <t>View Referral Statistics</t>
        </is>
      </c>
      <c r="F264" s="4" t="inlineStr">
        <is>
          <t>1. Go to referral page
2. View total referrals
3. View earned rewards
4. View referral history</t>
        </is>
      </c>
      <c r="G264" s="13" t="inlineStr">
        <is>
          <t>https://nutrio.me/profile?tab=referral/[id]</t>
        </is>
      </c>
      <c r="H264" s="4" t="inlineStr">
        <is>
          <t>Stats displayed: total invites, successful signups, rewards earned</t>
        </is>
      </c>
      <c r="I264" s="4">
        <f>IF(I264="","",IF(I264=G264,"PASS","FAIL"))</f>
        <v/>
      </c>
      <c r="J264" s="4" t="n"/>
      <c r="K264" s="4" t="n"/>
      <c r="L264" s="4" t="inlineStr">
        <is>
          <t>Low</t>
        </is>
      </c>
      <c r="M264" s="4" t="n"/>
    </row>
    <row r="265" ht="60" customHeight="1" s="16">
      <c r="A265" s="4" t="inlineStr">
        <is>
          <t>TC207</t>
        </is>
      </c>
      <c r="B265" s="4" t="inlineStr">
        <is>
          <t>Customer</t>
        </is>
      </c>
      <c r="C265" s="4" t="inlineStr">
        <is>
          <t>Referral</t>
        </is>
      </c>
      <c r="D265" s="4" t="inlineStr">
        <is>
          <t>Redeem Reward</t>
        </is>
      </c>
      <c r="E265" s="4" t="inlineStr">
        <is>
          <t>Redeem Referral Reward</t>
        </is>
      </c>
      <c r="F265" s="4" t="inlineStr">
        <is>
          <t>1. Earn referral reward
2. Click Redeem
3. Verify free meal added to weekly limit
4. Check expiration</t>
        </is>
      </c>
      <c r="G265" s="13" t="inlineStr">
        <is>
          <t>https://nutrio.me/profile?tab=referral</t>
        </is>
      </c>
      <c r="H265" s="4" t="inlineStr">
        <is>
          <t>Free meal added to subscription</t>
        </is>
      </c>
      <c r="I265" s="4">
        <f>IF(I265="","",IF(I265=G265,"PASS","FAIL"))</f>
        <v/>
      </c>
      <c r="J265" s="4" t="n"/>
      <c r="K265" s="4" t="n"/>
      <c r="L265" s="6" t="inlineStr">
        <is>
          <t>Medium</t>
        </is>
      </c>
      <c r="M265" s="4" t="n"/>
    </row>
    <row r="266" ht="60" customHeight="1" s="16">
      <c r="A266" s="4" t="inlineStr">
        <is>
          <t>TC208</t>
        </is>
      </c>
      <c r="B266" s="4" t="inlineStr">
        <is>
          <t>Customer</t>
        </is>
      </c>
      <c r="C266" s="4" t="inlineStr">
        <is>
          <t>Meals</t>
        </is>
      </c>
      <c r="D266" s="4" t="inlineStr">
        <is>
          <t>Add Favorite</t>
        </is>
      </c>
      <c r="E266" s="4" t="inlineStr">
        <is>
          <t>Add Meal to Favorites</t>
        </is>
      </c>
      <c r="F266" s="4" t="inlineStr">
        <is>
          <t>1. Browse meals
2. Click heart icon on meal
3. Verify heart filled
4. Go to Favorites page</t>
        </is>
      </c>
      <c r="G266" s="13" t="inlineStr">
        <is>
          <t>https://nutrio.me/meals/new</t>
        </is>
      </c>
      <c r="H266" s="4" t="inlineStr">
        <is>
          <t>Meal added to favorites list</t>
        </is>
      </c>
      <c r="I266" s="4">
        <f>IF(I266="","",IF(I266=G266,"PASS","FAIL"))</f>
        <v/>
      </c>
      <c r="J266" s="4" t="n"/>
      <c r="K266" s="4" t="n"/>
      <c r="L266" s="4" t="inlineStr">
        <is>
          <t>Low</t>
        </is>
      </c>
      <c r="M266" s="4" t="n"/>
    </row>
    <row r="267" ht="60" customHeight="1" s="16">
      <c r="A267" s="4" t="inlineStr">
        <is>
          <t>TC209</t>
        </is>
      </c>
      <c r="B267" s="4" t="inlineStr">
        <is>
          <t>Customer</t>
        </is>
      </c>
      <c r="C267" s="4" t="inlineStr">
        <is>
          <t>Meals</t>
        </is>
      </c>
      <c r="D267" s="4" t="inlineStr">
        <is>
          <t>Remove Favorite</t>
        </is>
      </c>
      <c r="E267" s="4" t="inlineStr">
        <is>
          <t>Remove from Favorites</t>
        </is>
      </c>
      <c r="F267" s="4" t="inlineStr">
        <is>
          <t>1. Go to Favorites
2. Click heart to unfavorite
3. Verify removed from list</t>
        </is>
      </c>
      <c r="G267" s="13" t="inlineStr">
        <is>
          <t>https://nutrio.me/meals</t>
        </is>
      </c>
      <c r="H267" s="4" t="inlineStr">
        <is>
          <t>Meal removed from favorites</t>
        </is>
      </c>
      <c r="I267" s="4">
        <f>IF(I267="","",IF(I267=G267,"PASS","FAIL"))</f>
        <v/>
      </c>
      <c r="J267" s="4" t="n"/>
      <c r="K267" s="4" t="n"/>
      <c r="L267" s="4" t="inlineStr">
        <is>
          <t>Low</t>
        </is>
      </c>
      <c r="M267" s="4" t="n"/>
    </row>
    <row r="268" ht="75" customHeight="1" s="16">
      <c r="A268" s="4" t="inlineStr">
        <is>
          <t>TC210</t>
        </is>
      </c>
      <c r="B268" s="4" t="inlineStr">
        <is>
          <t>Customer</t>
        </is>
      </c>
      <c r="C268" s="4" t="inlineStr">
        <is>
          <t>Meals</t>
        </is>
      </c>
      <c r="D268" s="4" t="inlineStr">
        <is>
          <t>Sort Options</t>
        </is>
      </c>
      <c r="E268" s="4" t="inlineStr">
        <is>
          <t>Sort Meals by Different Criteria</t>
        </is>
      </c>
      <c r="F268" s="4" t="inlineStr">
        <is>
          <t>1. On meals page
2. Sort by: Popularity
3. Sort by: Price (low-high)
4. Sort by: Calories
5. Sort by: Newest</t>
        </is>
      </c>
      <c r="G268" s="13" t="inlineStr">
        <is>
          <t>https://nutrio.me/meals</t>
        </is>
      </c>
      <c r="H268" s="4" t="inlineStr">
        <is>
          <t>Meals sorted according to selected criteria</t>
        </is>
      </c>
      <c r="I268" s="4">
        <f>IF(I268="","",IF(I268=G268,"PASS","FAIL"))</f>
        <v/>
      </c>
      <c r="J268" s="4" t="n"/>
      <c r="K268" s="4" t="n"/>
      <c r="L268" s="6" t="inlineStr">
        <is>
          <t>Medium</t>
        </is>
      </c>
      <c r="M268" s="4" t="n"/>
    </row>
    <row r="269" ht="75" customHeight="1" s="16">
      <c r="A269" s="4" t="inlineStr">
        <is>
          <t>TC211</t>
        </is>
      </c>
      <c r="B269" s="4" t="inlineStr">
        <is>
          <t>Customer</t>
        </is>
      </c>
      <c r="C269" s="4" t="inlineStr">
        <is>
          <t>Meals</t>
        </is>
      </c>
      <c r="D269" s="4" t="inlineStr">
        <is>
          <t>Quick View</t>
        </is>
      </c>
      <c r="E269" s="4" t="inlineStr">
        <is>
          <t>Quick View Meal</t>
        </is>
      </c>
      <c r="F269" s="4" t="inlineStr">
        <is>
          <t>1. Hover over meal card
2. Click Quick View
3. See popup with details
4. Close popup</t>
        </is>
      </c>
      <c r="G269" s="13" t="inlineStr">
        <is>
          <t>https://nutrio.me/meals/[id]</t>
        </is>
      </c>
      <c r="H269" s="4" t="inlineStr">
        <is>
          <t>Quick view popup displayed with key info</t>
        </is>
      </c>
      <c r="I269" s="4">
        <f>IF(I269="","",IF(I269=G269,"PASS","FAIL"))</f>
        <v/>
      </c>
      <c r="J269" s="4" t="n"/>
      <c r="K269" s="4" t="n"/>
      <c r="L269" s="4" t="inlineStr">
        <is>
          <t>Low</t>
        </is>
      </c>
      <c r="M269" s="4" t="n"/>
    </row>
    <row r="270" ht="60" customHeight="1" s="16">
      <c r="A270" s="4" t="inlineStr">
        <is>
          <t>TC212</t>
        </is>
      </c>
      <c r="B270" s="4" t="inlineStr">
        <is>
          <t>Customer</t>
        </is>
      </c>
      <c r="C270" s="4" t="inlineStr">
        <is>
          <t>Meals</t>
        </is>
      </c>
      <c r="D270" s="4" t="inlineStr">
        <is>
          <t>Restaurant Info</t>
        </is>
      </c>
      <c r="E270" s="4" t="inlineStr">
        <is>
          <t>View Restaurant Details from Meal</t>
        </is>
      </c>
      <c r="F270" s="4" t="inlineStr">
        <is>
          <t>1. Click on meal
2. Click restaurant name
3. View restaurant profile
4. See other meals from restaurant</t>
        </is>
      </c>
      <c r="G270" s="13" t="inlineStr">
        <is>
          <t>https://nutrio.me/meals/[id]</t>
        </is>
      </c>
      <c r="H270" s="4" t="inlineStr">
        <is>
          <t>Restaurant profile displayed</t>
        </is>
      </c>
      <c r="I270" s="4">
        <f>IF(I270="","",IF(I270=G270,"PASS","FAIL"))</f>
        <v/>
      </c>
      <c r="J270" s="4" t="n"/>
      <c r="K270" s="4" t="n"/>
      <c r="L270" s="6" t="inlineStr">
        <is>
          <t>Medium</t>
        </is>
      </c>
      <c r="M270" s="4" t="n"/>
    </row>
    <row r="271" ht="75" customHeight="1" s="16">
      <c r="A271" s="4" t="inlineStr">
        <is>
          <t>TC213</t>
        </is>
      </c>
      <c r="B271" s="4" t="inlineStr">
        <is>
          <t>Customer</t>
        </is>
      </c>
      <c r="C271" s="4" t="inlineStr">
        <is>
          <t>Orders</t>
        </is>
      </c>
      <c r="D271" s="4" t="inlineStr">
        <is>
          <t>Modify Order</t>
        </is>
      </c>
      <c r="E271" s="4" t="inlineStr">
        <is>
          <t>Modify Order Before Preparation</t>
        </is>
      </c>
      <c r="F271" s="4" t="inlineStr">
        <is>
          <t>1. Place order
2. Before restaurant prepares
3. Click Modify
4. Add/remove items
5. Confirm changes</t>
        </is>
      </c>
      <c r="G271" s="13" t="inlineStr">
        <is>
          <t>https://nutrio.me/orders</t>
        </is>
      </c>
      <c r="H271" s="4" t="inlineStr">
        <is>
          <t>Order updated with new items</t>
        </is>
      </c>
      <c r="I271" s="4">
        <f>IF(I271="","",IF(I271=G271,"PASS","FAIL"))</f>
        <v/>
      </c>
      <c r="J271" s="4" t="n"/>
      <c r="K271" s="4" t="n"/>
      <c r="L271" s="6" t="inlineStr">
        <is>
          <t>Medium</t>
        </is>
      </c>
      <c r="M271" s="4" t="n"/>
    </row>
    <row r="272" ht="60" customHeight="1" s="16">
      <c r="A272" s="4" t="inlineStr">
        <is>
          <t>TC214</t>
        </is>
      </c>
      <c r="B272" s="4" t="inlineStr">
        <is>
          <t>Customer</t>
        </is>
      </c>
      <c r="C272" s="4" t="inlineStr">
        <is>
          <t>Orders</t>
        </is>
      </c>
      <c r="D272" s="4" t="inlineStr">
        <is>
          <t>Cancel Restrictions</t>
        </is>
      </c>
      <c r="E272" s="4" t="inlineStr">
        <is>
          <t>Cancel Order Restrictions</t>
        </is>
      </c>
      <c r="F272" s="4" t="inlineStr">
        <is>
          <t>1. Try to cancel after preparation started
2. Verify cancellation not allowed
3. Check error message</t>
        </is>
      </c>
      <c r="G272" s="13" t="inlineStr">
        <is>
          <t>https://nutrio.me/orders</t>
        </is>
      </c>
      <c r="H272" s="4" t="inlineStr">
        <is>
          <t>Cancellation denied with appropriate message</t>
        </is>
      </c>
      <c r="I272" s="4">
        <f>IF(I272="","",IF(I272=G272,"PASS","FAIL"))</f>
        <v/>
      </c>
      <c r="J272" s="4" t="n"/>
      <c r="K272" s="4" t="n"/>
      <c r="L272" s="6" t="inlineStr">
        <is>
          <t>Medium</t>
        </is>
      </c>
      <c r="M272" s="4" t="n"/>
    </row>
    <row r="273" ht="75" customHeight="1" s="16">
      <c r="A273" s="4" t="inlineStr">
        <is>
          <t>TC215</t>
        </is>
      </c>
      <c r="B273" s="4" t="inlineStr">
        <is>
          <t>Customer</t>
        </is>
      </c>
      <c r="C273" s="4" t="inlineStr">
        <is>
          <t>Orders</t>
        </is>
      </c>
      <c r="D273" s="4" t="inlineStr">
        <is>
          <t>Reorder from History</t>
        </is>
      </c>
      <c r="E273" s="4" t="inlineStr">
        <is>
          <t>Quick Reorder from History</t>
        </is>
      </c>
      <c r="F273" s="4" t="inlineStr">
        <is>
          <t>1. Go to order history
2. Find past order
3. Click Reorder
4. All items added to cart</t>
        </is>
      </c>
      <c r="G273" s="13" t="inlineStr">
        <is>
          <t>https://nutrio.me/orders</t>
        </is>
      </c>
      <c r="H273" s="4" t="inlineStr">
        <is>
          <t>All items from previous order added to cart</t>
        </is>
      </c>
      <c r="I273" s="4">
        <f>IF(I273="","",IF(I273=G273,"PASS","FAIL"))</f>
        <v/>
      </c>
      <c r="J273" s="4" t="n"/>
      <c r="K273" s="4" t="n"/>
      <c r="L273" s="6" t="inlineStr">
        <is>
          <t>Medium</t>
        </is>
      </c>
      <c r="M273" s="4" t="n"/>
    </row>
    <row r="274" ht="45" customHeight="1" s="16">
      <c r="A274" s="4" t="inlineStr">
        <is>
          <t>TC216</t>
        </is>
      </c>
      <c r="B274" s="4" t="inlineStr">
        <is>
          <t>Customer</t>
        </is>
      </c>
      <c r="C274" s="4" t="inlineStr">
        <is>
          <t>Orders</t>
        </is>
      </c>
      <c r="D274" s="4" t="inlineStr">
        <is>
          <t>Rate Individual Items</t>
        </is>
      </c>
      <c r="E274" s="4" t="inlineStr">
        <is>
          <t>Rate Individual Meal Items</t>
        </is>
      </c>
      <c r="F274" s="4" t="inlineStr">
        <is>
          <t>1. Complete order
2. Rate each item separately
3. Add comments per item</t>
        </is>
      </c>
      <c r="G274" s="13" t="inlineStr">
        <is>
          <t>https://nutrio.me/orders</t>
        </is>
      </c>
      <c r="H274" s="4" t="inlineStr">
        <is>
          <t>Each item rated individually</t>
        </is>
      </c>
      <c r="I274" s="4">
        <f>IF(I274="","",IF(I274=G274,"PASS","FAIL"))</f>
        <v/>
      </c>
      <c r="J274" s="4" t="n"/>
      <c r="K274" s="4" t="n"/>
      <c r="L274" s="4" t="inlineStr">
        <is>
          <t>Low</t>
        </is>
      </c>
      <c r="M274" s="4" t="n"/>
    </row>
    <row r="275" ht="60" customHeight="1" s="16">
      <c r="A275" s="4" t="inlineStr">
        <is>
          <t>TC217</t>
        </is>
      </c>
      <c r="B275" s="4" t="inlineStr">
        <is>
          <t>Customer</t>
        </is>
      </c>
      <c r="C275" s="4" t="inlineStr">
        <is>
          <t>Orders</t>
        </is>
      </c>
      <c r="D275" s="4" t="inlineStr">
        <is>
          <t>Upload Photo Review</t>
        </is>
      </c>
      <c r="E275" s="4" t="inlineStr">
        <is>
          <t>Upload Photo with Review</t>
        </is>
      </c>
      <c r="F275" s="4" t="inlineStr">
        <is>
          <t>1. Complete order
2. Click Rate
3. Upload photo of received meal
4. Submit review</t>
        </is>
      </c>
      <c r="G275" s="13" t="inlineStr">
        <is>
          <t>https://nutrio.me/orders/[id]</t>
        </is>
      </c>
      <c r="H275" s="4" t="inlineStr">
        <is>
          <t>Photo uploaded with review</t>
        </is>
      </c>
      <c r="I275" s="4">
        <f>IF(I275="","",IF(I275=G275,"PASS","FAIL"))</f>
        <v/>
      </c>
      <c r="J275" s="4" t="n"/>
      <c r="K275" s="4" t="n"/>
      <c r="L275" s="4" t="inlineStr">
        <is>
          <t>Low</t>
        </is>
      </c>
      <c r="M275" s="4" t="n"/>
    </row>
    <row r="276" ht="60" customHeight="1" s="16">
      <c r="A276" s="4" t="inlineStr">
        <is>
          <t>TC218</t>
        </is>
      </c>
      <c r="B276" s="4" t="inlineStr">
        <is>
          <t>Customer</t>
        </is>
      </c>
      <c r="C276" s="4" t="inlineStr">
        <is>
          <t>Orders</t>
        </is>
      </c>
      <c r="D276" s="4" t="inlineStr">
        <is>
          <t>Delivery Instructions</t>
        </is>
      </c>
      <c r="E276" s="4" t="inlineStr">
        <is>
          <t>Add Special Delivery Instructions</t>
        </is>
      </c>
      <c r="F276" s="4" t="inlineStr">
        <is>
          <t>1. At checkout
2. Add delivery notes
3. Place order
4. Verify instructions visible to driver</t>
        </is>
      </c>
      <c r="G276" s="13" t="inlineStr">
        <is>
          <t>https://nutrio.me/orders/new</t>
        </is>
      </c>
      <c r="H276" s="4" t="inlineStr">
        <is>
          <t>Instructions saved and visible</t>
        </is>
      </c>
      <c r="I276" s="4">
        <f>IF(I276="","",IF(I276=G276,"PASS","FAIL"))</f>
        <v/>
      </c>
      <c r="J276" s="4" t="n"/>
      <c r="K276" s="4" t="n"/>
      <c r="L276" s="6" t="inlineStr">
        <is>
          <t>Medium</t>
        </is>
      </c>
      <c r="M276" s="4" t="n"/>
    </row>
    <row r="277" ht="60" customHeight="1" s="16">
      <c r="A277" s="4" t="inlineStr">
        <is>
          <t>TC219</t>
        </is>
      </c>
      <c r="B277" s="4" t="inlineStr">
        <is>
          <t>Customer</t>
        </is>
      </c>
      <c r="C277" s="4" t="inlineStr">
        <is>
          <t>Subscription</t>
        </is>
      </c>
      <c r="D277" s="4" t="inlineStr">
        <is>
          <t>View Usage History</t>
        </is>
      </c>
      <c r="E277" s="4" t="inlineStr">
        <is>
          <t>View Weekly Usage History</t>
        </is>
      </c>
      <c r="F277" s="4" t="inlineStr">
        <is>
          <t>1. Go to subscription
2. View past weeks
3. See meals used per week
4. Check rollover meals</t>
        </is>
      </c>
      <c r="G277" s="13" t="inlineStr">
        <is>
          <t>https://nutrio.me/subscription/[id]</t>
        </is>
      </c>
      <c r="H277" s="4" t="inlineStr">
        <is>
          <t>Weekly usage history displayed</t>
        </is>
      </c>
      <c r="I277" s="4">
        <f>IF(I277="","",IF(I277=G277,"PASS","FAIL"))</f>
        <v/>
      </c>
      <c r="J277" s="4" t="n"/>
      <c r="K277" s="4" t="n"/>
      <c r="L277" s="4" t="inlineStr">
        <is>
          <t>Low</t>
        </is>
      </c>
      <c r="M277" s="4" t="n"/>
    </row>
    <row r="278" ht="105" customHeight="1" s="16">
      <c r="A278" s="4" t="inlineStr">
        <is>
          <t>TC220</t>
        </is>
      </c>
      <c r="B278" s="4" t="inlineStr">
        <is>
          <t>Customer</t>
        </is>
      </c>
      <c r="C278" s="4" t="inlineStr">
        <is>
          <t>Subscription</t>
        </is>
      </c>
      <c r="D278" s="4" t="inlineStr">
        <is>
          <t>Upgrade Mid-Week</t>
        </is>
      </c>
      <c r="E278" s="4" t="inlineStr">
        <is>
          <t>Upgrade Subscription Mid-Week</t>
        </is>
      </c>
      <c r="F278" s="4" t="inlineStr">
        <is>
          <t>1. Use some meals
2. Upgrade plan
3. Verify additional meals added immediately
4. Pay prorated difference</t>
        </is>
      </c>
      <c r="G278" s="13" t="inlineStr">
        <is>
          <t>https://nutrio.me/subscription</t>
        </is>
      </c>
      <c r="H278" s="4" t="inlineStr">
        <is>
          <t>Plan upgraded, additional meals available immediately</t>
        </is>
      </c>
      <c r="I278" s="4">
        <f>IF(I278="","",IF(I278=G278,"PASS","FAIL"))</f>
        <v/>
      </c>
      <c r="J278" s="4" t="n"/>
      <c r="K278" s="4" t="n"/>
      <c r="L278" s="6" t="inlineStr">
        <is>
          <t>Medium</t>
        </is>
      </c>
      <c r="M278" s="4" t="n"/>
    </row>
    <row r="279" ht="60" customHeight="1" s="16">
      <c r="A279" s="4" t="inlineStr">
        <is>
          <t>TC221</t>
        </is>
      </c>
      <c r="B279" s="4" t="inlineStr">
        <is>
          <t>Customer</t>
        </is>
      </c>
      <c r="C279" s="4" t="inlineStr">
        <is>
          <t>Subscription</t>
        </is>
      </c>
      <c r="D279" s="4" t="inlineStr">
        <is>
          <t>Pause with Date</t>
        </is>
      </c>
      <c r="E279" s="4" t="inlineStr">
        <is>
          <t>Pause Subscription with Return Date</t>
        </is>
      </c>
      <c r="F279" s="4" t="inlineStr">
        <is>
          <t>1. Click Pause
2. Select resume date
3. Confirm
4. Verify auto-resume scheduled</t>
        </is>
      </c>
      <c r="G279" s="13" t="inlineStr">
        <is>
          <t>https://nutrio.me/subscription</t>
        </is>
      </c>
      <c r="H279" s="4" t="inlineStr">
        <is>
          <t>Subscription paused until selected date</t>
        </is>
      </c>
      <c r="I279" s="4">
        <f>IF(I279="","",IF(I279=G279,"PASS","FAIL"))</f>
        <v/>
      </c>
      <c r="J279" s="4" t="n"/>
      <c r="K279" s="4" t="n"/>
      <c r="L279" s="6" t="inlineStr">
        <is>
          <t>Medium</t>
        </is>
      </c>
      <c r="M279" s="4" t="n"/>
    </row>
    <row r="280" ht="60" customHeight="1" s="16">
      <c r="A280" s="4" t="inlineStr">
        <is>
          <t>TC222</t>
        </is>
      </c>
      <c r="B280" s="4" t="inlineStr">
        <is>
          <t>Customer</t>
        </is>
      </c>
      <c r="C280" s="4" t="inlineStr">
        <is>
          <t>Subscription</t>
        </is>
      </c>
      <c r="D280" s="4" t="inlineStr">
        <is>
          <t>Cancel Refund</t>
        </is>
      </c>
      <c r="E280" s="4" t="inlineStr">
        <is>
          <t>Subscription Cancellation Refund</t>
        </is>
      </c>
      <c r="F280" s="4" t="inlineStr">
        <is>
          <t>1. Cancel subscription
2. Check refund policy
3. Verify refund amount
4. Check refund timeline</t>
        </is>
      </c>
      <c r="G280" s="13" t="inlineStr">
        <is>
          <t>https://nutrio.me/subscription</t>
        </is>
      </c>
      <c r="H280" s="4" t="inlineStr">
        <is>
          <t>Refund information displayed correctly</t>
        </is>
      </c>
      <c r="I280" s="4">
        <f>IF(I280="","",IF(I280=G280,"PASS","FAIL"))</f>
        <v/>
      </c>
      <c r="J280" s="4" t="n"/>
      <c r="K280" s="4" t="n"/>
      <c r="L280" s="6" t="inlineStr">
        <is>
          <t>Medium</t>
        </is>
      </c>
      <c r="M280" s="4" t="n"/>
    </row>
    <row r="281" ht="60" customHeight="1" s="16">
      <c r="A281" s="4" t="inlineStr">
        <is>
          <t>TC223</t>
        </is>
      </c>
      <c r="B281" s="4" t="inlineStr">
        <is>
          <t>Customer</t>
        </is>
      </c>
      <c r="C281" s="4" t="inlineStr">
        <is>
          <t>Profile</t>
        </is>
      </c>
      <c r="D281" s="4" t="inlineStr">
        <is>
          <t>Add Multiple Addresses</t>
        </is>
      </c>
      <c r="E281" s="4" t="inlineStr">
        <is>
          <t>Add Multiple Delivery Addresses</t>
        </is>
      </c>
      <c r="F281" s="4" t="inlineStr">
        <is>
          <t>1. Go to addresses
2. Add home address
3. Add work address
4. Add custom label</t>
        </is>
      </c>
      <c r="G281" s="13" t="inlineStr">
        <is>
          <t>https://nutrio.me/profile/new</t>
        </is>
      </c>
      <c r="H281" s="4" t="inlineStr">
        <is>
          <t>Multiple addresses saved with labels</t>
        </is>
      </c>
      <c r="I281" s="4">
        <f>IF(I281="","",IF(I281=G281,"PASS","FAIL"))</f>
        <v/>
      </c>
      <c r="J281" s="4" t="n"/>
      <c r="K281" s="4" t="n"/>
      <c r="L281" s="6" t="inlineStr">
        <is>
          <t>Medium</t>
        </is>
      </c>
      <c r="M281" s="4" t="n"/>
    </row>
    <row r="282" ht="60" customHeight="1" s="16">
      <c r="A282" s="4" t="inlineStr">
        <is>
          <t>TC224</t>
        </is>
      </c>
      <c r="B282" s="4" t="inlineStr">
        <is>
          <t>Customer</t>
        </is>
      </c>
      <c r="C282" s="4" t="inlineStr">
        <is>
          <t>Profile</t>
        </is>
      </c>
      <c r="D282" s="4" t="inlineStr">
        <is>
          <t>Set Default Address</t>
        </is>
      </c>
      <c r="E282" s="4" t="inlineStr">
        <is>
          <t>Set Default Delivery Address</t>
        </is>
      </c>
      <c r="F282" s="4" t="inlineStr">
        <is>
          <t>1. Have multiple addresses
2. Set one as default
3. Verify default badge
4. Place order</t>
        </is>
      </c>
      <c r="G282" s="13" t="inlineStr">
        <is>
          <t>https://nutrio.me/profile/new</t>
        </is>
      </c>
      <c r="H282" s="4" t="inlineStr">
        <is>
          <t>Default address pre-selected at checkout</t>
        </is>
      </c>
      <c r="I282" s="4">
        <f>IF(I282="","",IF(I282=G282,"PASS","FAIL"))</f>
        <v/>
      </c>
      <c r="J282" s="4" t="n"/>
      <c r="K282" s="4" t="n"/>
      <c r="L282" s="6" t="inlineStr">
        <is>
          <t>Medium</t>
        </is>
      </c>
      <c r="M282" s="4" t="n"/>
    </row>
    <row r="283" ht="60" customHeight="1" s="16">
      <c r="A283" s="4" t="inlineStr">
        <is>
          <t>TC225</t>
        </is>
      </c>
      <c r="B283" s="4" t="inlineStr">
        <is>
          <t>Customer</t>
        </is>
      </c>
      <c r="C283" s="4" t="inlineStr">
        <is>
          <t>Profile</t>
        </is>
      </c>
      <c r="D283" s="4" t="inlineStr">
        <is>
          <t>Delete Address</t>
        </is>
      </c>
      <c r="E283" s="4" t="inlineStr">
        <is>
          <t>Delete Delivery Address</t>
        </is>
      </c>
      <c r="F283" s="4" t="inlineStr">
        <is>
          <t>1. Go to addresses
2. Click delete on address
3. Confirm deletion
4. Verify removed</t>
        </is>
      </c>
      <c r="G283" s="13" t="inlineStr">
        <is>
          <t>https://nutrio.me/profile/new</t>
        </is>
      </c>
      <c r="H283" s="4" t="inlineStr">
        <is>
          <t>Address deleted from list</t>
        </is>
      </c>
      <c r="I283" s="4">
        <f>IF(I283="","",IF(I283=G283,"PASS","FAIL"))</f>
        <v/>
      </c>
      <c r="J283" s="4" t="n"/>
      <c r="K283" s="4" t="n"/>
      <c r="L283" s="4" t="inlineStr">
        <is>
          <t>Low</t>
        </is>
      </c>
      <c r="M283" s="4" t="n"/>
    </row>
    <row r="284" ht="75" customHeight="1" s="16">
      <c r="A284" s="4" t="inlineStr">
        <is>
          <t>TC226</t>
        </is>
      </c>
      <c r="B284" s="4" t="inlineStr">
        <is>
          <t>Customer</t>
        </is>
      </c>
      <c r="C284" s="4" t="inlineStr">
        <is>
          <t>Profile</t>
        </is>
      </c>
      <c r="D284" s="4" t="inlineStr">
        <is>
          <t>Notification Settings</t>
        </is>
      </c>
      <c r="E284" s="4" t="inlineStr">
        <is>
          <t>Manage Notification Preferences</t>
        </is>
      </c>
      <c r="F284" s="4" t="inlineStr">
        <is>
          <t>1. Go to settings
2. Toggle order notifications
3. Toggle promotional emails
4. Toggle SMS notifications
5. Save preferences</t>
        </is>
      </c>
      <c r="G284" s="13" t="inlineStr">
        <is>
          <t>https://nutrio.me/profile</t>
        </is>
      </c>
      <c r="H284" s="4" t="inlineStr">
        <is>
          <t>Notification preferences saved</t>
        </is>
      </c>
      <c r="I284" s="4">
        <f>IF(I284="","",IF(I284=G284,"PASS","FAIL"))</f>
        <v/>
      </c>
      <c r="J284" s="4" t="n"/>
      <c r="K284" s="4" t="n"/>
      <c r="L284" s="4" t="inlineStr">
        <is>
          <t>Low</t>
        </is>
      </c>
      <c r="M284" s="4" t="n"/>
    </row>
    <row r="285" ht="60" customHeight="1" s="16">
      <c r="A285" s="4" t="inlineStr">
        <is>
          <t>TC227</t>
        </is>
      </c>
      <c r="B285" s="4" t="inlineStr">
        <is>
          <t>Customer</t>
        </is>
      </c>
      <c r="C285" s="4" t="inlineStr">
        <is>
          <t>Profile</t>
        </is>
      </c>
      <c r="D285" s="4" t="inlineStr">
        <is>
          <t>Privacy Settings</t>
        </is>
      </c>
      <c r="E285" s="4" t="inlineStr">
        <is>
          <t>Manage Privacy Settings</t>
        </is>
      </c>
      <c r="F285" s="4" t="inlineStr">
        <is>
          <t>1. Go to privacy settings
2. Toggle profile visibility
3. Manage data sharing
4. Download data export</t>
        </is>
      </c>
      <c r="G285" s="13" t="inlineStr">
        <is>
          <t>https://nutrio.me/profile</t>
        </is>
      </c>
      <c r="H285" s="4" t="inlineStr">
        <is>
          <t>Privacy settings applied</t>
        </is>
      </c>
      <c r="I285" s="4">
        <f>IF(I285="","",IF(I285=G285,"PASS","FAIL"))</f>
        <v/>
      </c>
      <c r="J285" s="4" t="n"/>
      <c r="K285" s="4" t="n"/>
      <c r="L285" s="4" t="inlineStr">
        <is>
          <t>Low</t>
        </is>
      </c>
      <c r="M285" s="4" t="n"/>
    </row>
    <row r="286" ht="75" customHeight="1" s="16">
      <c r="A286" s="4" t="inlineStr">
        <is>
          <t>TC228</t>
        </is>
      </c>
      <c r="B286" s="4" t="inlineStr">
        <is>
          <t>Customer</t>
        </is>
      </c>
      <c r="C286" s="4" t="inlineStr">
        <is>
          <t>Profile</t>
        </is>
      </c>
      <c r="D286" s="4" t="inlineStr">
        <is>
          <t>Language Selection</t>
        </is>
      </c>
      <c r="E286" s="4" t="inlineStr">
        <is>
          <t>Change App Language</t>
        </is>
      </c>
      <c r="F286" s="4" t="inlineStr">
        <is>
          <t>1. Go to settings
2. Click Language
3. Select Arabic
4. Verify UI changes</t>
        </is>
      </c>
      <c r="G286" s="13" t="inlineStr">
        <is>
          <t>https://nutrio.me/profile</t>
        </is>
      </c>
      <c r="H286" s="4" t="inlineStr">
        <is>
          <t>App language changed to selected language</t>
        </is>
      </c>
      <c r="I286" s="4">
        <f>IF(I286="","",IF(I286=G286,"PASS","FAIL"))</f>
        <v/>
      </c>
      <c r="J286" s="4" t="n"/>
      <c r="K286" s="4" t="n"/>
      <c r="L286" s="6" t="inlineStr">
        <is>
          <t>Medium</t>
        </is>
      </c>
      <c r="M286" s="4" t="n"/>
    </row>
    <row r="287" ht="75" customHeight="1" s="16">
      <c r="A287" s="4" t="inlineStr">
        <is>
          <t>TC229</t>
        </is>
      </c>
      <c r="B287" s="4" t="inlineStr">
        <is>
          <t>Customer</t>
        </is>
      </c>
      <c r="C287" s="4" t="inlineStr">
        <is>
          <t>Profile</t>
        </is>
      </c>
      <c r="D287" s="4" t="inlineStr">
        <is>
          <t>Dark Mode</t>
        </is>
      </c>
      <c r="E287" s="4" t="inlineStr">
        <is>
          <t>Toggle Dark Mode</t>
        </is>
      </c>
      <c r="F287" s="4" t="inlineStr">
        <is>
          <t>1. Click theme toggle
2. Switch to dark mode
3. Verify UI changes
4. Switch back to light</t>
        </is>
      </c>
      <c r="G287" s="13" t="inlineStr">
        <is>
          <t>https://nutrio.me/profile</t>
        </is>
      </c>
      <c r="H287" s="4" t="inlineStr">
        <is>
          <t>Theme toggles between dark and light</t>
        </is>
      </c>
      <c r="I287" s="4">
        <f>IF(I287="","",IF(I287=G287,"PASS","FAIL"))</f>
        <v/>
      </c>
      <c r="J287" s="4" t="n"/>
      <c r="K287" s="4" t="n"/>
      <c r="L287" s="4" t="inlineStr">
        <is>
          <t>Low</t>
        </is>
      </c>
      <c r="M287" s="4" t="n"/>
    </row>
    <row r="288" ht="60" customHeight="1" s="16">
      <c r="A288" s="4" t="inlineStr">
        <is>
          <t>TC230</t>
        </is>
      </c>
      <c r="B288" s="4" t="inlineStr">
        <is>
          <t>Driver</t>
        </is>
      </c>
      <c r="C288" s="4" t="inlineStr">
        <is>
          <t>Auth</t>
        </is>
      </c>
      <c r="D288" s="4" t="inlineStr">
        <is>
          <t>Forgot Password</t>
        </is>
      </c>
      <c r="E288" s="4" t="inlineStr">
        <is>
          <t>Driver Forgot Password</t>
        </is>
      </c>
      <c r="F288" s="4" t="inlineStr">
        <is>
          <t>1. Click Forgot Password
2. Enter email
3. Check email
4. Reset password</t>
        </is>
      </c>
      <c r="G288" s="13" t="inlineStr">
        <is>
          <t>https://nutrio.me/driver/auth</t>
        </is>
      </c>
      <c r="H288" s="4" t="inlineStr">
        <is>
          <t>Password reset successful</t>
        </is>
      </c>
      <c r="I288" s="4">
        <f>IF(I288="","",IF(I288=G288,"PASS","FAIL"))</f>
        <v/>
      </c>
      <c r="J288" s="4" t="n"/>
      <c r="K288" s="4" t="n"/>
      <c r="L288" s="5" t="inlineStr">
        <is>
          <t>High</t>
        </is>
      </c>
      <c r="M288" s="4" t="n"/>
    </row>
    <row r="289" ht="60" customHeight="1" s="16">
      <c r="A289" s="4" t="inlineStr">
        <is>
          <t>TC231</t>
        </is>
      </c>
      <c r="B289" s="4" t="inlineStr">
        <is>
          <t>Driver</t>
        </is>
      </c>
      <c r="C289" s="4" t="inlineStr">
        <is>
          <t>Dashboard</t>
        </is>
      </c>
      <c r="D289" s="4" t="inlineStr">
        <is>
          <t>Earnings Summary</t>
        </is>
      </c>
      <c r="E289" s="4" t="inlineStr">
        <is>
          <t>View Earnings Summary on Dashboard</t>
        </is>
      </c>
      <c r="F289" s="4" t="inlineStr">
        <is>
          <t>1. Login as driver
2. View today's earnings
3. View this week
4. View completion rate</t>
        </is>
      </c>
      <c r="G289" s="13" t="inlineStr">
        <is>
          <t>https://nutrio.me/driver/dashboard/[id]</t>
        </is>
      </c>
      <c r="H289" s="4" t="inlineStr">
        <is>
          <t>Earnings stats displayed accurately</t>
        </is>
      </c>
      <c r="I289" s="4">
        <f>IF(I289="","",IF(I289=G289,"PASS","FAIL"))</f>
        <v/>
      </c>
      <c r="J289" s="4" t="n"/>
      <c r="K289" s="4" t="n"/>
      <c r="L289" s="5" t="inlineStr">
        <is>
          <t>High</t>
        </is>
      </c>
      <c r="M289" s="4" t="n"/>
    </row>
    <row r="290" ht="60" customHeight="1" s="16">
      <c r="A290" s="4" t="inlineStr">
        <is>
          <t>TC232</t>
        </is>
      </c>
      <c r="B290" s="4" t="inlineStr">
        <is>
          <t>Driver</t>
        </is>
      </c>
      <c r="C290" s="4" t="inlineStr">
        <is>
          <t>Dashboard</t>
        </is>
      </c>
      <c r="D290" s="4" t="inlineStr">
        <is>
          <t>Active Delivery</t>
        </is>
      </c>
      <c r="E290" s="4" t="inlineStr">
        <is>
          <t>View Active Delivery on Dashboard</t>
        </is>
      </c>
      <c r="F290" s="4" t="inlineStr">
        <is>
          <t>1. Have active delivery
2. Check dashboard
3. View customer info
4. View navigation button</t>
        </is>
      </c>
      <c r="G290" s="13" t="inlineStr">
        <is>
          <t>https://nutrio.me/driver/dashboard/[id]</t>
        </is>
      </c>
      <c r="H290" s="4" t="inlineStr">
        <is>
          <t>Active delivery details shown</t>
        </is>
      </c>
      <c r="I290" s="4">
        <f>IF(I290="","",IF(I290=G290,"PASS","FAIL"))</f>
        <v/>
      </c>
      <c r="J290" s="4" t="n"/>
      <c r="K290" s="4" t="n"/>
      <c r="L290" s="7" t="inlineStr">
        <is>
          <t>Critical</t>
        </is>
      </c>
      <c r="M290" s="4" t="n"/>
    </row>
    <row r="291" ht="60" customHeight="1" s="16">
      <c r="A291" s="4" t="inlineStr">
        <is>
          <t>TC233</t>
        </is>
      </c>
      <c r="B291" s="4" t="inlineStr">
        <is>
          <t>Driver</t>
        </is>
      </c>
      <c r="C291" s="4" t="inlineStr">
        <is>
          <t>Deliveries</t>
        </is>
      </c>
      <c r="D291" s="4" t="inlineStr">
        <is>
          <t>Filter Available</t>
        </is>
      </c>
      <c r="E291" s="4" t="inlineStr">
        <is>
          <t>Filter Available Deliveries</t>
        </is>
      </c>
      <c r="F291" s="4" t="inlineStr">
        <is>
          <t>1. Go to available deliveries
2. Filter by distance
3. Filter by payout
4. Sort by nearest</t>
        </is>
      </c>
      <c r="G291" s="13" t="inlineStr">
        <is>
          <t>https://nutrio.me/driver/deliveries?filter=[value]</t>
        </is>
      </c>
      <c r="H291" s="4" t="inlineStr">
        <is>
          <t>Deliveries filtered according to criteria</t>
        </is>
      </c>
      <c r="I291" s="4">
        <f>IF(I291="","",IF(I291=G291,"PASS","FAIL"))</f>
        <v/>
      </c>
      <c r="J291" s="4" t="n"/>
      <c r="K291" s="4" t="n"/>
      <c r="L291" s="6" t="inlineStr">
        <is>
          <t>Medium</t>
        </is>
      </c>
      <c r="M291" s="4" t="n"/>
    </row>
    <row r="292" ht="75" customHeight="1" s="16">
      <c r="A292" s="4" t="inlineStr">
        <is>
          <t>TC234</t>
        </is>
      </c>
      <c r="B292" s="4" t="inlineStr">
        <is>
          <t>Driver</t>
        </is>
      </c>
      <c r="C292" s="4" t="inlineStr">
        <is>
          <t>Deliveries</t>
        </is>
      </c>
      <c r="D292" s="4" t="inlineStr">
        <is>
          <t>Accept Multiple</t>
        </is>
      </c>
      <c r="E292" s="4" t="inlineStr">
        <is>
          <t>Accept Multiple Deliveries (Batch)</t>
        </is>
      </c>
      <c r="F292" s="4" t="inlineStr">
        <is>
          <t>1. View available orders
2. Accept order 1
3. Accept order 2 (nearby)
4. View optimized route</t>
        </is>
      </c>
      <c r="G292" s="13" t="inlineStr">
        <is>
          <t>https://nutrio.me/driver/deliveries</t>
        </is>
      </c>
      <c r="H292" s="4" t="inlineStr">
        <is>
          <t>Multiple orders accepted, route optimized</t>
        </is>
      </c>
      <c r="I292" s="4">
        <f>IF(I292="","",IF(I292=G292,"PASS","FAIL"))</f>
        <v/>
      </c>
      <c r="J292" s="4" t="n"/>
      <c r="K292" s="4" t="n"/>
      <c r="L292" s="5" t="inlineStr">
        <is>
          <t>High</t>
        </is>
      </c>
      <c r="M292" s="4" t="n"/>
    </row>
    <row r="293" ht="60" customHeight="1" s="16">
      <c r="A293" s="4" t="inlineStr">
        <is>
          <t>TC235</t>
        </is>
      </c>
      <c r="B293" s="4" t="inlineStr">
        <is>
          <t>Driver</t>
        </is>
      </c>
      <c r="C293" s="4" t="inlineStr">
        <is>
          <t>Deliveries</t>
        </is>
      </c>
      <c r="D293" s="4" t="inlineStr">
        <is>
          <t>Reject Order</t>
        </is>
      </c>
      <c r="E293" s="4" t="inlineStr">
        <is>
          <t>Reject Delivery Order</t>
        </is>
      </c>
      <c r="F293" s="4" t="inlineStr">
        <is>
          <t>1. See available order
2. Click Reject
3. Select reason
4. Confirm</t>
        </is>
      </c>
      <c r="G293" s="13" t="inlineStr">
        <is>
          <t>https://nutrio.me/driver/deliveries</t>
        </is>
      </c>
      <c r="H293" s="4" t="inlineStr">
        <is>
          <t>Order rejected, reason recorded</t>
        </is>
      </c>
      <c r="I293" s="4">
        <f>IF(I293="","",IF(I293=G293,"PASS","FAIL"))</f>
        <v/>
      </c>
      <c r="J293" s="4" t="n"/>
      <c r="K293" s="4" t="n"/>
      <c r="L293" s="6" t="inlineStr">
        <is>
          <t>Medium</t>
        </is>
      </c>
      <c r="M293" s="4" t="n"/>
    </row>
    <row r="294" ht="60" customHeight="1" s="16">
      <c r="A294" s="4" t="inlineStr">
        <is>
          <t>TC236</t>
        </is>
      </c>
      <c r="B294" s="4" t="inlineStr">
        <is>
          <t>Driver</t>
        </is>
      </c>
      <c r="C294" s="4" t="inlineStr">
        <is>
          <t>Deliveries</t>
        </is>
      </c>
      <c r="D294" s="4" t="inlineStr">
        <is>
          <t>Pickup Navigation</t>
        </is>
      </c>
      <c r="E294" s="4" t="inlineStr">
        <is>
          <t>Navigate to Restaurant Pickup</t>
        </is>
      </c>
      <c r="F294" s="4" t="inlineStr">
        <is>
          <t>1. Accept order
2. Click Navigate to Restaurant
3. Maps opens with route
4. Follow navigation</t>
        </is>
      </c>
      <c r="G294" s="13" t="inlineStr">
        <is>
          <t>https://nutrio.me/driver/deliveries</t>
        </is>
      </c>
      <c r="H294" s="4" t="inlineStr">
        <is>
          <t>Navigation to restaurant started</t>
        </is>
      </c>
      <c r="I294" s="4">
        <f>IF(I294="","",IF(I294=G294,"PASS","FAIL"))</f>
        <v/>
      </c>
      <c r="J294" s="4" t="n"/>
      <c r="K294" s="4" t="n"/>
      <c r="L294" s="7" t="inlineStr">
        <is>
          <t>Critical</t>
        </is>
      </c>
      <c r="M294" s="4" t="n"/>
    </row>
    <row r="295" ht="60" customHeight="1" s="16">
      <c r="A295" s="4" t="inlineStr">
        <is>
          <t>TC237</t>
        </is>
      </c>
      <c r="B295" s="4" t="inlineStr">
        <is>
          <t>Driver</t>
        </is>
      </c>
      <c r="C295" s="4" t="inlineStr">
        <is>
          <t>Deliveries</t>
        </is>
      </c>
      <c r="D295" s="4" t="inlineStr">
        <is>
          <t>Customer Navigation</t>
        </is>
      </c>
      <c r="E295" s="4" t="inlineStr">
        <is>
          <t>Navigate to Customer Delivery</t>
        </is>
      </c>
      <c r="F295" s="4" t="inlineStr">
        <is>
          <t>1. Mark picked up
2. Click Navigate to Customer
3. Maps opens with route
4. Follow navigation</t>
        </is>
      </c>
      <c r="G295" s="13" t="inlineStr">
        <is>
          <t>https://nutrio.me/driver/deliveries</t>
        </is>
      </c>
      <c r="H295" s="4" t="inlineStr">
        <is>
          <t>Navigation to customer started</t>
        </is>
      </c>
      <c r="I295" s="4">
        <f>IF(I295="","",IF(I295=G295,"PASS","FAIL"))</f>
        <v/>
      </c>
      <c r="J295" s="4" t="n"/>
      <c r="K295" s="4" t="n"/>
      <c r="L295" s="7" t="inlineStr">
        <is>
          <t>Critical</t>
        </is>
      </c>
      <c r="M295" s="4" t="n"/>
    </row>
    <row r="296" ht="60" customHeight="1" s="16">
      <c r="A296" s="4" t="inlineStr">
        <is>
          <t>TC238</t>
        </is>
      </c>
      <c r="B296" s="4" t="inlineStr">
        <is>
          <t>Driver</t>
        </is>
      </c>
      <c r="C296" s="4" t="inlineStr">
        <is>
          <t>Deliveries</t>
        </is>
      </c>
      <c r="D296" s="4" t="inlineStr">
        <is>
          <t>Call Customer</t>
        </is>
      </c>
      <c r="E296" s="4" t="inlineStr">
        <is>
          <t>Call Customer from Delivery</t>
        </is>
      </c>
      <c r="F296" s="4" t="inlineStr">
        <is>
          <t>1. Open active delivery
2. Click Call Customer
3. Phone app opens
4. Call connected</t>
        </is>
      </c>
      <c r="G296" s="13" t="inlineStr">
        <is>
          <t>https://nutrio.me/driver/deliveries</t>
        </is>
      </c>
      <c r="H296" s="4" t="inlineStr">
        <is>
          <t>Phone app opens with customer number</t>
        </is>
      </c>
      <c r="I296" s="4">
        <f>IF(I296="","",IF(I296=G296,"PASS","FAIL"))</f>
        <v/>
      </c>
      <c r="J296" s="4" t="n"/>
      <c r="K296" s="4" t="n"/>
      <c r="L296" s="5" t="inlineStr">
        <is>
          <t>High</t>
        </is>
      </c>
      <c r="M296" s="4" t="n"/>
    </row>
    <row r="297" ht="60" customHeight="1" s="16">
      <c r="A297" s="4" t="inlineStr">
        <is>
          <t>TC239</t>
        </is>
      </c>
      <c r="B297" s="4" t="inlineStr">
        <is>
          <t>Driver</t>
        </is>
      </c>
      <c r="C297" s="4" t="inlineStr">
        <is>
          <t>Deliveries</t>
        </is>
      </c>
      <c r="D297" s="4" t="inlineStr">
        <is>
          <t>Call Restaurant</t>
        </is>
      </c>
      <c r="E297" s="4" t="inlineStr">
        <is>
          <t>Call Restaurant from Delivery</t>
        </is>
      </c>
      <c r="F297" s="4" t="inlineStr">
        <is>
          <t>1. Open active delivery
2. Click Call Restaurant
3. Phone app opens
4. Call connected</t>
        </is>
      </c>
      <c r="G297" s="13" t="inlineStr">
        <is>
          <t>https://nutrio.me/driver/deliveries</t>
        </is>
      </c>
      <c r="H297" s="4" t="inlineStr">
        <is>
          <t>Phone app opens with restaurant number</t>
        </is>
      </c>
      <c r="I297" s="4">
        <f>IF(I297="","",IF(I297=G297,"PASS","FAIL"))</f>
        <v/>
      </c>
      <c r="J297" s="4" t="n"/>
      <c r="K297" s="4" t="n"/>
      <c r="L297" s="5" t="inlineStr">
        <is>
          <t>High</t>
        </is>
      </c>
      <c r="M297" s="4" t="n"/>
    </row>
    <row r="298" ht="75" customHeight="1" s="16">
      <c r="A298" s="4" t="inlineStr">
        <is>
          <t>TC240</t>
        </is>
      </c>
      <c r="B298" s="4" t="inlineStr">
        <is>
          <t>Driver</t>
        </is>
      </c>
      <c r="C298" s="4" t="inlineStr">
        <is>
          <t>Deliveries</t>
        </is>
      </c>
      <c r="D298" s="4" t="inlineStr">
        <is>
          <t>Delivery Photo</t>
        </is>
      </c>
      <c r="E298" s="4" t="inlineStr">
        <is>
          <t>Take Delivery Confirmation Photo</t>
        </is>
      </c>
      <c r="F298" s="4" t="inlineStr">
        <is>
          <t>1. Arrive at customer
2. Deliver order
3. Click Take Photo
4. Capture delivery photo
5. Mark delivered</t>
        </is>
      </c>
      <c r="G298" s="13" t="inlineStr">
        <is>
          <t>https://nutrio.me/driver/deliveries</t>
        </is>
      </c>
      <c r="H298" s="4" t="inlineStr">
        <is>
          <t>Photo captured and uploaded</t>
        </is>
      </c>
      <c r="I298" s="4">
        <f>IF(I298="","",IF(I298=G298,"PASS","FAIL"))</f>
        <v/>
      </c>
      <c r="J298" s="4" t="n"/>
      <c r="K298" s="4" t="n"/>
      <c r="L298" s="6" t="inlineStr">
        <is>
          <t>Medium</t>
        </is>
      </c>
      <c r="M298" s="4" t="n"/>
    </row>
    <row r="299" ht="75" customHeight="1" s="16">
      <c r="A299" s="4" t="inlineStr">
        <is>
          <t>TC241</t>
        </is>
      </c>
      <c r="B299" s="4" t="inlineStr">
        <is>
          <t>Driver</t>
        </is>
      </c>
      <c r="C299" s="4" t="inlineStr">
        <is>
          <t>Deliveries</t>
        </is>
      </c>
      <c r="D299" s="4" t="inlineStr">
        <is>
          <t>Customer Not Available</t>
        </is>
      </c>
      <c r="E299" s="4" t="inlineStr">
        <is>
          <t>Handle Customer Not Available</t>
        </is>
      </c>
      <c r="F299" s="4" t="inlineStr">
        <is>
          <t>1. Arrive at location
2. Customer not available
3. Click Customer Not Available
4. Follow protocol
5. Return order</t>
        </is>
      </c>
      <c r="G299" s="13" t="inlineStr">
        <is>
          <t>https://nutrio.me/driver/deliveries</t>
        </is>
      </c>
      <c r="H299" s="4" t="inlineStr">
        <is>
          <t>Protocol initiated, support notified</t>
        </is>
      </c>
      <c r="I299" s="4">
        <f>IF(I299="","",IF(I299=G299,"PASS","FAIL"))</f>
        <v/>
      </c>
      <c r="J299" s="4" t="n"/>
      <c r="K299" s="4" t="n"/>
      <c r="L299" s="5" t="inlineStr">
        <is>
          <t>High</t>
        </is>
      </c>
      <c r="M299" s="4" t="n"/>
    </row>
    <row r="300" ht="75" customHeight="1" s="16">
      <c r="A300" s="4" t="inlineStr">
        <is>
          <t>TC242</t>
        </is>
      </c>
      <c r="B300" s="4" t="inlineStr">
        <is>
          <t>Driver</t>
        </is>
      </c>
      <c r="C300" s="4" t="inlineStr">
        <is>
          <t>Deliveries</t>
        </is>
      </c>
      <c r="D300" s="4" t="inlineStr">
        <is>
          <t>Wrong Address</t>
        </is>
      </c>
      <c r="E300" s="4" t="inlineStr">
        <is>
          <t>Handle Wrong Address</t>
        </is>
      </c>
      <c r="F300" s="4" t="inlineStr">
        <is>
          <t>1. Arrive at address
2. Customer at different location
3. Contact support
4. Get new address
5. Navigate to new location</t>
        </is>
      </c>
      <c r="G300" s="13" t="inlineStr">
        <is>
          <t>https://nutrio.me/driver/deliveries/new</t>
        </is>
      </c>
      <c r="H300" s="4" t="inlineStr">
        <is>
          <t>Support provides updated address</t>
        </is>
      </c>
      <c r="I300" s="4">
        <f>IF(I300="","",IF(I300=G300,"PASS","FAIL"))</f>
        <v/>
      </c>
      <c r="J300" s="4" t="n"/>
      <c r="K300" s="4" t="n"/>
      <c r="L300" s="5" t="inlineStr">
        <is>
          <t>High</t>
        </is>
      </c>
      <c r="M300" s="4" t="n"/>
    </row>
    <row r="301" ht="60" customHeight="1" s="16">
      <c r="A301" s="4" t="inlineStr">
        <is>
          <t>TC243</t>
        </is>
      </c>
      <c r="B301" s="4" t="inlineStr">
        <is>
          <t>Driver</t>
        </is>
      </c>
      <c r="C301" s="4" t="inlineStr">
        <is>
          <t>Earnings</t>
        </is>
      </c>
      <c r="D301" s="4" t="inlineStr">
        <is>
          <t>Daily Breakdown</t>
        </is>
      </c>
      <c r="E301" s="4" t="inlineStr">
        <is>
          <t>View Daily Earnings Breakdown</t>
        </is>
      </c>
      <c r="F301" s="4" t="inlineStr">
        <is>
          <t>1. Go to earnings
2. Select date
3. View all deliveries that day
4. Check tips received</t>
        </is>
      </c>
      <c r="G301" s="13" t="inlineStr">
        <is>
          <t>https://nutrio.me/driver/earnings/[id]</t>
        </is>
      </c>
      <c r="H301" s="4" t="inlineStr">
        <is>
          <t>Daily breakdown with all deliveries</t>
        </is>
      </c>
      <c r="I301" s="4">
        <f>IF(I301="","",IF(I301=G301,"PASS","FAIL"))</f>
        <v/>
      </c>
      <c r="J301" s="4" t="n"/>
      <c r="K301" s="4" t="n"/>
      <c r="L301" s="6" t="inlineStr">
        <is>
          <t>Medium</t>
        </is>
      </c>
      <c r="M301" s="4" t="n"/>
    </row>
    <row r="302" ht="75" customHeight="1" s="16">
      <c r="A302" s="4" t="inlineStr">
        <is>
          <t>TC244</t>
        </is>
      </c>
      <c r="B302" s="4" t="inlineStr">
        <is>
          <t>Driver</t>
        </is>
      </c>
      <c r="C302" s="4" t="inlineStr">
        <is>
          <t>Earnings</t>
        </is>
      </c>
      <c r="D302" s="4" t="inlineStr">
        <is>
          <t>Weekly Summary</t>
        </is>
      </c>
      <c r="E302" s="4" t="inlineStr">
        <is>
          <t>View Weekly Earnings Summary</t>
        </is>
      </c>
      <c r="F302" s="4" t="inlineStr">
        <is>
          <t>1. Go to earnings
2. View this week
3. See total deliveries
4. See total hours
5. See hourly rate</t>
        </is>
      </c>
      <c r="G302" s="13" t="inlineStr">
        <is>
          <t>https://nutrio.me/driver/earnings/[id]</t>
        </is>
      </c>
      <c r="H302" s="4" t="inlineStr">
        <is>
          <t>Weekly summary with all metrics</t>
        </is>
      </c>
      <c r="I302" s="4">
        <f>IF(I302="","",IF(I302=G302,"PASS","FAIL"))</f>
        <v/>
      </c>
      <c r="J302" s="4" t="n"/>
      <c r="K302" s="4" t="n"/>
      <c r="L302" s="6" t="inlineStr">
        <is>
          <t>Medium</t>
        </is>
      </c>
      <c r="M302" s="4" t="n"/>
    </row>
    <row r="303" ht="60" customHeight="1" s="16">
      <c r="A303" s="4" t="inlineStr">
        <is>
          <t>TC245</t>
        </is>
      </c>
      <c r="B303" s="4" t="inlineStr">
        <is>
          <t>Driver</t>
        </is>
      </c>
      <c r="C303" s="4" t="inlineStr">
        <is>
          <t>Earnings</t>
        </is>
      </c>
      <c r="D303" s="4" t="inlineStr">
        <is>
          <t>Payout Status</t>
        </is>
      </c>
      <c r="E303" s="4" t="inlineStr">
        <is>
          <t>Check Payout Status</t>
        </is>
      </c>
      <c r="F303" s="4" t="inlineStr">
        <is>
          <t>1. Go to earnings
2. View payout history
3. Check pending payout
4. Verify bank account</t>
        </is>
      </c>
      <c r="G303" s="13" t="inlineStr">
        <is>
          <t>https://nutrio.me/driver/earnings</t>
        </is>
      </c>
      <c r="H303" s="4" t="inlineStr">
        <is>
          <t>Payout status displayed</t>
        </is>
      </c>
      <c r="I303" s="4">
        <f>IF(I303="","",IF(I303=G303,"PASS","FAIL"))</f>
        <v/>
      </c>
      <c r="J303" s="4" t="n"/>
      <c r="K303" s="4" t="n"/>
      <c r="L303" s="5" t="inlineStr">
        <is>
          <t>High</t>
        </is>
      </c>
      <c r="M303" s="4" t="n"/>
    </row>
    <row r="304" ht="60" customHeight="1" s="16">
      <c r="A304" s="4" t="inlineStr">
        <is>
          <t>TC246</t>
        </is>
      </c>
      <c r="B304" s="4" t="inlineStr">
        <is>
          <t>Driver</t>
        </is>
      </c>
      <c r="C304" s="4" t="inlineStr">
        <is>
          <t>Earnings</t>
        </is>
      </c>
      <c r="D304" s="4" t="inlineStr">
        <is>
          <t>Instant Pay</t>
        </is>
      </c>
      <c r="E304" s="4" t="inlineStr">
        <is>
          <t>Request Instant Pay (if available)</t>
        </is>
      </c>
      <c r="F304" s="4" t="inlineStr">
        <is>
          <t>1. Have earnings available
2. Click Instant Pay
3. Confirm fee
4. Transfer to wallet/bank</t>
        </is>
      </c>
      <c r="G304" s="13" t="inlineStr">
        <is>
          <t>https://nutrio.me/driver/earnings</t>
        </is>
      </c>
      <c r="H304" s="4" t="inlineStr">
        <is>
          <t>Instant payout processed</t>
        </is>
      </c>
      <c r="I304" s="4">
        <f>IF(I304="","",IF(I304=G304,"PASS","FAIL"))</f>
        <v/>
      </c>
      <c r="J304" s="4" t="n"/>
      <c r="K304" s="4" t="n"/>
      <c r="L304" s="4" t="inlineStr">
        <is>
          <t>Low</t>
        </is>
      </c>
      <c r="M304" s="4" t="n"/>
    </row>
    <row r="305" ht="90" customHeight="1" s="16">
      <c r="A305" s="4" t="inlineStr">
        <is>
          <t>TC247</t>
        </is>
      </c>
      <c r="B305" s="4" t="inlineStr">
        <is>
          <t>Driver</t>
        </is>
      </c>
      <c r="C305" s="4" t="inlineStr">
        <is>
          <t>Profile</t>
        </is>
      </c>
      <c r="D305" s="4" t="inlineStr">
        <is>
          <t>Update Vehicle</t>
        </is>
      </c>
      <c r="E305" s="4" t="inlineStr">
        <is>
          <t>Update Vehicle Information</t>
        </is>
      </c>
      <c r="F305" s="4" t="inlineStr">
        <is>
          <t>1. Go to profile
2. Click Vehicle
3. Update vehicle type
4. Update license plate
5. Upload vehicle photo
6. Save</t>
        </is>
      </c>
      <c r="G305" s="13" t="inlineStr">
        <is>
          <t>https://nutrio.me/driver/profile/[id]/edit</t>
        </is>
      </c>
      <c r="H305" s="4" t="inlineStr">
        <is>
          <t>Vehicle information updated</t>
        </is>
      </c>
      <c r="I305" s="4">
        <f>IF(I305="","",IF(I305=G305,"PASS","FAIL"))</f>
        <v/>
      </c>
      <c r="J305" s="4" t="n"/>
      <c r="K305" s="4" t="n"/>
      <c r="L305" s="6" t="inlineStr">
        <is>
          <t>Medium</t>
        </is>
      </c>
      <c r="M305" s="4" t="n"/>
    </row>
    <row r="306" ht="75" customHeight="1" s="16">
      <c r="A306" s="4" t="inlineStr">
        <is>
          <t>TC248</t>
        </is>
      </c>
      <c r="B306" s="4" t="inlineStr">
        <is>
          <t>Driver</t>
        </is>
      </c>
      <c r="C306" s="4" t="inlineStr">
        <is>
          <t>Profile</t>
        </is>
      </c>
      <c r="D306" s="4" t="inlineStr">
        <is>
          <t>Update Documents</t>
        </is>
      </c>
      <c r="E306" s="4" t="inlineStr">
        <is>
          <t>Upload Driver Documents</t>
        </is>
      </c>
      <c r="F306" s="4" t="inlineStr">
        <is>
          <t>1. Go to documents
2. Upload driver's license
3. Upload vehicle registration
4. Upload insurance
5. Submit for verification</t>
        </is>
      </c>
      <c r="G306" s="13" t="inlineStr">
        <is>
          <t>https://nutrio.me/driver/profile</t>
        </is>
      </c>
      <c r="H306" s="4" t="inlineStr">
        <is>
          <t>Documents uploaded and pending verification</t>
        </is>
      </c>
      <c r="I306" s="4">
        <f>IF(I306="","",IF(I306=G306,"PASS","FAIL"))</f>
        <v/>
      </c>
      <c r="J306" s="4" t="n"/>
      <c r="K306" s="4" t="n"/>
      <c r="L306" s="5" t="inlineStr">
        <is>
          <t>High</t>
        </is>
      </c>
      <c r="M306" s="4" t="n"/>
    </row>
    <row r="307" ht="75" customHeight="1" s="16">
      <c r="A307" s="4" t="inlineStr">
        <is>
          <t>TC249</t>
        </is>
      </c>
      <c r="B307" s="4" t="inlineStr">
        <is>
          <t>Driver</t>
        </is>
      </c>
      <c r="C307" s="4" t="inlineStr">
        <is>
          <t>Profile</t>
        </is>
      </c>
      <c r="D307" s="4" t="inlineStr">
        <is>
          <t>Working Hours</t>
        </is>
      </c>
      <c r="E307" s="4" t="inlineStr">
        <is>
          <t>Set Working Hours</t>
        </is>
      </c>
      <c r="F307" s="4" t="inlineStr">
        <is>
          <t>1. Go to availability
2. Set active hours
3. Mark days off
4. Set break times
5. Save schedule</t>
        </is>
      </c>
      <c r="G307" s="13" t="inlineStr">
        <is>
          <t>https://nutrio.me/driver/profile</t>
        </is>
      </c>
      <c r="H307" s="4" t="inlineStr">
        <is>
          <t>Working hours saved</t>
        </is>
      </c>
      <c r="I307" s="4">
        <f>IF(I307="","",IF(I307=G307,"PASS","FAIL"))</f>
        <v/>
      </c>
      <c r="J307" s="4" t="n"/>
      <c r="K307" s="4" t="n"/>
      <c r="L307" s="6" t="inlineStr">
        <is>
          <t>Medium</t>
        </is>
      </c>
      <c r="M307" s="4" t="n"/>
    </row>
    <row r="308" ht="60" customHeight="1" s="16">
      <c r="A308" s="4" t="inlineStr">
        <is>
          <t>TC250</t>
        </is>
      </c>
      <c r="B308" s="4" t="inlineStr">
        <is>
          <t>Driver</t>
        </is>
      </c>
      <c r="C308" s="4" t="inlineStr">
        <is>
          <t>Profile</t>
        </is>
      </c>
      <c r="D308" s="4" t="inlineStr">
        <is>
          <t>Go Offline</t>
        </is>
      </c>
      <c r="E308" s="4" t="inlineStr">
        <is>
          <t>Go Offline/Online</t>
        </is>
      </c>
      <c r="F308" s="4" t="inlineStr">
        <is>
          <t>1. Toggle online status
2. When offline, not receive orders
3. Toggle back online
4. Start receiving orders</t>
        </is>
      </c>
      <c r="G308" s="13" t="inlineStr">
        <is>
          <t>https://nutrio.me/driver/profile</t>
        </is>
      </c>
      <c r="H308" s="4" t="inlineStr">
        <is>
          <t>Online/offline status toggles correctly</t>
        </is>
      </c>
      <c r="I308" s="4">
        <f>IF(I308="","",IF(I308=G308,"PASS","FAIL"))</f>
        <v/>
      </c>
      <c r="J308" s="4" t="n"/>
      <c r="K308" s="4" t="n"/>
      <c r="L308" s="7" t="inlineStr">
        <is>
          <t>Critical</t>
        </is>
      </c>
      <c r="M308" s="4" t="n"/>
    </row>
    <row r="309" ht="75" customHeight="1" s="16">
      <c r="A309" s="4" t="inlineStr">
        <is>
          <t>TC251</t>
        </is>
      </c>
      <c r="B309" s="4" t="inlineStr">
        <is>
          <t>Driver</t>
        </is>
      </c>
      <c r="C309" s="4" t="inlineStr">
        <is>
          <t>Support</t>
        </is>
      </c>
      <c r="D309" s="4" t="inlineStr">
        <is>
          <t>Contact Support</t>
        </is>
      </c>
      <c r="E309" s="4" t="inlineStr">
        <is>
          <t>Contact Support from App</t>
        </is>
      </c>
      <c r="F309" s="4" t="inlineStr">
        <is>
          <t>1. Go to support
2. Select issue type
3. Describe issue
4. Attach photo if needed
5. Submit</t>
        </is>
      </c>
      <c r="G309" s="13" t="inlineStr">
        <is>
          <t>https://nutrio.me/driver/support</t>
        </is>
      </c>
      <c r="H309" s="4" t="inlineStr">
        <is>
          <t>Support ticket created</t>
        </is>
      </c>
      <c r="I309" s="4">
        <f>IF(I309="","",IF(I309=G309,"PASS","FAIL"))</f>
        <v/>
      </c>
      <c r="J309" s="4" t="n"/>
      <c r="K309" s="4" t="n"/>
      <c r="L309" s="5" t="inlineStr">
        <is>
          <t>High</t>
        </is>
      </c>
      <c r="M309" s="4" t="n"/>
    </row>
    <row r="310" ht="60" customHeight="1" s="16">
      <c r="A310" s="4" t="inlineStr">
        <is>
          <t>TC252</t>
        </is>
      </c>
      <c r="B310" s="4" t="inlineStr">
        <is>
          <t>Driver</t>
        </is>
      </c>
      <c r="C310" s="4" t="inlineStr">
        <is>
          <t>Support</t>
        </is>
      </c>
      <c r="D310" s="4" t="inlineStr">
        <is>
          <t>Emergency Button</t>
        </is>
      </c>
      <c r="E310" s="4" t="inlineStr">
        <is>
          <t>Use Emergency Button</t>
        </is>
      </c>
      <c r="F310" s="4" t="inlineStr">
        <is>
          <t>1. Click emergency
2. Select emergency type
3. Confirm
4. Support contacted immediately</t>
        </is>
      </c>
      <c r="G310" s="13" t="inlineStr">
        <is>
          <t>https://nutrio.me/driver/support</t>
        </is>
      </c>
      <c r="H310" s="4" t="inlineStr">
        <is>
          <t>Emergency alert sent to support</t>
        </is>
      </c>
      <c r="I310" s="4">
        <f>IF(I310="","",IF(I310=G310,"PASS","FAIL"))</f>
        <v/>
      </c>
      <c r="J310" s="4" t="n"/>
      <c r="K310" s="4" t="n"/>
      <c r="L310" s="7" t="inlineStr">
        <is>
          <t>Critical</t>
        </is>
      </c>
      <c r="M310" s="4" t="n"/>
    </row>
    <row r="311" ht="75" customHeight="1" s="16">
      <c r="A311" s="4" t="inlineStr">
        <is>
          <t>TC253</t>
        </is>
      </c>
      <c r="B311" s="4" t="inlineStr">
        <is>
          <t>Admin</t>
        </is>
      </c>
      <c r="C311" s="4" t="inlineStr">
        <is>
          <t>Restaurants</t>
        </is>
      </c>
      <c r="D311" s="4" t="inlineStr">
        <is>
          <t>Review Application</t>
        </is>
      </c>
      <c r="E311" s="4" t="inlineStr">
        <is>
          <t>Review Restaurant Application Details</t>
        </is>
      </c>
      <c r="F311" s="4" t="inlineStr">
        <is>
          <t>1. Open pending application
2. View all 5 steps data
3. Check documents
4. Verify bank details
5. Review photos</t>
        </is>
      </c>
      <c r="G311" s="13" t="inlineStr">
        <is>
          <t>https://nutrio.me/admin/restaurants/[id]</t>
        </is>
      </c>
      <c r="H311" s="4" t="inlineStr">
        <is>
          <t>Complete application data displayed</t>
        </is>
      </c>
      <c r="I311" s="4">
        <f>IF(I311="","",IF(I311=G311,"PASS","FAIL"))</f>
        <v/>
      </c>
      <c r="J311" s="4" t="n"/>
      <c r="K311" s="4" t="n"/>
      <c r="L311" s="7" t="inlineStr">
        <is>
          <t>Critical</t>
        </is>
      </c>
      <c r="M311" s="4" t="n"/>
    </row>
    <row r="312" ht="75" customHeight="1" s="16">
      <c r="A312" s="4" t="inlineStr">
        <is>
          <t>TC254</t>
        </is>
      </c>
      <c r="B312" s="4" t="inlineStr">
        <is>
          <t>Admin</t>
        </is>
      </c>
      <c r="C312" s="4" t="inlineStr">
        <is>
          <t>Restaurants</t>
        </is>
      </c>
      <c r="D312" s="4" t="inlineStr">
        <is>
          <t>Request More Info</t>
        </is>
      </c>
      <c r="E312" s="4" t="inlineStr">
        <is>
          <t>Request Additional Information</t>
        </is>
      </c>
      <c r="F312" s="4" t="inlineStr">
        <is>
          <t>1. Review application
2. Click Request Info
3. Specify what's needed
4. Send request
5. Restaurant notified</t>
        </is>
      </c>
      <c r="G312" s="13" t="inlineStr">
        <is>
          <t>https://nutrio.me/admin/restaurants/new</t>
        </is>
      </c>
      <c r="H312" s="4" t="inlineStr">
        <is>
          <t>Request sent to restaurant</t>
        </is>
      </c>
      <c r="I312" s="4">
        <f>IF(I312="","",IF(I312=G312,"PASS","FAIL"))</f>
        <v/>
      </c>
      <c r="J312" s="4" t="n"/>
      <c r="K312" s="4" t="n"/>
      <c r="L312" s="6" t="inlineStr">
        <is>
          <t>Medium</t>
        </is>
      </c>
      <c r="M312" s="4" t="n"/>
    </row>
    <row r="313" ht="75" customHeight="1" s="16">
      <c r="A313" s="4" t="inlineStr">
        <is>
          <t>TC255</t>
        </is>
      </c>
      <c r="B313" s="4" t="inlineStr">
        <is>
          <t>Admin</t>
        </is>
      </c>
      <c r="C313" s="4" t="inlineStr">
        <is>
          <t>Restaurants</t>
        </is>
      </c>
      <c r="D313" s="4" t="inlineStr">
        <is>
          <t>Approve with Custom Payout</t>
        </is>
      </c>
      <c r="E313" s="4" t="inlineStr">
        <is>
          <t>Approve with Custom Payout Rate</t>
        </is>
      </c>
      <c r="F313" s="4" t="inlineStr">
        <is>
          <t>1. Review application
2. Set custom payout rate
3. Add internal notes
4. Click Approve
5. Restaurant notified</t>
        </is>
      </c>
      <c r="G313" s="13" t="inlineStr">
        <is>
          <t>https://nutrio.me/admin/restaurants</t>
        </is>
      </c>
      <c r="H313" s="4" t="inlineStr">
        <is>
          <t>Approved with custom payout rate</t>
        </is>
      </c>
      <c r="I313" s="4">
        <f>IF(I313="","",IF(I313=G313,"PASS","FAIL"))</f>
        <v/>
      </c>
      <c r="J313" s="4" t="n"/>
      <c r="K313" s="4" t="n"/>
      <c r="L313" s="7" t="inlineStr">
        <is>
          <t>Critical</t>
        </is>
      </c>
      <c r="M313" s="4" t="n"/>
    </row>
    <row r="314" ht="75" customHeight="1" s="16">
      <c r="A314" s="4" t="inlineStr">
        <is>
          <t>TC256</t>
        </is>
      </c>
      <c r="B314" s="4" t="inlineStr">
        <is>
          <t>Admin</t>
        </is>
      </c>
      <c r="C314" s="4" t="inlineStr">
        <is>
          <t>Restaurants</t>
        </is>
      </c>
      <c r="D314" s="4" t="inlineStr">
        <is>
          <t>Bulk Approve</t>
        </is>
      </c>
      <c r="E314" s="4" t="inlineStr">
        <is>
          <t>Bulk Approve Multiple Restaurants</t>
        </is>
      </c>
      <c r="F314" s="4" t="inlineStr">
        <is>
          <t>1. Select multiple pending
2. Click Bulk Approve
3. Set default payout
4. Confirm
5. All approved</t>
        </is>
      </c>
      <c r="G314" s="13" t="inlineStr">
        <is>
          <t>https://nutrio.me/admin/restaurants</t>
        </is>
      </c>
      <c r="H314" s="4" t="inlineStr">
        <is>
          <t>All selected restaurants approved</t>
        </is>
      </c>
      <c r="I314" s="4">
        <f>IF(I314="","",IF(I314=G314,"PASS","FAIL"))</f>
        <v/>
      </c>
      <c r="J314" s="4" t="n"/>
      <c r="K314" s="4" t="n"/>
      <c r="L314" s="4" t="inlineStr">
        <is>
          <t>Low</t>
        </is>
      </c>
      <c r="M314" s="4" t="n"/>
    </row>
    <row r="315" ht="75" customHeight="1" s="16">
      <c r="A315" s="4" t="inlineStr">
        <is>
          <t>TC257</t>
        </is>
      </c>
      <c r="B315" s="4" t="inlineStr">
        <is>
          <t>Admin</t>
        </is>
      </c>
      <c r="C315" s="4" t="inlineStr">
        <is>
          <t>Restaurants</t>
        </is>
      </c>
      <c r="D315" s="4" t="inlineStr">
        <is>
          <t>Restaurant Performance</t>
        </is>
      </c>
      <c r="E315" s="4" t="inlineStr">
        <is>
          <t>View Detailed Restaurant Performance</t>
        </is>
      </c>
      <c r="F315" s="4" t="inlineStr">
        <is>
          <t>1. Open restaurant
2. View orders trend
3. View earnings trend
4. Check rating history
5. Compare with average</t>
        </is>
      </c>
      <c r="G315" s="13" t="inlineStr">
        <is>
          <t>https://nutrio.me/admin/restaurants/[id]</t>
        </is>
      </c>
      <c r="H315" s="4" t="inlineStr">
        <is>
          <t>Detailed performance metrics displayed</t>
        </is>
      </c>
      <c r="I315" s="4">
        <f>IF(I315="","",IF(I315=G315,"PASS","FAIL"))</f>
        <v/>
      </c>
      <c r="J315" s="4" t="n"/>
      <c r="K315" s="4" t="n"/>
      <c r="L315" s="6" t="inlineStr">
        <is>
          <t>Medium</t>
        </is>
      </c>
      <c r="M315" s="4" t="n"/>
    </row>
    <row r="316" ht="75" customHeight="1" s="16">
      <c r="A316" s="4" t="inlineStr">
        <is>
          <t>TC258</t>
        </is>
      </c>
      <c r="B316" s="4" t="inlineStr">
        <is>
          <t>Admin</t>
        </is>
      </c>
      <c r="C316" s="4" t="inlineStr">
        <is>
          <t>Payouts</t>
        </is>
      </c>
      <c r="D316" s="4" t="inlineStr">
        <is>
          <t>Calculate Payouts</t>
        </is>
      </c>
      <c r="E316" s="4" t="inlineStr">
        <is>
          <t>Calculate Weekly Payouts</t>
        </is>
      </c>
      <c r="F316" s="4" t="inlineStr">
        <is>
          <t>1. Go to payouts
2. Select week
3. Click Calculate
4. Review all calculations
5. Check for discrepancies</t>
        </is>
      </c>
      <c r="G316" s="13" t="inlineStr">
        <is>
          <t>https://nutrio.me/admin/payouts</t>
        </is>
      </c>
      <c r="H316" s="4" t="inlineStr">
        <is>
          <t>Payouts calculated for all restaurants</t>
        </is>
      </c>
      <c r="I316" s="4">
        <f>IF(I316="","",IF(I316=G316,"PASS","FAIL"))</f>
        <v/>
      </c>
      <c r="J316" s="4" t="n"/>
      <c r="K316" s="4" t="n"/>
      <c r="L316" s="7" t="inlineStr">
        <is>
          <t>Critical</t>
        </is>
      </c>
      <c r="M316" s="4" t="n"/>
    </row>
    <row r="317" ht="75" customHeight="1" s="16">
      <c r="A317" s="4" t="inlineStr">
        <is>
          <t>TC259</t>
        </is>
      </c>
      <c r="B317" s="4" t="inlineStr">
        <is>
          <t>Admin</t>
        </is>
      </c>
      <c r="C317" s="4" t="inlineStr">
        <is>
          <t>Payouts</t>
        </is>
      </c>
      <c r="D317" s="4" t="inlineStr">
        <is>
          <t>Preview Payouts</t>
        </is>
      </c>
      <c r="E317" s="4" t="inlineStr">
        <is>
          <t>Preview Before Processing</t>
        </is>
      </c>
      <c r="F317" s="4" t="inlineStr">
        <is>
          <t>1. Calculate payouts
2. Click Preview
3. Review each restaurant
4. Check amounts
5. Verify accuracy</t>
        </is>
      </c>
      <c r="G317" s="13" t="inlineStr">
        <is>
          <t>https://nutrio.me/admin/payouts/[id]</t>
        </is>
      </c>
      <c r="H317" s="4" t="inlineStr">
        <is>
          <t>Preview displayed with all details</t>
        </is>
      </c>
      <c r="I317" s="4">
        <f>IF(I317="","",IF(I317=G317,"PASS","FAIL"))</f>
        <v/>
      </c>
      <c r="J317" s="4" t="n"/>
      <c r="K317" s="4" t="n"/>
      <c r="L317" s="5" t="inlineStr">
        <is>
          <t>High</t>
        </is>
      </c>
      <c r="M317" s="4" t="n"/>
    </row>
    <row r="318" ht="75" customHeight="1" s="16">
      <c r="A318" s="4" t="inlineStr">
        <is>
          <t>TC260</t>
        </is>
      </c>
      <c r="B318" s="4" t="inlineStr">
        <is>
          <t>Admin</t>
        </is>
      </c>
      <c r="C318" s="4" t="inlineStr">
        <is>
          <t>Payouts</t>
        </is>
      </c>
      <c r="D318" s="4" t="inlineStr">
        <is>
          <t>Process Individual</t>
        </is>
      </c>
      <c r="E318" s="4" t="inlineStr">
        <is>
          <t>Process Individual Payout</t>
        </is>
      </c>
      <c r="F318" s="4" t="inlineStr">
        <is>
          <t>1. Find specific restaurant
2. Click Process
3. Confirm amount
4. Mark as paid
5. Generate receipt</t>
        </is>
      </c>
      <c r="G318" s="13" t="inlineStr">
        <is>
          <t>https://nutrio.me/admin/payouts</t>
        </is>
      </c>
      <c r="H318" s="4" t="inlineStr">
        <is>
          <t>Individual payout processed</t>
        </is>
      </c>
      <c r="I318" s="4">
        <f>IF(I318="","",IF(I318=G318,"PASS","FAIL"))</f>
        <v/>
      </c>
      <c r="J318" s="4" t="n"/>
      <c r="K318" s="4" t="n"/>
      <c r="L318" s="6" t="inlineStr">
        <is>
          <t>Medium</t>
        </is>
      </c>
      <c r="M318" s="4" t="n"/>
    </row>
    <row r="319" ht="75" customHeight="1" s="16">
      <c r="A319" s="4" t="inlineStr">
        <is>
          <t>TC261</t>
        </is>
      </c>
      <c r="B319" s="4" t="inlineStr">
        <is>
          <t>Admin</t>
        </is>
      </c>
      <c r="C319" s="4" t="inlineStr">
        <is>
          <t>Payouts</t>
        </is>
      </c>
      <c r="D319" s="4" t="inlineStr">
        <is>
          <t>Export Payout Data</t>
        </is>
      </c>
      <c r="E319" s="4" t="inlineStr">
        <is>
          <t>Export Payout Data for Accounting</t>
        </is>
      </c>
      <c r="F319" s="4" t="inlineStr">
        <is>
          <t>1. Select date range
2. Click Export
3. Choose format (Excel/PDF)
4. Download
5. Verify data integrity</t>
        </is>
      </c>
      <c r="G319" s="13" t="inlineStr">
        <is>
          <t>https://nutrio.me/admin/payouts</t>
        </is>
      </c>
      <c r="H319" s="4" t="inlineStr">
        <is>
          <t>Payout data exported</t>
        </is>
      </c>
      <c r="I319" s="4">
        <f>IF(I319="","",IF(I319=G319,"PASS","FAIL"))</f>
        <v/>
      </c>
      <c r="J319" s="4" t="n"/>
      <c r="K319" s="4" t="n"/>
      <c r="L319" s="6" t="inlineStr">
        <is>
          <t>Medium</t>
        </is>
      </c>
      <c r="M319" s="4" t="n"/>
    </row>
    <row r="320" ht="75" customHeight="1" s="16">
      <c r="A320" s="4" t="inlineStr">
        <is>
          <t>TC262</t>
        </is>
      </c>
      <c r="B320" s="4" t="inlineStr">
        <is>
          <t>Admin</t>
        </is>
      </c>
      <c r="C320" s="4" t="inlineStr">
        <is>
          <t>Payouts</t>
        </is>
      </c>
      <c r="D320" s="4" t="inlineStr">
        <is>
          <t>Handle Dispute</t>
        </is>
      </c>
      <c r="E320" s="4" t="inlineStr">
        <is>
          <t>Handle Payout Dispute</t>
        </is>
      </c>
      <c r="F320" s="4" t="inlineStr">
        <is>
          <t>1. Receive dispute
2. Review order details
3. Check calculation
4. Resolve dispute
5. Adjust if needed</t>
        </is>
      </c>
      <c r="G320" s="13" t="inlineStr">
        <is>
          <t>https://nutrio.me/admin/payouts</t>
        </is>
      </c>
      <c r="H320" s="4" t="inlineStr">
        <is>
          <t>Dispute resolved with documentation</t>
        </is>
      </c>
      <c r="I320" s="4">
        <f>IF(I320="","",IF(I320=G320,"PASS","FAIL"))</f>
        <v/>
      </c>
      <c r="J320" s="4" t="n"/>
      <c r="K320" s="4" t="n"/>
      <c r="L320" s="5" t="inlineStr">
        <is>
          <t>High</t>
        </is>
      </c>
      <c r="M320" s="4" t="n"/>
    </row>
    <row r="321" ht="75" customHeight="1" s="16">
      <c r="A321" s="4" t="inlineStr">
        <is>
          <t>TC263</t>
        </is>
      </c>
      <c r="B321" s="4" t="inlineStr">
        <is>
          <t>Admin</t>
        </is>
      </c>
      <c r="C321" s="4" t="inlineStr">
        <is>
          <t>Users</t>
        </is>
      </c>
      <c r="D321" s="4" t="inlineStr">
        <is>
          <t>Impersonate User</t>
        </is>
      </c>
      <c r="E321" s="4" t="inlineStr">
        <is>
          <t>Impersonate Customer Account</t>
        </is>
      </c>
      <c r="F321" s="4" t="inlineStr">
        <is>
          <t>1. Find user
2. Click Impersonate
3. View app as user
4. Debug issues
5. Exit impersonation</t>
        </is>
      </c>
      <c r="G321" s="13" t="inlineStr">
        <is>
          <t>https://nutrio.me/admin/users</t>
        </is>
      </c>
      <c r="H321" s="4" t="inlineStr">
        <is>
          <t>Logged in as user, can view their experience</t>
        </is>
      </c>
      <c r="I321" s="4">
        <f>IF(I321="","",IF(I321=G321,"PASS","FAIL"))</f>
        <v/>
      </c>
      <c r="J321" s="4" t="n"/>
      <c r="K321" s="4" t="n"/>
      <c r="L321" s="6" t="inlineStr">
        <is>
          <t>Medium</t>
        </is>
      </c>
      <c r="M321" s="4" t="n"/>
    </row>
    <row r="322" ht="75" customHeight="1" s="16">
      <c r="A322" s="4" t="inlineStr">
        <is>
          <t>TC264</t>
        </is>
      </c>
      <c r="B322" s="4" t="inlineStr">
        <is>
          <t>Admin</t>
        </is>
      </c>
      <c r="C322" s="4" t="inlineStr">
        <is>
          <t>Users</t>
        </is>
      </c>
      <c r="D322" s="4" t="inlineStr">
        <is>
          <t>Reset User Password</t>
        </is>
      </c>
      <c r="E322" s="4" t="inlineStr">
        <is>
          <t>Reset User Password</t>
        </is>
      </c>
      <c r="F322" s="4" t="inlineStr">
        <is>
          <t>1. Find user
2. Click Reset Password
3. Generate temp password
4. Send to user
5. Force change on login</t>
        </is>
      </c>
      <c r="G322" s="13" t="inlineStr">
        <is>
          <t>https://nutrio.me/admin/users</t>
        </is>
      </c>
      <c r="H322" s="4" t="inlineStr">
        <is>
          <t>Password reset, user notified</t>
        </is>
      </c>
      <c r="I322" s="4">
        <f>IF(I322="","",IF(I322=G322,"PASS","FAIL"))</f>
        <v/>
      </c>
      <c r="J322" s="4" t="n"/>
      <c r="K322" s="4" t="n"/>
      <c r="L322" s="5" t="inlineStr">
        <is>
          <t>High</t>
        </is>
      </c>
      <c r="M322" s="4" t="n"/>
    </row>
    <row r="323" ht="75" customHeight="1" s="16">
      <c r="A323" s="4" t="inlineStr">
        <is>
          <t>TC265</t>
        </is>
      </c>
      <c r="B323" s="4" t="inlineStr">
        <is>
          <t>Admin</t>
        </is>
      </c>
      <c r="C323" s="4" t="inlineStr">
        <is>
          <t>Users</t>
        </is>
      </c>
      <c r="D323" s="4" t="inlineStr">
        <is>
          <t>View User Activity</t>
        </is>
      </c>
      <c r="E323" s="4" t="inlineStr">
        <is>
          <t>View Complete User Activity Log</t>
        </is>
      </c>
      <c r="F323" s="4" t="inlineStr">
        <is>
          <t>1. Open user
2. Click Activity Log
3. View all actions
4. Filter by date
5. Export log</t>
        </is>
      </c>
      <c r="G323" s="13" t="inlineStr">
        <is>
          <t>https://nutrio.me/admin/users/[id]</t>
        </is>
      </c>
      <c r="H323" s="4" t="inlineStr">
        <is>
          <t>Complete activity history displayed</t>
        </is>
      </c>
      <c r="I323" s="4">
        <f>IF(I323="","",IF(I323=G323,"PASS","FAIL"))</f>
        <v/>
      </c>
      <c r="J323" s="4" t="n"/>
      <c r="K323" s="4" t="n"/>
      <c r="L323" s="6" t="inlineStr">
        <is>
          <t>Medium</t>
        </is>
      </c>
      <c r="M323" s="4" t="n"/>
    </row>
    <row r="324" ht="75" customHeight="1" s="16">
      <c r="A324" s="4" t="inlineStr">
        <is>
          <t>TC266</t>
        </is>
      </c>
      <c r="B324" s="4" t="inlineStr">
        <is>
          <t>Admin</t>
        </is>
      </c>
      <c r="C324" s="4" t="inlineStr">
        <is>
          <t>Content</t>
        </is>
      </c>
      <c r="D324" s="4" t="inlineStr">
        <is>
          <t>Bulk Edit Meals</t>
        </is>
      </c>
      <c r="E324" s="4" t="inlineStr">
        <is>
          <t>Bulk Edit Multiple Meals</t>
        </is>
      </c>
      <c r="F324" s="4" t="inlineStr">
        <is>
          <t>1. Select multiple meals
2. Click Bulk Edit
3. Change common field
4. Apply to all
5. Verify changes</t>
        </is>
      </c>
      <c r="G324" s="13" t="inlineStr">
        <is>
          <t>https://nutrio.me/admin/content/[id]/edit</t>
        </is>
      </c>
      <c r="H324" s="4" t="inlineStr">
        <is>
          <t>All selected meals updated</t>
        </is>
      </c>
      <c r="I324" s="4">
        <f>IF(I324="","",IF(I324=G324,"PASS","FAIL"))</f>
        <v/>
      </c>
      <c r="J324" s="4" t="n"/>
      <c r="K324" s="4" t="n"/>
      <c r="L324" s="4" t="inlineStr">
        <is>
          <t>Low</t>
        </is>
      </c>
      <c r="M324" s="4" t="n"/>
    </row>
    <row r="325" ht="75" customHeight="1" s="16">
      <c r="A325" s="4" t="inlineStr">
        <is>
          <t>TC267</t>
        </is>
      </c>
      <c r="B325" s="4" t="inlineStr">
        <is>
          <t>Admin</t>
        </is>
      </c>
      <c r="C325" s="4" t="inlineStr">
        <is>
          <t>Content</t>
        </is>
      </c>
      <c r="D325" s="4" t="inlineStr">
        <is>
          <t>Moderate Reviews</t>
        </is>
      </c>
      <c r="E325" s="4" t="inlineStr">
        <is>
          <t>Moderate Customer Reviews</t>
        </is>
      </c>
      <c r="F325" s="4" t="inlineStr">
        <is>
          <t>1. Go to reviews
2. Filter inappropriate
3. Review content
4. Approve or remove
5. Notify if removed</t>
        </is>
      </c>
      <c r="G325" s="13" t="inlineStr">
        <is>
          <t>https://nutrio.me/admin/content/[id]</t>
        </is>
      </c>
      <c r="H325" s="4" t="inlineStr">
        <is>
          <t>Review moderated</t>
        </is>
      </c>
      <c r="I325" s="4">
        <f>IF(I325="","",IF(I325=G325,"PASS","FAIL"))</f>
        <v/>
      </c>
      <c r="J325" s="4" t="n"/>
      <c r="K325" s="4" t="n"/>
      <c r="L325" s="6" t="inlineStr">
        <is>
          <t>Medium</t>
        </is>
      </c>
      <c r="M325" s="4" t="n"/>
    </row>
    <row r="326" ht="90" customHeight="1" s="16">
      <c r="A326" s="4" t="inlineStr">
        <is>
          <t>TC268</t>
        </is>
      </c>
      <c r="B326" s="4" t="inlineStr">
        <is>
          <t>Admin</t>
        </is>
      </c>
      <c r="C326" s="4" t="inlineStr">
        <is>
          <t>Content</t>
        </is>
      </c>
      <c r="D326" s="4" t="inlineStr">
        <is>
          <t>Create Promo</t>
        </is>
      </c>
      <c r="E326" s="4" t="inlineStr">
        <is>
          <t>Create Promotional Banner</t>
        </is>
      </c>
      <c r="F326" s="4" t="inlineStr">
        <is>
          <t>1. Go to content
2. Click Banners
3. Upload image
4. Set link
5. Set dates
6. Publish</t>
        </is>
      </c>
      <c r="G326" s="13" t="inlineStr">
        <is>
          <t>https://nutrio.me/admin/content/new</t>
        </is>
      </c>
      <c r="H326" s="4" t="inlineStr">
        <is>
          <t>Banner live on app</t>
        </is>
      </c>
      <c r="I326" s="4">
        <f>IF(I326="","",IF(I326=G326,"PASS","FAIL"))</f>
        <v/>
      </c>
      <c r="J326" s="4" t="n"/>
      <c r="K326" s="4" t="n"/>
      <c r="L326" s="4" t="inlineStr">
        <is>
          <t>Low</t>
        </is>
      </c>
      <c r="M326" s="4" t="n"/>
    </row>
    <row r="327" ht="75" customHeight="1" s="16">
      <c r="A327" s="4" t="inlineStr">
        <is>
          <t>TC269</t>
        </is>
      </c>
      <c r="B327" s="4" t="inlineStr">
        <is>
          <t>Admin</t>
        </is>
      </c>
      <c r="C327" s="4" t="inlineStr">
        <is>
          <t>Content</t>
        </is>
      </c>
      <c r="D327" s="4" t="inlineStr">
        <is>
          <t>Diet Tags Management</t>
        </is>
      </c>
      <c r="E327" s="4" t="inlineStr">
        <is>
          <t>Manage Dietary Tags</t>
        </is>
      </c>
      <c r="F327" s="4" t="inlineStr">
        <is>
          <t>1. Go to diet tags
2. Add new tag
3. Edit existing
4. Delete unused
5. Reorder list</t>
        </is>
      </c>
      <c r="G327" s="13" t="inlineStr">
        <is>
          <t>https://nutrio.me/admin/content</t>
        </is>
      </c>
      <c r="H327" s="4" t="inlineStr">
        <is>
          <t>Tags updated system-wide</t>
        </is>
      </c>
      <c r="I327" s="4">
        <f>IF(I327="","",IF(I327=G327,"PASS","FAIL"))</f>
        <v/>
      </c>
      <c r="J327" s="4" t="n"/>
      <c r="K327" s="4" t="n"/>
      <c r="L327" s="4" t="inlineStr">
        <is>
          <t>Low</t>
        </is>
      </c>
      <c r="M327" s="4" t="n"/>
    </row>
    <row r="328" ht="75" customHeight="1" s="16">
      <c r="A328" s="4" t="inlineStr">
        <is>
          <t>TC270</t>
        </is>
      </c>
      <c r="B328" s="4" t="inlineStr">
        <is>
          <t>Admin</t>
        </is>
      </c>
      <c r="C328" s="4" t="inlineStr">
        <is>
          <t>Analytics</t>
        </is>
      </c>
      <c r="D328" s="4" t="inlineStr">
        <is>
          <t>Revenue Trends</t>
        </is>
      </c>
      <c r="E328" s="4" t="inlineStr">
        <is>
          <t>View Revenue Trends</t>
        </is>
      </c>
      <c r="F328" s="4" t="inlineStr">
        <is>
          <t>1. Go to analytics
2. Select date range
3. View revenue chart
4. Compare periods
5. Export data</t>
        </is>
      </c>
      <c r="G328" s="13" t="inlineStr">
        <is>
          <t>https://nutrio.me/admin/analytics/[id]</t>
        </is>
      </c>
      <c r="H328" s="4" t="inlineStr">
        <is>
          <t>Revenue trends displayed</t>
        </is>
      </c>
      <c r="I328" s="4">
        <f>IF(I328="","",IF(I328=G328,"PASS","FAIL"))</f>
        <v/>
      </c>
      <c r="J328" s="4" t="n"/>
      <c r="K328" s="4" t="n"/>
      <c r="L328" s="6" t="inlineStr">
        <is>
          <t>Medium</t>
        </is>
      </c>
      <c r="M328" s="4" t="n"/>
    </row>
    <row r="329" ht="75" customHeight="1" s="16">
      <c r="A329" s="4" t="inlineStr">
        <is>
          <t>TC271</t>
        </is>
      </c>
      <c r="B329" s="4" t="inlineStr">
        <is>
          <t>Admin</t>
        </is>
      </c>
      <c r="C329" s="4" t="inlineStr">
        <is>
          <t>Analytics</t>
        </is>
      </c>
      <c r="D329" s="4" t="inlineStr">
        <is>
          <t>Customer Retention</t>
        </is>
      </c>
      <c r="E329" s="4" t="inlineStr">
        <is>
          <t>View Customer Retention Metrics</t>
        </is>
      </c>
      <c r="F329" s="4" t="inlineStr">
        <is>
          <t>1. Go to analytics
2. Click Retention
3. View cohort analysis
4. Check churn rate
5. Identify trends</t>
        </is>
      </c>
      <c r="G329" s="13" t="inlineStr">
        <is>
          <t>https://nutrio.me/admin/analytics/[id]</t>
        </is>
      </c>
      <c r="H329" s="4" t="inlineStr">
        <is>
          <t>Retention metrics displayed</t>
        </is>
      </c>
      <c r="I329" s="4">
        <f>IF(I329="","",IF(I329=G329,"PASS","FAIL"))</f>
        <v/>
      </c>
      <c r="J329" s="4" t="n"/>
      <c r="K329" s="4" t="n"/>
      <c r="L329" s="6" t="inlineStr">
        <is>
          <t>Medium</t>
        </is>
      </c>
      <c r="M329" s="4" t="n"/>
    </row>
    <row r="330" ht="75" customHeight="1" s="16">
      <c r="A330" s="4" t="inlineStr">
        <is>
          <t>TC272</t>
        </is>
      </c>
      <c r="B330" s="4" t="inlineStr">
        <is>
          <t>Admin</t>
        </is>
      </c>
      <c r="C330" s="4" t="inlineStr">
        <is>
          <t>Analytics</t>
        </is>
      </c>
      <c r="D330" s="4" t="inlineStr">
        <is>
          <t>Peak Hours</t>
        </is>
      </c>
      <c r="E330" s="4" t="inlineStr">
        <is>
          <t>View Peak Order Hours</t>
        </is>
      </c>
      <c r="F330" s="4" t="inlineStr">
        <is>
          <t>1. Go to analytics
2. Click Peak Hours
3. View heatmap
4. Identify busy times
5. Plan capacity</t>
        </is>
      </c>
      <c r="G330" s="13" t="inlineStr">
        <is>
          <t>https://nutrio.me/admin/analytics/[id]</t>
        </is>
      </c>
      <c r="H330" s="4" t="inlineStr">
        <is>
          <t>Peak hours heatmap displayed</t>
        </is>
      </c>
      <c r="I330" s="4">
        <f>IF(I330="","",IF(I330=G330,"PASS","FAIL"))</f>
        <v/>
      </c>
      <c r="J330" s="4" t="n"/>
      <c r="K330" s="4" t="n"/>
      <c r="L330" s="6" t="inlineStr">
        <is>
          <t>Medium</t>
        </is>
      </c>
      <c r="M330" s="4" t="n"/>
    </row>
    <row r="331" ht="75" customHeight="1" s="16">
      <c r="A331" s="4" t="inlineStr">
        <is>
          <t>TC273</t>
        </is>
      </c>
      <c r="B331" s="4" t="inlineStr">
        <is>
          <t>Admin</t>
        </is>
      </c>
      <c r="C331" s="4" t="inlineStr">
        <is>
          <t>Analytics</t>
        </is>
      </c>
      <c r="D331" s="4" t="inlineStr">
        <is>
          <t>Export Full Report</t>
        </is>
      </c>
      <c r="E331" s="4" t="inlineStr">
        <is>
          <t>Export Complete Analytics Report</t>
        </is>
      </c>
      <c r="F331" s="4" t="inlineStr">
        <is>
          <t>1. Go to analytics
2. Select all metrics
3. Choose date range
4. Click Export
5. Download comprehensive PDF</t>
        </is>
      </c>
      <c r="G331" s="13" t="inlineStr">
        <is>
          <t>https://nutrio.me/admin/analytics</t>
        </is>
      </c>
      <c r="H331" s="4" t="inlineStr">
        <is>
          <t>Full analytics report exported</t>
        </is>
      </c>
      <c r="I331" s="4">
        <f>IF(I331="","",IF(I331=G331,"PASS","FAIL"))</f>
        <v/>
      </c>
      <c r="J331" s="4" t="n"/>
      <c r="K331" s="4" t="n"/>
      <c r="L331" s="4" t="inlineStr">
        <is>
          <t>Low</t>
        </is>
      </c>
      <c r="M331" s="4" t="n"/>
    </row>
    <row r="332" ht="75" customHeight="1" s="16">
      <c r="A332" s="4" t="inlineStr">
        <is>
          <t>TC274</t>
        </is>
      </c>
      <c r="B332" s="4" t="inlineStr">
        <is>
          <t>Admin</t>
        </is>
      </c>
      <c r="C332" s="4" t="inlineStr">
        <is>
          <t>Settings</t>
        </is>
      </c>
      <c r="D332" s="4" t="inlineStr">
        <is>
          <t>Configure Sadad</t>
        </is>
      </c>
      <c r="E332" s="4" t="inlineStr">
        <is>
          <t>Configure Sadad Payment Gateway</t>
        </is>
      </c>
      <c r="F332" s="4" t="inlineStr">
        <is>
          <t>1. Go to payment settings
2. Enter Sadad credentials
3. Test connection
4. Set webhook
5. Save config</t>
        </is>
      </c>
      <c r="G332" s="13" t="inlineStr">
        <is>
          <t>https://nutrio.me/admin/settings</t>
        </is>
      </c>
      <c r="H332" s="4" t="inlineStr">
        <is>
          <t>Sadad configured and tested</t>
        </is>
      </c>
      <c r="I332" s="4">
        <f>IF(I332="","",IF(I332=G332,"PASS","FAIL"))</f>
        <v/>
      </c>
      <c r="J332" s="4" t="n"/>
      <c r="K332" s="4" t="n"/>
      <c r="L332" s="7" t="inlineStr">
        <is>
          <t>Critical</t>
        </is>
      </c>
      <c r="M332" s="4" t="n"/>
    </row>
    <row r="333" ht="75" customHeight="1" s="16">
      <c r="A333" s="4" t="inlineStr">
        <is>
          <t>TC275</t>
        </is>
      </c>
      <c r="B333" s="4" t="inlineStr">
        <is>
          <t>Admin</t>
        </is>
      </c>
      <c r="C333" s="4" t="inlineStr">
        <is>
          <t>Settings</t>
        </is>
      </c>
      <c r="D333" s="4" t="inlineStr">
        <is>
          <t>Notification Templates</t>
        </is>
      </c>
      <c r="E333" s="4" t="inlineStr">
        <is>
          <t>Edit Notification Templates</t>
        </is>
      </c>
      <c r="F333" s="4" t="inlineStr">
        <is>
          <t>1. Go to notifications
2. Select template
3. Edit message
4. Add variables
5. Save template</t>
        </is>
      </c>
      <c r="G333" s="13" t="inlineStr">
        <is>
          <t>https://nutrio.me/admin/settings/[id]/edit</t>
        </is>
      </c>
      <c r="H333" s="4" t="inlineStr">
        <is>
          <t>Template updated</t>
        </is>
      </c>
      <c r="I333" s="4">
        <f>IF(I333="","",IF(I333=G333,"PASS","FAIL"))</f>
        <v/>
      </c>
      <c r="J333" s="4" t="n"/>
      <c r="K333" s="4" t="n"/>
      <c r="L333" s="4" t="inlineStr">
        <is>
          <t>Low</t>
        </is>
      </c>
      <c r="M333" s="4" t="n"/>
    </row>
    <row r="334" ht="75" customHeight="1" s="16">
      <c r="A334" s="4" t="inlineStr">
        <is>
          <t>TC276</t>
        </is>
      </c>
      <c r="B334" s="4" t="inlineStr">
        <is>
          <t>Admin</t>
        </is>
      </c>
      <c r="C334" s="4" t="inlineStr">
        <is>
          <t>Settings</t>
        </is>
      </c>
      <c r="D334" s="4" t="inlineStr">
        <is>
          <t>Referral Rewards</t>
        </is>
      </c>
      <c r="E334" s="4" t="inlineStr">
        <is>
          <t>Configure Referral Program</t>
        </is>
      </c>
      <c r="F334" s="4" t="inlineStr">
        <is>
          <t>1. Go to referral settings
2. Set referrer reward
3. Set referee reward
4. Set limits
5. Enable/disable</t>
        </is>
      </c>
      <c r="G334" s="13" t="inlineStr">
        <is>
          <t>https://nutrio.me/admin/settings</t>
        </is>
      </c>
      <c r="H334" s="4" t="inlineStr">
        <is>
          <t>Referral settings saved</t>
        </is>
      </c>
      <c r="I334" s="4">
        <f>IF(I334="","",IF(I334=G334,"PASS","FAIL"))</f>
        <v/>
      </c>
      <c r="J334" s="4" t="n"/>
      <c r="K334" s="4" t="n"/>
      <c r="L334" s="6" t="inlineStr">
        <is>
          <t>Medium</t>
        </is>
      </c>
      <c r="M334" s="4" t="n"/>
    </row>
    <row r="335" ht="75" customHeight="1" s="16">
      <c r="A335" s="4" t="inlineStr">
        <is>
          <t>TC277</t>
        </is>
      </c>
      <c r="B335" s="4" t="inlineStr">
        <is>
          <t>Admin</t>
        </is>
      </c>
      <c r="C335" s="4" t="inlineStr">
        <is>
          <t>Settings</t>
        </is>
      </c>
      <c r="D335" s="4" t="inlineStr">
        <is>
          <t>System Maintenance</t>
        </is>
      </c>
      <c r="E335" s="4" t="inlineStr">
        <is>
          <t>Toggle Maintenance Mode</t>
        </is>
      </c>
      <c r="F335" s="4" t="inlineStr">
        <is>
          <t>1. Go to system settings
2. Enable maintenance
3. Set message
4. Save
5. Verify site shows maintenance</t>
        </is>
      </c>
      <c r="G335" s="13" t="inlineStr">
        <is>
          <t>https://nutrio.me/admin/settings</t>
        </is>
      </c>
      <c r="H335" s="4" t="inlineStr">
        <is>
          <t>Maintenance mode activated</t>
        </is>
      </c>
      <c r="I335" s="4">
        <f>IF(I335="","",IF(I335=G335,"PASS","FAIL"))</f>
        <v/>
      </c>
      <c r="J335" s="4" t="n"/>
      <c r="K335" s="4" t="n"/>
      <c r="L335" s="4" t="inlineStr">
        <is>
          <t>Low</t>
        </is>
      </c>
      <c r="M335" s="4" t="n"/>
    </row>
    <row r="336" ht="75" customHeight="1" s="16">
      <c r="A336" s="4" t="inlineStr">
        <is>
          <t>TC278</t>
        </is>
      </c>
      <c r="B336" s="4" t="inlineStr">
        <is>
          <t>System</t>
        </is>
      </c>
      <c r="C336" s="4" t="inlineStr">
        <is>
          <t>Security</t>
        </is>
      </c>
      <c r="D336" s="4" t="inlineStr">
        <is>
          <t>SQL Injection</t>
        </is>
      </c>
      <c r="E336" s="4" t="inlineStr">
        <is>
          <t>Test SQL Injection Protection</t>
        </is>
      </c>
      <c r="F336" s="4" t="inlineStr">
        <is>
          <t>1. Try SQL injection in form fields
2. Enter special characters
3. Submit form
4. Verify blocked
5. Check error handling</t>
        </is>
      </c>
      <c r="G336" s="13" t="inlineStr">
        <is>
          <t>https://nutrio.me/</t>
        </is>
      </c>
      <c r="H336" s="4" t="inlineStr">
        <is>
          <t>Injection attempts blocked</t>
        </is>
      </c>
      <c r="I336" s="4">
        <f>IF(I336="","",IF(I336=G336,"PASS","FAIL"))</f>
        <v/>
      </c>
      <c r="J336" s="4" t="n"/>
      <c r="K336" s="4" t="n"/>
      <c r="L336" s="7" t="inlineStr">
        <is>
          <t>Critical</t>
        </is>
      </c>
      <c r="M336" s="4" t="n"/>
    </row>
    <row r="337" ht="60" customHeight="1" s="16">
      <c r="A337" s="4" t="inlineStr">
        <is>
          <t>TC279</t>
        </is>
      </c>
      <c r="B337" s="4" t="inlineStr">
        <is>
          <t>System</t>
        </is>
      </c>
      <c r="C337" s="4" t="inlineStr">
        <is>
          <t>Security</t>
        </is>
      </c>
      <c r="D337" s="4" t="inlineStr">
        <is>
          <t>XSS Protection</t>
        </is>
      </c>
      <c r="E337" s="4" t="inlineStr">
        <is>
          <t>Test XSS Protection</t>
        </is>
      </c>
      <c r="F337" s="4" t="inlineStr">
        <is>
          <t>1. Enter script tags in inputs
2. Submit form
3. Verify scripts sanitized
4. Check output encoding</t>
        </is>
      </c>
      <c r="G337" s="13" t="inlineStr">
        <is>
          <t>https://nutrio.me/</t>
        </is>
      </c>
      <c r="H337" s="4" t="inlineStr">
        <is>
          <t>XSS attempts blocked/sanitized</t>
        </is>
      </c>
      <c r="I337" s="4">
        <f>IF(I337="","",IF(I337=G337,"PASS","FAIL"))</f>
        <v/>
      </c>
      <c r="J337" s="4" t="n"/>
      <c r="K337" s="4" t="n"/>
      <c r="L337" s="7" t="inlineStr">
        <is>
          <t>Critical</t>
        </is>
      </c>
      <c r="M337" s="4" t="n"/>
    </row>
    <row r="338" ht="75" customHeight="1" s="16">
      <c r="A338" s="4" t="inlineStr">
        <is>
          <t>TC280</t>
        </is>
      </c>
      <c r="B338" s="4" t="inlineStr">
        <is>
          <t>System</t>
        </is>
      </c>
      <c r="C338" s="4" t="inlineStr">
        <is>
          <t>Security</t>
        </is>
      </c>
      <c r="D338" s="4" t="inlineStr">
        <is>
          <t>Brute Force</t>
        </is>
      </c>
      <c r="E338" s="4" t="inlineStr">
        <is>
          <t>Test Brute Force Protection</t>
        </is>
      </c>
      <c r="F338" s="4" t="inlineStr">
        <is>
          <t>1. Attempt multiple wrong passwords
2. Verify account lockout
3. Check rate limiting
4. Verify CAPTCHA shown</t>
        </is>
      </c>
      <c r="G338" s="13" t="inlineStr">
        <is>
          <t>https://nutrio.me/</t>
        </is>
      </c>
      <c r="H338" s="4" t="inlineStr">
        <is>
          <t>Account temporarily locked after failed attempts</t>
        </is>
      </c>
      <c r="I338" s="4">
        <f>IF(I338="","",IF(I338=G338,"PASS","FAIL"))</f>
        <v/>
      </c>
      <c r="J338" s="4" t="n"/>
      <c r="K338" s="4" t="n"/>
      <c r="L338" s="7" t="inlineStr">
        <is>
          <t>Critical</t>
        </is>
      </c>
      <c r="M338" s="4" t="n"/>
    </row>
    <row r="339" ht="75" customHeight="1" s="16">
      <c r="A339" s="4" t="inlineStr">
        <is>
          <t>TC281</t>
        </is>
      </c>
      <c r="B339" s="4" t="inlineStr">
        <is>
          <t>System</t>
        </is>
      </c>
      <c r="C339" s="4" t="inlineStr">
        <is>
          <t>Security</t>
        </is>
      </c>
      <c r="D339" s="4" t="inlineStr">
        <is>
          <t>Session Timeout</t>
        </is>
      </c>
      <c r="E339" s="4" t="inlineStr">
        <is>
          <t>Test Session Timeout</t>
        </is>
      </c>
      <c r="F339" s="4" t="inlineStr">
        <is>
          <t>1. Login
2. Leave idle for 30 mins
3. Try action
4. Verify redirected to login
5. Re-authenticate required</t>
        </is>
      </c>
      <c r="G339" s="13" t="inlineStr">
        <is>
          <t>https://nutrio.me/</t>
        </is>
      </c>
      <c r="H339" s="4" t="inlineStr">
        <is>
          <t>Session expired, login required</t>
        </is>
      </c>
      <c r="I339" s="4">
        <f>IF(I339="","",IF(I339=G339,"PASS","FAIL"))</f>
        <v/>
      </c>
      <c r="J339" s="4" t="n"/>
      <c r="K339" s="4" t="n"/>
      <c r="L339" s="5" t="inlineStr">
        <is>
          <t>High</t>
        </is>
      </c>
      <c r="M339" s="4" t="n"/>
    </row>
    <row r="340" ht="75" customHeight="1" s="16">
      <c r="A340" s="4" t="inlineStr">
        <is>
          <t>TC282</t>
        </is>
      </c>
      <c r="B340" s="4" t="inlineStr">
        <is>
          <t>System</t>
        </is>
      </c>
      <c r="C340" s="4" t="inlineStr">
        <is>
          <t>Performance</t>
        </is>
      </c>
      <c r="D340" s="4" t="inlineStr">
        <is>
          <t>Page Load</t>
        </is>
      </c>
      <c r="E340" s="4" t="inlineStr">
        <is>
          <t>Test Page Load Times</t>
        </is>
      </c>
      <c r="F340" s="4" t="inlineStr">
        <is>
          <t>1. Navigate to key pages
2. Measure load time
3. Check under 3 seconds
4. Test on slow connection
5. Verify optimization</t>
        </is>
      </c>
      <c r="G340" s="13" t="inlineStr">
        <is>
          <t>https://nutrio.me/</t>
        </is>
      </c>
      <c r="H340" s="4" t="inlineStr">
        <is>
          <t>All pages load within acceptable time</t>
        </is>
      </c>
      <c r="I340" s="4">
        <f>IF(I340="","",IF(I340=G340,"PASS","FAIL"))</f>
        <v/>
      </c>
      <c r="J340" s="4" t="n"/>
      <c r="K340" s="4" t="n"/>
      <c r="L340" s="5" t="inlineStr">
        <is>
          <t>High</t>
        </is>
      </c>
      <c r="M340" s="4" t="n"/>
    </row>
    <row r="341" ht="75" customHeight="1" s="16">
      <c r="A341" s="4" t="inlineStr">
        <is>
          <t>TC283</t>
        </is>
      </c>
      <c r="B341" s="4" t="inlineStr">
        <is>
          <t>System</t>
        </is>
      </c>
      <c r="C341" s="4" t="inlineStr">
        <is>
          <t>Performance</t>
        </is>
      </c>
      <c r="D341" s="4" t="inlineStr">
        <is>
          <t>Concurrent Users</t>
        </is>
      </c>
      <c r="E341" s="4" t="inlineStr">
        <is>
          <t>Test with Concurrent Users</t>
        </is>
      </c>
      <c r="F341" s="4" t="inlineStr">
        <is>
          <t>1. Simulate multiple users
2. Place simultaneous orders
3. Check system stability
4. Verify no data corruption
5. Monitor response times</t>
        </is>
      </c>
      <c r="G341" s="13" t="inlineStr">
        <is>
          <t>https://nutrio.me/</t>
        </is>
      </c>
      <c r="H341" s="4" t="inlineStr">
        <is>
          <t>System handles concurrent load</t>
        </is>
      </c>
      <c r="I341" s="4">
        <f>IF(I341="","",IF(I341=G341,"PASS","FAIL"))</f>
        <v/>
      </c>
      <c r="J341" s="4" t="n"/>
      <c r="K341" s="4" t="n"/>
      <c r="L341" s="7" t="inlineStr">
        <is>
          <t>Critical</t>
        </is>
      </c>
      <c r="M341" s="4" t="n"/>
    </row>
    <row r="342" ht="75" customHeight="1" s="16">
      <c r="A342" s="4" t="inlineStr">
        <is>
          <t>TC284</t>
        </is>
      </c>
      <c r="B342" s="4" t="inlineStr">
        <is>
          <t>System</t>
        </is>
      </c>
      <c r="C342" s="4" t="inlineStr">
        <is>
          <t>Performance</t>
        </is>
      </c>
      <c r="D342" s="4" t="inlineStr">
        <is>
          <t>Database Performance</t>
        </is>
      </c>
      <c r="E342" s="4" t="inlineStr">
        <is>
          <t>Test Database Query Performance</t>
        </is>
      </c>
      <c r="F342" s="4" t="inlineStr">
        <is>
          <t>1. Run complex queries
2. Check response times
3. Monitor index usage
4. Verify optimization
5. Check for slow queries</t>
        </is>
      </c>
      <c r="G342" s="13" t="inlineStr">
        <is>
          <t>https://nutrio.me/</t>
        </is>
      </c>
      <c r="H342" s="4" t="inlineStr">
        <is>
          <t>Database queries optimized</t>
        </is>
      </c>
      <c r="I342" s="4">
        <f>IF(I342="","",IF(I342=G342,"PASS","FAIL"))</f>
        <v/>
      </c>
      <c r="J342" s="4" t="n"/>
      <c r="K342" s="4" t="n"/>
      <c r="L342" s="6" t="inlineStr">
        <is>
          <t>Medium</t>
        </is>
      </c>
      <c r="M342" s="4" t="n"/>
    </row>
    <row r="343" ht="75" customHeight="1" s="16">
      <c r="A343" s="4" t="inlineStr">
        <is>
          <t>TC285</t>
        </is>
      </c>
      <c r="B343" s="4" t="inlineStr">
        <is>
          <t>System</t>
        </is>
      </c>
      <c r="C343" s="4" t="inlineStr">
        <is>
          <t>Errors</t>
        </is>
      </c>
      <c r="D343" s="4" t="inlineStr">
        <is>
          <t>404 Handling</t>
        </is>
      </c>
      <c r="E343" s="4" t="inlineStr">
        <is>
          <t>Test 404 Error Page</t>
        </is>
      </c>
      <c r="F343" s="4" t="inlineStr">
        <is>
          <t>1. Navigate to non-existent page
2. Verify 404 page shown
3. Check navigation options
4. Verify helpful message
5. Test back button</t>
        </is>
      </c>
      <c r="G343" s="13" t="inlineStr">
        <is>
          <t>https://nutrio.me/</t>
        </is>
      </c>
      <c r="H343" s="4" t="inlineStr">
        <is>
          <t>Custom 404 page displayed</t>
        </is>
      </c>
      <c r="I343" s="4">
        <f>IF(I343="","",IF(I343=G343,"PASS","FAIL"))</f>
        <v/>
      </c>
      <c r="J343" s="4" t="n"/>
      <c r="K343" s="4" t="n"/>
      <c r="L343" s="4" t="inlineStr">
        <is>
          <t>Low</t>
        </is>
      </c>
      <c r="M343" s="4" t="n"/>
    </row>
    <row r="344" ht="75" customHeight="1" s="16">
      <c r="A344" s="4" t="inlineStr">
        <is>
          <t>TC286</t>
        </is>
      </c>
      <c r="B344" s="4" t="inlineStr">
        <is>
          <t>System</t>
        </is>
      </c>
      <c r="C344" s="4" t="inlineStr">
        <is>
          <t>Errors</t>
        </is>
      </c>
      <c r="D344" s="4" t="inlineStr">
        <is>
          <t>500 Handling</t>
        </is>
      </c>
      <c r="E344" s="4" t="inlineStr">
        <is>
          <t>Test 500 Error Page</t>
        </is>
      </c>
      <c r="F344" s="4" t="inlineStr">
        <is>
          <t>1. Trigger server error
2. Verify 500 page shown
3. Check error logged
4. Verify user-friendly message
5. No sensitive data leaked</t>
        </is>
      </c>
      <c r="G344" s="13" t="inlineStr">
        <is>
          <t>https://nutrio.me/</t>
        </is>
      </c>
      <c r="H344" s="4" t="inlineStr">
        <is>
          <t>Error handled gracefully</t>
        </is>
      </c>
      <c r="I344" s="4">
        <f>IF(I344="","",IF(I344=G344,"PASS","FAIL"))</f>
        <v/>
      </c>
      <c r="J344" s="4" t="n"/>
      <c r="K344" s="4" t="n"/>
      <c r="L344" s="5" t="inlineStr">
        <is>
          <t>High</t>
        </is>
      </c>
      <c r="M344" s="4" t="n"/>
    </row>
    <row r="345" ht="75" customHeight="1" s="16">
      <c r="A345" s="4" t="inlineStr">
        <is>
          <t>TC287</t>
        </is>
      </c>
      <c r="B345" s="4" t="inlineStr">
        <is>
          <t>System</t>
        </is>
      </c>
      <c r="C345" s="4" t="inlineStr">
        <is>
          <t>Errors</t>
        </is>
      </c>
      <c r="D345" s="4" t="inlineStr">
        <is>
          <t>Network Error</t>
        </is>
      </c>
      <c r="E345" s="4" t="inlineStr">
        <is>
          <t>Handle Network Disconnection</t>
        </is>
      </c>
      <c r="F345" s="4" t="inlineStr">
        <is>
          <t>1. Disconnect internet
2. Try action
3. Verify offline message
4. Reconnect
5. Verify sync resumes</t>
        </is>
      </c>
      <c r="G345" s="13" t="inlineStr">
        <is>
          <t>https://nutrio.me/</t>
        </is>
      </c>
      <c r="H345" s="4" t="inlineStr">
        <is>
          <t>Offline state handled, syncs on reconnect</t>
        </is>
      </c>
      <c r="I345" s="4">
        <f>IF(I345="","",IF(I345=G345,"PASS","FAIL"))</f>
        <v/>
      </c>
      <c r="J345" s="4" t="n"/>
      <c r="K345" s="4" t="n"/>
      <c r="L345" s="5" t="inlineStr">
        <is>
          <t>High</t>
        </is>
      </c>
      <c r="M345" s="4" t="n"/>
    </row>
    <row r="346" ht="75" customHeight="1" s="16">
      <c r="A346" s="4" t="inlineStr">
        <is>
          <t>TC288</t>
        </is>
      </c>
      <c r="B346" s="4" t="inlineStr">
        <is>
          <t>System</t>
        </is>
      </c>
      <c r="C346" s="4" t="inlineStr">
        <is>
          <t>Mobile</t>
        </is>
      </c>
      <c r="D346" s="4" t="inlineStr">
        <is>
          <t>Responsive Layout</t>
        </is>
      </c>
      <c r="E346" s="4" t="inlineStr">
        <is>
          <t>Test Responsive Layout</t>
        </is>
      </c>
      <c r="F346" s="4" t="inlineStr">
        <is>
          <t>1. Open on mobile
2. Check layout adapts
3. Test all features
4. Verify touch targets
5. Test portrait/landscape</t>
        </is>
      </c>
      <c r="G346" s="13" t="inlineStr">
        <is>
          <t>https://nutrio.me/</t>
        </is>
      </c>
      <c r="H346" s="4" t="inlineStr">
        <is>
          <t>Layout responsive on all devices</t>
        </is>
      </c>
      <c r="I346" s="4">
        <f>IF(I346="","",IF(I346=G346,"PASS","FAIL"))</f>
        <v/>
      </c>
      <c r="J346" s="4" t="n"/>
      <c r="K346" s="4" t="n"/>
      <c r="L346" s="5" t="inlineStr">
        <is>
          <t>High</t>
        </is>
      </c>
      <c r="M346" s="4" t="n"/>
    </row>
    <row r="347" ht="75" customHeight="1" s="16">
      <c r="A347" s="4" t="inlineStr">
        <is>
          <t>TC289</t>
        </is>
      </c>
      <c r="B347" s="4" t="inlineStr">
        <is>
          <t>System</t>
        </is>
      </c>
      <c r="C347" s="4" t="inlineStr">
        <is>
          <t>Mobile</t>
        </is>
      </c>
      <c r="D347" s="4" t="inlineStr">
        <is>
          <t>Touch Gestures</t>
        </is>
      </c>
      <c r="E347" s="4" t="inlineStr">
        <is>
          <t>Test Touch Gestures</t>
        </is>
      </c>
      <c r="F347" s="4" t="inlineStr">
        <is>
          <t>1. Swipe to navigate
2. Pinch to zoom images
3. Pull to refresh
4. Long press actions
5. Verify smooth animations</t>
        </is>
      </c>
      <c r="G347" s="13" t="inlineStr">
        <is>
          <t>https://nutrio.me/</t>
        </is>
      </c>
      <c r="H347" s="4" t="inlineStr">
        <is>
          <t>Touch gestures work correctly</t>
        </is>
      </c>
      <c r="I347" s="4">
        <f>IF(I347="","",IF(I347=G347,"PASS","FAIL"))</f>
        <v/>
      </c>
      <c r="J347" s="4" t="n"/>
      <c r="K347" s="4" t="n"/>
      <c r="L347" s="6" t="inlineStr">
        <is>
          <t>Medium</t>
        </is>
      </c>
      <c r="M347" s="4" t="n"/>
    </row>
    <row r="348" ht="75" customHeight="1" s="16">
      <c r="A348" s="4" t="inlineStr">
        <is>
          <t>TC290</t>
        </is>
      </c>
      <c r="B348" s="4" t="inlineStr">
        <is>
          <t>System</t>
        </is>
      </c>
      <c r="C348" s="4" t="inlineStr">
        <is>
          <t>Mobile</t>
        </is>
      </c>
      <c r="D348" s="4" t="inlineStr">
        <is>
          <t>PWA Install</t>
        </is>
      </c>
      <c r="E348" s="4" t="inlineStr">
        <is>
          <t>Test PWA Install</t>
        </is>
      </c>
      <c r="F348" s="4" t="inlineStr">
        <is>
          <t>1. Open in mobile browser
2. Click Add to Home Screen
3. Install app
4. Open from icon
5. Verify offline capability</t>
        </is>
      </c>
      <c r="G348" s="13" t="inlineStr">
        <is>
          <t>https://nutrio.me/</t>
        </is>
      </c>
      <c r="H348" s="4" t="inlineStr">
        <is>
          <t>PWA installs and works offline</t>
        </is>
      </c>
      <c r="I348" s="4">
        <f>IF(I348="","",IF(I348=G348,"PASS","FAIL"))</f>
        <v/>
      </c>
      <c r="J348" s="4" t="n"/>
      <c r="K348" s="4" t="n"/>
      <c r="L348" s="4" t="inlineStr">
        <is>
          <t>Low</t>
        </is>
      </c>
      <c r="M348" s="4" t="n"/>
    </row>
    <row r="349" ht="75" customHeight="1" s="16">
      <c r="A349" s="4" t="inlineStr">
        <is>
          <t>TC291</t>
        </is>
      </c>
      <c r="B349" s="4" t="inlineStr">
        <is>
          <t>System</t>
        </is>
      </c>
      <c r="C349" s="4" t="inlineStr">
        <is>
          <t>Integration</t>
        </is>
      </c>
      <c r="D349" s="4" t="inlineStr">
        <is>
          <t>Sadad Payment</t>
        </is>
      </c>
      <c r="E349" s="4" t="inlineStr">
        <is>
          <t>Test Sadad Payment Flow</t>
        </is>
      </c>
      <c r="F349" s="4" t="inlineStr">
        <is>
          <t>1. Checkout
2. Select Sadad
3. Complete payment
4. Verify webhook received
5. Confirm order status</t>
        </is>
      </c>
      <c r="G349" s="13" t="inlineStr">
        <is>
          <t>https://nutrio.me/</t>
        </is>
      </c>
      <c r="H349" s="4" t="inlineStr">
        <is>
          <t>Payment processed, order confirmed</t>
        </is>
      </c>
      <c r="I349" s="4">
        <f>IF(I349="","",IF(I349=G349,"PASS","FAIL"))</f>
        <v/>
      </c>
      <c r="J349" s="4" t="n"/>
      <c r="K349" s="4" t="n"/>
      <c r="L349" s="7" t="inlineStr">
        <is>
          <t>Critical</t>
        </is>
      </c>
      <c r="M349" s="4" t="n"/>
    </row>
    <row r="350" ht="75" customHeight="1" s="16">
      <c r="A350" s="4" t="inlineStr">
        <is>
          <t>TC292</t>
        </is>
      </c>
      <c r="B350" s="4" t="inlineStr">
        <is>
          <t>System</t>
        </is>
      </c>
      <c r="C350" s="4" t="inlineStr">
        <is>
          <t>Integration</t>
        </is>
      </c>
      <c r="D350" s="4" t="inlineStr">
        <is>
          <t>WhatsApp API</t>
        </is>
      </c>
      <c r="E350" s="4" t="inlineStr">
        <is>
          <t>Test WhatsApp Notification Delivery</t>
        </is>
      </c>
      <c r="F350" s="4" t="inlineStr">
        <is>
          <t>1. Trigger notification
2. Check WhatsApp API
3. Verify message sent
4. Check delivery status
5. Confirm received</t>
        </is>
      </c>
      <c r="G350" s="13" t="inlineStr">
        <is>
          <t>https://nutrio.me/</t>
        </is>
      </c>
      <c r="H350" s="4" t="inlineStr">
        <is>
          <t>WhatsApp message delivered</t>
        </is>
      </c>
      <c r="I350" s="4">
        <f>IF(I350="","",IF(I350=G350,"PASS","FAIL"))</f>
        <v/>
      </c>
      <c r="J350" s="4" t="n"/>
      <c r="K350" s="4" t="n"/>
      <c r="L350" s="5" t="inlineStr">
        <is>
          <t>High</t>
        </is>
      </c>
      <c r="M350" s="4" t="n"/>
    </row>
    <row r="351" ht="75" customHeight="1" s="16">
      <c r="A351" s="4" t="inlineStr">
        <is>
          <t>TC293</t>
        </is>
      </c>
      <c r="B351" s="4" t="inlineStr">
        <is>
          <t>System</t>
        </is>
      </c>
      <c r="C351" s="4" t="inlineStr">
        <is>
          <t>Integration</t>
        </is>
      </c>
      <c r="D351" s="4" t="inlineStr">
        <is>
          <t>Email Service</t>
        </is>
      </c>
      <c r="E351" s="4" t="inlineStr">
        <is>
          <t>Test Email Delivery</t>
        </is>
      </c>
      <c r="F351" s="4" t="inlineStr">
        <is>
          <t>1. Trigger email
2. Check email queue
3. Verify sent
4. Check inbox
5. Confirm formatting</t>
        </is>
      </c>
      <c r="G351" s="13" t="inlineStr">
        <is>
          <t>https://nutrio.me/</t>
        </is>
      </c>
      <c r="H351" s="4" t="inlineStr">
        <is>
          <t>Email delivered correctly</t>
        </is>
      </c>
      <c r="I351" s="4">
        <f>IF(I351="","",IF(I351=G351,"PASS","FAIL"))</f>
        <v/>
      </c>
      <c r="J351" s="4" t="n"/>
      <c r="K351" s="4" t="n"/>
      <c r="L351" s="6" t="inlineStr">
        <is>
          <t>Medium</t>
        </is>
      </c>
      <c r="M351" s="4" t="n"/>
    </row>
    <row r="352" ht="75" customHeight="1" s="16">
      <c r="A352" s="4" t="inlineStr">
        <is>
          <t>TC294</t>
        </is>
      </c>
      <c r="B352" s="4" t="inlineStr">
        <is>
          <t>System</t>
        </is>
      </c>
      <c r="C352" s="4" t="inlineStr">
        <is>
          <t>Integration</t>
        </is>
      </c>
      <c r="D352" s="4" t="inlineStr">
        <is>
          <t>Maps API</t>
        </is>
      </c>
      <c r="E352" s="4" t="inlineStr">
        <is>
          <t>Test Maps Integration</t>
        </is>
      </c>
      <c r="F352" s="4" t="inlineStr">
        <is>
          <t>1. Open delivery navigation
2. Load map
3. Show route
4. Get directions
5. Calculate ETA</t>
        </is>
      </c>
      <c r="G352" s="13" t="inlineStr">
        <is>
          <t>https://nutrio.me/</t>
        </is>
      </c>
      <c r="H352" s="4" t="inlineStr">
        <is>
          <t>Maps load and route displayed</t>
        </is>
      </c>
      <c r="I352" s="4">
        <f>IF(I352="","",IF(I352=G352,"PASS","FAIL"))</f>
        <v/>
      </c>
      <c r="J352" s="4" t="n"/>
      <c r="K352" s="4" t="n"/>
      <c r="L352" s="5" t="inlineStr">
        <is>
          <t>High</t>
        </is>
      </c>
      <c r="M352" s="4" t="n"/>
    </row>
    <row r="353" ht="75" customHeight="1" s="16">
      <c r="A353" s="4" t="inlineStr">
        <is>
          <t>TC295</t>
        </is>
      </c>
      <c r="B353" s="4" t="inlineStr">
        <is>
          <t>System</t>
        </is>
      </c>
      <c r="C353" s="4" t="inlineStr">
        <is>
          <t>Integration</t>
        </is>
      </c>
      <c r="D353" s="4" t="inlineStr">
        <is>
          <t>Image Upload</t>
        </is>
      </c>
      <c r="E353" s="4" t="inlineStr">
        <is>
          <t>Test Image Upload and Processing</t>
        </is>
      </c>
      <c r="F353" s="4" t="inlineStr">
        <is>
          <t>1. Upload image
2. Check compression
3. Verify thumbnail
4. Test CDN delivery
5. Check optimization</t>
        </is>
      </c>
      <c r="G353" s="13" t="inlineStr">
        <is>
          <t>https://nutrio.me/</t>
        </is>
      </c>
      <c r="H353" s="4" t="inlineStr">
        <is>
          <t>Image uploaded and optimized</t>
        </is>
      </c>
      <c r="I353" s="4">
        <f>IF(I353="","",IF(I353=G353,"PASS","FAIL"))</f>
        <v/>
      </c>
      <c r="J353" s="4" t="n"/>
      <c r="K353" s="4" t="n"/>
      <c r="L353" s="6" t="inlineStr">
        <is>
          <t>Medium</t>
        </is>
      </c>
      <c r="M353" s="4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  <hyperlink xmlns:r="http://schemas.openxmlformats.org/officeDocument/2006/relationships" ref="G246" r:id="rId245"/>
    <hyperlink xmlns:r="http://schemas.openxmlformats.org/officeDocument/2006/relationships" ref="G247" r:id="rId246"/>
    <hyperlink xmlns:r="http://schemas.openxmlformats.org/officeDocument/2006/relationships" ref="G248" r:id="rId247"/>
    <hyperlink xmlns:r="http://schemas.openxmlformats.org/officeDocument/2006/relationships" ref="G249" r:id="rId248"/>
    <hyperlink xmlns:r="http://schemas.openxmlformats.org/officeDocument/2006/relationships" ref="G250" r:id="rId249"/>
    <hyperlink xmlns:r="http://schemas.openxmlformats.org/officeDocument/2006/relationships" ref="G251" r:id="rId250"/>
    <hyperlink xmlns:r="http://schemas.openxmlformats.org/officeDocument/2006/relationships" ref="G252" r:id="rId251"/>
    <hyperlink xmlns:r="http://schemas.openxmlformats.org/officeDocument/2006/relationships" ref="G253" r:id="rId252"/>
    <hyperlink xmlns:r="http://schemas.openxmlformats.org/officeDocument/2006/relationships" ref="G254" r:id="rId253"/>
    <hyperlink xmlns:r="http://schemas.openxmlformats.org/officeDocument/2006/relationships" ref="G255" r:id="rId254"/>
    <hyperlink xmlns:r="http://schemas.openxmlformats.org/officeDocument/2006/relationships" ref="G256" r:id="rId255"/>
    <hyperlink xmlns:r="http://schemas.openxmlformats.org/officeDocument/2006/relationships" ref="G257" r:id="rId256"/>
    <hyperlink xmlns:r="http://schemas.openxmlformats.org/officeDocument/2006/relationships" ref="G258" r:id="rId257"/>
    <hyperlink xmlns:r="http://schemas.openxmlformats.org/officeDocument/2006/relationships" ref="G259" r:id="rId258"/>
    <hyperlink xmlns:r="http://schemas.openxmlformats.org/officeDocument/2006/relationships" ref="G260" r:id="rId259"/>
    <hyperlink xmlns:r="http://schemas.openxmlformats.org/officeDocument/2006/relationships" ref="G261" r:id="rId260"/>
    <hyperlink xmlns:r="http://schemas.openxmlformats.org/officeDocument/2006/relationships" ref="G262" r:id="rId261"/>
    <hyperlink xmlns:r="http://schemas.openxmlformats.org/officeDocument/2006/relationships" ref="G263" r:id="rId262"/>
    <hyperlink xmlns:r="http://schemas.openxmlformats.org/officeDocument/2006/relationships" ref="G264" r:id="rId263"/>
    <hyperlink xmlns:r="http://schemas.openxmlformats.org/officeDocument/2006/relationships" ref="G265" r:id="rId264"/>
    <hyperlink xmlns:r="http://schemas.openxmlformats.org/officeDocument/2006/relationships" ref="G266" r:id="rId265"/>
    <hyperlink xmlns:r="http://schemas.openxmlformats.org/officeDocument/2006/relationships" ref="G267" r:id="rId266"/>
    <hyperlink xmlns:r="http://schemas.openxmlformats.org/officeDocument/2006/relationships" ref="G268" r:id="rId267"/>
    <hyperlink xmlns:r="http://schemas.openxmlformats.org/officeDocument/2006/relationships" ref="G269" r:id="rId268"/>
    <hyperlink xmlns:r="http://schemas.openxmlformats.org/officeDocument/2006/relationships" ref="G270" r:id="rId269"/>
    <hyperlink xmlns:r="http://schemas.openxmlformats.org/officeDocument/2006/relationships" ref="G271" r:id="rId270"/>
    <hyperlink xmlns:r="http://schemas.openxmlformats.org/officeDocument/2006/relationships" ref="G272" r:id="rId271"/>
    <hyperlink xmlns:r="http://schemas.openxmlformats.org/officeDocument/2006/relationships" ref="G273" r:id="rId272"/>
    <hyperlink xmlns:r="http://schemas.openxmlformats.org/officeDocument/2006/relationships" ref="G274" r:id="rId273"/>
    <hyperlink xmlns:r="http://schemas.openxmlformats.org/officeDocument/2006/relationships" ref="G275" r:id="rId274"/>
    <hyperlink xmlns:r="http://schemas.openxmlformats.org/officeDocument/2006/relationships" ref="G276" r:id="rId275"/>
    <hyperlink xmlns:r="http://schemas.openxmlformats.org/officeDocument/2006/relationships" ref="G277" r:id="rId276"/>
    <hyperlink xmlns:r="http://schemas.openxmlformats.org/officeDocument/2006/relationships" ref="G278" r:id="rId277"/>
    <hyperlink xmlns:r="http://schemas.openxmlformats.org/officeDocument/2006/relationships" ref="G279" r:id="rId278"/>
    <hyperlink xmlns:r="http://schemas.openxmlformats.org/officeDocument/2006/relationships" ref="G280" r:id="rId279"/>
    <hyperlink xmlns:r="http://schemas.openxmlformats.org/officeDocument/2006/relationships" ref="G281" r:id="rId280"/>
    <hyperlink xmlns:r="http://schemas.openxmlformats.org/officeDocument/2006/relationships" ref="G282" r:id="rId281"/>
    <hyperlink xmlns:r="http://schemas.openxmlformats.org/officeDocument/2006/relationships" ref="G283" r:id="rId282"/>
    <hyperlink xmlns:r="http://schemas.openxmlformats.org/officeDocument/2006/relationships" ref="G284" r:id="rId283"/>
    <hyperlink xmlns:r="http://schemas.openxmlformats.org/officeDocument/2006/relationships" ref="G285" r:id="rId284"/>
    <hyperlink xmlns:r="http://schemas.openxmlformats.org/officeDocument/2006/relationships" ref="G286" r:id="rId285"/>
    <hyperlink xmlns:r="http://schemas.openxmlformats.org/officeDocument/2006/relationships" ref="G287" r:id="rId286"/>
    <hyperlink xmlns:r="http://schemas.openxmlformats.org/officeDocument/2006/relationships" ref="G288" r:id="rId287"/>
    <hyperlink xmlns:r="http://schemas.openxmlformats.org/officeDocument/2006/relationships" ref="G289" r:id="rId288"/>
    <hyperlink xmlns:r="http://schemas.openxmlformats.org/officeDocument/2006/relationships" ref="G290" r:id="rId289"/>
    <hyperlink xmlns:r="http://schemas.openxmlformats.org/officeDocument/2006/relationships" ref="G291" r:id="rId290"/>
    <hyperlink xmlns:r="http://schemas.openxmlformats.org/officeDocument/2006/relationships" ref="G292" r:id="rId291"/>
    <hyperlink xmlns:r="http://schemas.openxmlformats.org/officeDocument/2006/relationships" ref="G293" r:id="rId292"/>
    <hyperlink xmlns:r="http://schemas.openxmlformats.org/officeDocument/2006/relationships" ref="G294" r:id="rId293"/>
    <hyperlink xmlns:r="http://schemas.openxmlformats.org/officeDocument/2006/relationships" ref="G295" r:id="rId294"/>
    <hyperlink xmlns:r="http://schemas.openxmlformats.org/officeDocument/2006/relationships" ref="G296" r:id="rId295"/>
    <hyperlink xmlns:r="http://schemas.openxmlformats.org/officeDocument/2006/relationships" ref="G297" r:id="rId296"/>
    <hyperlink xmlns:r="http://schemas.openxmlformats.org/officeDocument/2006/relationships" ref="G298" r:id="rId297"/>
    <hyperlink xmlns:r="http://schemas.openxmlformats.org/officeDocument/2006/relationships" ref="G299" r:id="rId298"/>
    <hyperlink xmlns:r="http://schemas.openxmlformats.org/officeDocument/2006/relationships" ref="G300" r:id="rId299"/>
    <hyperlink xmlns:r="http://schemas.openxmlformats.org/officeDocument/2006/relationships" ref="G301" r:id="rId300"/>
    <hyperlink xmlns:r="http://schemas.openxmlformats.org/officeDocument/2006/relationships" ref="G302" r:id="rId301"/>
    <hyperlink xmlns:r="http://schemas.openxmlformats.org/officeDocument/2006/relationships" ref="G303" r:id="rId302"/>
    <hyperlink xmlns:r="http://schemas.openxmlformats.org/officeDocument/2006/relationships" ref="G304" r:id="rId303"/>
    <hyperlink xmlns:r="http://schemas.openxmlformats.org/officeDocument/2006/relationships" ref="G305" r:id="rId304"/>
    <hyperlink xmlns:r="http://schemas.openxmlformats.org/officeDocument/2006/relationships" ref="G306" r:id="rId305"/>
    <hyperlink xmlns:r="http://schemas.openxmlformats.org/officeDocument/2006/relationships" ref="G307" r:id="rId306"/>
    <hyperlink xmlns:r="http://schemas.openxmlformats.org/officeDocument/2006/relationships" ref="G308" r:id="rId307"/>
    <hyperlink xmlns:r="http://schemas.openxmlformats.org/officeDocument/2006/relationships" ref="G309" r:id="rId308"/>
    <hyperlink xmlns:r="http://schemas.openxmlformats.org/officeDocument/2006/relationships" ref="G310" r:id="rId309"/>
    <hyperlink xmlns:r="http://schemas.openxmlformats.org/officeDocument/2006/relationships" ref="G311" r:id="rId310"/>
    <hyperlink xmlns:r="http://schemas.openxmlformats.org/officeDocument/2006/relationships" ref="G312" r:id="rId311"/>
    <hyperlink xmlns:r="http://schemas.openxmlformats.org/officeDocument/2006/relationships" ref="G313" r:id="rId312"/>
    <hyperlink xmlns:r="http://schemas.openxmlformats.org/officeDocument/2006/relationships" ref="G314" r:id="rId313"/>
    <hyperlink xmlns:r="http://schemas.openxmlformats.org/officeDocument/2006/relationships" ref="G315" r:id="rId314"/>
    <hyperlink xmlns:r="http://schemas.openxmlformats.org/officeDocument/2006/relationships" ref="G316" r:id="rId315"/>
    <hyperlink xmlns:r="http://schemas.openxmlformats.org/officeDocument/2006/relationships" ref="G317" r:id="rId316"/>
    <hyperlink xmlns:r="http://schemas.openxmlformats.org/officeDocument/2006/relationships" ref="G318" r:id="rId317"/>
    <hyperlink xmlns:r="http://schemas.openxmlformats.org/officeDocument/2006/relationships" ref="G319" r:id="rId318"/>
    <hyperlink xmlns:r="http://schemas.openxmlformats.org/officeDocument/2006/relationships" ref="G320" r:id="rId319"/>
    <hyperlink xmlns:r="http://schemas.openxmlformats.org/officeDocument/2006/relationships" ref="G321" r:id="rId320"/>
    <hyperlink xmlns:r="http://schemas.openxmlformats.org/officeDocument/2006/relationships" ref="G322" r:id="rId321"/>
    <hyperlink xmlns:r="http://schemas.openxmlformats.org/officeDocument/2006/relationships" ref="G323" r:id="rId322"/>
    <hyperlink xmlns:r="http://schemas.openxmlformats.org/officeDocument/2006/relationships" ref="G324" r:id="rId323"/>
    <hyperlink xmlns:r="http://schemas.openxmlformats.org/officeDocument/2006/relationships" ref="G325" r:id="rId324"/>
    <hyperlink xmlns:r="http://schemas.openxmlformats.org/officeDocument/2006/relationships" ref="G326" r:id="rId325"/>
    <hyperlink xmlns:r="http://schemas.openxmlformats.org/officeDocument/2006/relationships" ref="G327" r:id="rId326"/>
    <hyperlink xmlns:r="http://schemas.openxmlformats.org/officeDocument/2006/relationships" ref="G328" r:id="rId327"/>
    <hyperlink xmlns:r="http://schemas.openxmlformats.org/officeDocument/2006/relationships" ref="G329" r:id="rId328"/>
    <hyperlink xmlns:r="http://schemas.openxmlformats.org/officeDocument/2006/relationships" ref="G330" r:id="rId329"/>
    <hyperlink xmlns:r="http://schemas.openxmlformats.org/officeDocument/2006/relationships" ref="G331" r:id="rId330"/>
    <hyperlink xmlns:r="http://schemas.openxmlformats.org/officeDocument/2006/relationships" ref="G332" r:id="rId331"/>
    <hyperlink xmlns:r="http://schemas.openxmlformats.org/officeDocument/2006/relationships" ref="G333" r:id="rId332"/>
    <hyperlink xmlns:r="http://schemas.openxmlformats.org/officeDocument/2006/relationships" ref="G334" r:id="rId333"/>
    <hyperlink xmlns:r="http://schemas.openxmlformats.org/officeDocument/2006/relationships" ref="G335" r:id="rId334"/>
    <hyperlink xmlns:r="http://schemas.openxmlformats.org/officeDocument/2006/relationships" ref="G336" r:id="rId335"/>
    <hyperlink xmlns:r="http://schemas.openxmlformats.org/officeDocument/2006/relationships" ref="G337" r:id="rId336"/>
    <hyperlink xmlns:r="http://schemas.openxmlformats.org/officeDocument/2006/relationships" ref="G338" r:id="rId337"/>
    <hyperlink xmlns:r="http://schemas.openxmlformats.org/officeDocument/2006/relationships" ref="G339" r:id="rId338"/>
    <hyperlink xmlns:r="http://schemas.openxmlformats.org/officeDocument/2006/relationships" ref="G340" r:id="rId339"/>
    <hyperlink xmlns:r="http://schemas.openxmlformats.org/officeDocument/2006/relationships" ref="G341" r:id="rId340"/>
    <hyperlink xmlns:r="http://schemas.openxmlformats.org/officeDocument/2006/relationships" ref="G342" r:id="rId341"/>
    <hyperlink xmlns:r="http://schemas.openxmlformats.org/officeDocument/2006/relationships" ref="G343" r:id="rId342"/>
    <hyperlink xmlns:r="http://schemas.openxmlformats.org/officeDocument/2006/relationships" ref="G344" r:id="rId343"/>
    <hyperlink xmlns:r="http://schemas.openxmlformats.org/officeDocument/2006/relationships" ref="G345" r:id="rId344"/>
    <hyperlink xmlns:r="http://schemas.openxmlformats.org/officeDocument/2006/relationships" ref="G346" r:id="rId345"/>
    <hyperlink xmlns:r="http://schemas.openxmlformats.org/officeDocument/2006/relationships" ref="G347" r:id="rId346"/>
    <hyperlink xmlns:r="http://schemas.openxmlformats.org/officeDocument/2006/relationships" ref="G348" r:id="rId347"/>
    <hyperlink xmlns:r="http://schemas.openxmlformats.org/officeDocument/2006/relationships" ref="G349" r:id="rId348"/>
    <hyperlink xmlns:r="http://schemas.openxmlformats.org/officeDocument/2006/relationships" ref="G350" r:id="rId349"/>
    <hyperlink xmlns:r="http://schemas.openxmlformats.org/officeDocument/2006/relationships" ref="G351" r:id="rId350"/>
    <hyperlink xmlns:r="http://schemas.openxmlformats.org/officeDocument/2006/relationships" ref="G352" r:id="rId351"/>
    <hyperlink xmlns:r="http://schemas.openxmlformats.org/officeDocument/2006/relationships" ref="G353" r:id="rId3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2026-02-21T00:11:55Z</dcterms:created>
  <dcterms:modified xmlns:dcterms="http://purl.org/dc/terms/" xmlns:xsi="http://www.w3.org/2001/XMLSchema-instance" xsi:type="dcterms:W3CDTF">2026-02-28T03:37:55Z</dcterms:modified>
  <cp:lastModifiedBy>msoft15184</cp:lastModifiedBy>
</cp:coreProperties>
</file>